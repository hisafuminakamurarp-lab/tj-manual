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代理店一覧" sheetId="2" state="visible" r:id="rId4"/>
    <sheet name="アクションログ" sheetId="3" state="visible" r:id="rId5"/>
    <sheet name="月次実績" sheetId="4" state="visible" r:id="rId6"/>
    <sheet name="月次サマリー" sheetId="5" state="visible" r:id="rId7"/>
    <sheet name="定例アクション計画" sheetId="6" state="visible" r:id="rId8"/>
    <sheet name="設定" sheetId="7" state="visible" r:id="rId9"/>
  </sheets>
  <definedNames>
    <definedName function="false" hidden="true" localSheetId="2" name="_xlnm._FilterDatabase" vbProcedure="false">アクションログ!$A$4:$L$2004</definedName>
    <definedName function="false" hidden="true" localSheetId="1" name="_xlnm._FilterDatabase" vbProcedure="false">代理店一覧!$A$4:$W$204</definedName>
    <definedName function="false" hidden="true" localSheetId="3" name="_xlnm._FilterDatabase" vbProcedure="false">月次実績!$A$4:$I$3004</definedName>
    <definedName function="false" hidden="false" name="list_ランク" vbProcedure="false">設定!$B$14:$B$17</definedName>
    <definedName function="false" hidden="false" name="list_完了" vbProcedure="false">設定!$K$14:$K$23</definedName>
    <definedName function="false" hidden="false" name="list_接触手段" vbProcedure="false">設定!$H$14:$H$23</definedName>
    <definedName function="false" hidden="false" name="list_接触目的" vbProcedure="false">設定!$I$14:$I$23</definedName>
    <definedName function="false" hidden="false" name="list_温度感" vbProcedure="false">設定!$J$14:$J$23</definedName>
    <definedName function="false" hidden="false" name="list_自社担当" vbProcedure="false">設定!$G$14:$G$23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青字の行はサンプルです。記入例を確認したら行ごと削除（内容をクリア）してください。
代理店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は</t>
        </r>
        <r>
          <rPr>
            <sz val="10"/>
            <rFont val="Arial"/>
            <family val="2"/>
          </rPr>
          <t xml:space="preserve">kintone</t>
        </r>
        <r>
          <rPr>
            <sz val="10"/>
            <rFont val="WenQuanYi Zen Hei"/>
            <family val="2"/>
          </rPr>
          <t xml:space="preserve">『マスタ｜代理店管理』の代理店</t>
        </r>
        <r>
          <rPr>
            <sz val="10"/>
            <rFont val="Arial"/>
            <family val="2"/>
          </rPr>
          <t xml:space="preserve">ID</t>
        </r>
        <r>
          <rPr>
            <sz val="10"/>
            <rFont val="WenQuanYi Zen Hei"/>
            <family val="2"/>
          </rPr>
          <t xml:space="preserve">と揃えてください。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青字の行はサンプルです。確認後に削除してください。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青字の行はサンプルです。確認後に削除してください。</t>
        </r>
      </text>
    </comment>
  </commentList>
</comments>
</file>

<file path=xl/sharedStrings.xml><?xml version="1.0" encoding="utf-8"?>
<sst xmlns="http://schemas.openxmlformats.org/spreadsheetml/2006/main" count="318" uniqueCount="238">
  <si>
    <t xml:space="preserve">代理店アクション管理シート　使い方（税務キーパー株式会社）</t>
  </si>
  <si>
    <t xml:space="preserve">代理店とのコミュニケーションを切らさず、紹介を継続的に生み出すための管理シートです。</t>
  </si>
  <si>
    <t xml:space="preserve">■ シート構成</t>
  </si>
  <si>
    <t xml:space="preserve">代理店一覧</t>
  </si>
  <si>
    <r>
      <rPr>
        <sz val="10"/>
        <color rgb="FF000000"/>
        <rFont val="WenQuanYi Zen Hei"/>
        <family val="2"/>
      </rPr>
      <t xml:space="preserve">代理店ごとの最終接触日・次回アクション・紹介実績・稼働判定を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画面で確認するダッシュボード。</t>
    </r>
  </si>
  <si>
    <t xml:space="preserve">アクションログ</t>
  </si>
  <si>
    <r>
      <rPr>
        <sz val="10"/>
        <color rgb="FF000000"/>
        <rFont val="WenQuanYi Zen Hei"/>
        <family val="2"/>
      </rPr>
      <t xml:space="preserve">代理店との接触（電話・訪問・メール等）を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行で記録。次回アクションと予定日を必ず入れる。</t>
    </r>
  </si>
  <si>
    <t xml:space="preserve">月次実績</t>
  </si>
  <si>
    <r>
      <rPr>
        <sz val="10"/>
        <color rgb="FF000000"/>
        <rFont val="WenQuanYi Zen Hei"/>
        <family val="2"/>
      </rPr>
      <t xml:space="preserve">代理店別の紹介リード数・案件化数・成約数・金額を月末に記録（</t>
    </r>
    <r>
      <rPr>
        <sz val="10"/>
        <color rgb="FF000000"/>
        <rFont val="Meiryo UI"/>
        <family val="0"/>
        <charset val="1"/>
      </rPr>
      <t xml:space="preserve">kintone</t>
    </r>
    <r>
      <rPr>
        <sz val="10"/>
        <color rgb="FF000000"/>
        <rFont val="WenQuanYi Zen Hei"/>
        <family val="2"/>
      </rPr>
      <t xml:space="preserve">から転記）。</t>
    </r>
  </si>
  <si>
    <t xml:space="preserve">月次サマリー</t>
  </si>
  <si>
    <t xml:space="preserve">年度の月別推移（稼働代理店数・接触件数・紹介数・成約数）を自動集計。</t>
  </si>
  <si>
    <t xml:space="preserve">定例アクション計画</t>
  </si>
  <si>
    <t xml:space="preserve">週次・月次・四半期で行う代理店向けアクションの一覧（運用例）。</t>
  </si>
  <si>
    <t xml:space="preserve">設定</t>
  </si>
  <si>
    <t xml:space="preserve">ランクごとの接触頻度、稼働判定の基準、プルダウンの選択肢を管理。</t>
  </si>
  <si>
    <t xml:space="preserve">■ 色のルール</t>
  </si>
  <si>
    <t xml:space="preserve">黄色の見出し</t>
  </si>
  <si>
    <t xml:space="preserve">入力する列。</t>
  </si>
  <si>
    <t xml:space="preserve">灰色の見出し</t>
  </si>
  <si>
    <t xml:space="preserve">自動計算の列（数式が入っているので上書きしない）。</t>
  </si>
  <si>
    <t xml:space="preserve">青字の行</t>
  </si>
  <si>
    <t xml:space="preserve">サンプル（記入例）。確認したら削除してください。</t>
  </si>
  <si>
    <t xml:space="preserve">■ 運用の流れ</t>
  </si>
  <si>
    <t xml:space="preserve">① 代理店を登録</t>
  </si>
  <si>
    <r>
      <rPr>
        <sz val="10"/>
        <color rgb="FF000000"/>
        <rFont val="WenQuanYi Zen Hei"/>
        <family val="2"/>
      </rPr>
      <t xml:space="preserve">『代理店一覧』に代理店</t>
    </r>
    <r>
      <rPr>
        <sz val="10"/>
        <color rgb="FF000000"/>
        <rFont val="Meiryo UI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・名前・自社担当・ランクを入力。代理店</t>
    </r>
    <r>
      <rPr>
        <sz val="10"/>
        <color rgb="FF000000"/>
        <rFont val="Meiryo UI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Meiryo UI"/>
        <family val="0"/>
        <charset val="1"/>
      </rPr>
      <t xml:space="preserve">kintone</t>
    </r>
    <r>
      <rPr>
        <sz val="10"/>
        <color rgb="FF000000"/>
        <rFont val="WenQuanYi Zen Hei"/>
        <family val="2"/>
      </rPr>
      <t xml:space="preserve">『マスタ｜代理店管理』と同じ</t>
    </r>
    <r>
      <rPr>
        <sz val="10"/>
        <color rgb="FF000000"/>
        <rFont val="Meiryo UI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を使う。</t>
    </r>
  </si>
  <si>
    <t xml:space="preserve">② 接触したら記録</t>
  </si>
  <si>
    <r>
      <rPr>
        <sz val="10"/>
        <color rgb="FF000000"/>
        <rFont val="WenQuanYi Zen Hei"/>
        <family val="2"/>
      </rPr>
      <t xml:space="preserve">『アクションログ』に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行追加。次回アクションと次回予定日を入れる（代理店一覧の「次回アクション」に表示される）。</t>
    </r>
  </si>
  <si>
    <t xml:space="preserve">③ 実施したら完了</t>
  </si>
  <si>
    <r>
      <rPr>
        <sz val="10"/>
        <color rgb="FF000000"/>
        <rFont val="WenQuanYi Zen Hei"/>
        <family val="2"/>
      </rPr>
      <t xml:space="preserve">次回アクションを実施したら、そのログ行の「完了」を「済」にし、新しい接触として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行追加。</t>
    </r>
  </si>
  <si>
    <t xml:space="preserve">④ 毎週月曜に確認</t>
  </si>
  <si>
    <t xml:space="preserve">『代理店一覧』の「接触ステータス」でフィルタ。期限超過（赤）→今週連絡（黄）→未接触（橙）の順に連絡。</t>
  </si>
  <si>
    <t xml:space="preserve">⑤ 月末に実績入力</t>
  </si>
  <si>
    <t xml:space="preserve">『月次実績』に代理店別の紹介・成約数を入力。「稼働判定」と『月次サマリー』が更新される。</t>
  </si>
  <si>
    <t xml:space="preserve">⑥ 半期ごとに見直し</t>
  </si>
  <si>
    <t xml:space="preserve">紹介実績をもとにランクを見直し、接触頻度と打ち手を調整する。</t>
  </si>
  <si>
    <t xml:space="preserve">■ 自動判定の意味</t>
  </si>
  <si>
    <t xml:space="preserve">接触ステータス</t>
  </si>
  <si>
    <r>
      <rPr>
        <sz val="10"/>
        <color rgb="FF000000"/>
        <rFont val="WenQuanYi Zen Hei"/>
        <family val="2"/>
      </rPr>
      <t xml:space="preserve">期限超過＝ランクごとの接触頻度を過ぎた／今週連絡＝期限まで設定日数以内／未接触＝ログがない／</t>
    </r>
    <r>
      <rPr>
        <sz val="10"/>
        <color rgb="FF000000"/>
        <rFont val="Meiryo UI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＝期限まで余裕あり。</t>
    </r>
  </si>
  <si>
    <t xml:space="preserve">稼働判定</t>
  </si>
  <si>
    <r>
      <rPr>
        <sz val="10"/>
        <color rgb="FF000000"/>
        <rFont val="WenQuanYi Zen Hei"/>
        <family val="2"/>
      </rPr>
      <t xml:space="preserve">直近の対象期間（初期値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ヶ月）の紹介数が基準以上＝稼働中、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件以上＝低稼働、</t>
    </r>
    <r>
      <rPr>
        <sz val="10"/>
        <color rgb="FF000000"/>
        <rFont val="Meiryo UI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件＝休眠。基準は『設定』で変更可。</t>
    </r>
  </si>
  <si>
    <t xml:space="preserve">次回アクション</t>
  </si>
  <si>
    <r>
      <rPr>
        <sz val="10"/>
        <color rgb="FF000000"/>
        <rFont val="WenQuanYi Zen Hei"/>
        <family val="2"/>
      </rPr>
      <t xml:space="preserve">その</t>
    </r>
    <r>
      <rPr>
        <sz val="10"/>
        <color rgb="FF000000"/>
        <rFont val="Meiryo UI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の未完了ログのうち、次回予定日が最も早いものを表示。</t>
    </r>
  </si>
  <si>
    <t xml:space="preserve">代理店一覧（アクション状況ダッシュボード）</t>
  </si>
  <si>
    <t xml:space="preserve">黄色見出し＝入力／灰色見出し＝自動計算。毎週「接触ステータス」でフィルタし、期限超過・今週連絡の代理店から連絡してください。</t>
  </si>
  <si>
    <r>
      <rPr>
        <b val="true"/>
        <sz val="10"/>
        <color rgb="FF000000"/>
        <rFont val="WenQuanYi Zen Hei"/>
        <family val="2"/>
      </rPr>
      <t xml:space="preserve">代理店</t>
    </r>
    <r>
      <rPr>
        <b val="true"/>
        <sz val="10"/>
        <color rgb="FF000000"/>
        <rFont val="Meiryo UI"/>
        <family val="0"/>
        <charset val="1"/>
      </rPr>
      <t xml:space="preserve">ID</t>
    </r>
  </si>
  <si>
    <t xml:space="preserve">代理店名</t>
  </si>
  <si>
    <t xml:space="preserve">代理店側担当者</t>
  </si>
  <si>
    <t xml:space="preserve">連絡先</t>
  </si>
  <si>
    <t xml:space="preserve">自社担当</t>
  </si>
  <si>
    <t xml:space="preserve">ランク</t>
  </si>
  <si>
    <t xml:space="preserve">契約締結日</t>
  </si>
  <si>
    <t xml:space="preserve">得意領域・顧客層</t>
  </si>
  <si>
    <t xml:space="preserve">最終接触日</t>
  </si>
  <si>
    <t xml:space="preserve">経過日数</t>
  </si>
  <si>
    <t xml:space="preserve">接触頻度（日）</t>
  </si>
  <si>
    <t xml:space="preserve">次回接触期限</t>
  </si>
  <si>
    <t xml:space="preserve">次回アクション予定日</t>
  </si>
  <si>
    <t xml:space="preserve">次回アクション内容</t>
  </si>
  <si>
    <t xml:space="preserve">今月の接触回数</t>
  </si>
  <si>
    <t xml:space="preserve">直近期間の紹介数</t>
  </si>
  <si>
    <t xml:space="preserve">累計紹介数</t>
  </si>
  <si>
    <t xml:space="preserve">累計成約数</t>
  </si>
  <si>
    <t xml:space="preserve">成約率</t>
  </si>
  <si>
    <t xml:space="preserve">累計成約金額（円）</t>
  </si>
  <si>
    <t xml:space="preserve">メモ・関係性</t>
  </si>
  <si>
    <t xml:space="preserve">AG-001</t>
  </si>
  <si>
    <t xml:space="preserve">【サンプル】山田会計事務所</t>
  </si>
  <si>
    <t xml:space="preserve">山田 太郎</t>
  </si>
  <si>
    <t xml:space="preserve">03-0000-0001</t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</si>
  <si>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Meiryo UI"/>
        <family val="0"/>
        <charset val="1"/>
      </rPr>
      <t xml:space="preserve">A</t>
    </r>
  </si>
  <si>
    <t xml:space="preserve">S</t>
  </si>
  <si>
    <t xml:space="preserve">中小企業の法人顧問・節税相談</t>
  </si>
  <si>
    <r>
      <rPr>
        <sz val="10"/>
        <color rgb="FF0000FF"/>
        <rFont val="WenQuanYi Zen Hei"/>
        <family val="2"/>
      </rPr>
      <t xml:space="preserve">紹介が多い重点先。月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訪問を継続</t>
    </r>
  </si>
  <si>
    <t xml:space="preserve">AG-002</t>
  </si>
  <si>
    <t xml:space="preserve">【サンプル】みらい保険サービス</t>
  </si>
  <si>
    <t xml:space="preserve">佐藤 花子</t>
  </si>
  <si>
    <t xml:space="preserve">sato@example.com</t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</si>
  <si>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Meiryo UI"/>
        <family val="0"/>
        <charset val="1"/>
      </rPr>
      <t xml:space="preserve">B</t>
    </r>
  </si>
  <si>
    <t xml:space="preserve">A</t>
  </si>
  <si>
    <t xml:space="preserve">経営者向け保険・資金繰り相談</t>
  </si>
  <si>
    <t xml:space="preserve">AG-003</t>
  </si>
  <si>
    <t xml:space="preserve">【サンプル】中央ビジネスコンサル</t>
  </si>
  <si>
    <t xml:space="preserve">鈴木 一郎</t>
  </si>
  <si>
    <t xml:space="preserve">090-0000-0003</t>
  </si>
  <si>
    <t xml:space="preserve">C</t>
  </si>
  <si>
    <t xml:space="preserve">創業支援・補助金</t>
  </si>
  <si>
    <t xml:space="preserve">契約後まだ紹介なし。勉強会で立上げ支援</t>
  </si>
  <si>
    <t xml:space="preserve">アクションログ（代理店とのコミュニケーション履歴）</t>
  </si>
  <si>
    <r>
      <rPr>
        <sz val="9"/>
        <color rgb="FF595959"/>
        <rFont val="WenQuanYi Zen Hei"/>
        <family val="2"/>
      </rPr>
      <t xml:space="preserve">代理店と接触したら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行追加。次回アクションと予定日を必ず入れ、実施したら「完了」を「済」に。代理店一覧に自動反映されます。</t>
    </r>
  </si>
  <si>
    <t xml:space="preserve">接触日</t>
  </si>
  <si>
    <t xml:space="preserve">接触手段</t>
  </si>
  <si>
    <t xml:space="preserve">接触目的</t>
  </si>
  <si>
    <t xml:space="preserve">内容・ヒアリング事項</t>
  </si>
  <si>
    <t xml:space="preserve">代理店の温度感</t>
  </si>
  <si>
    <t xml:space="preserve">次回予定日</t>
  </si>
  <si>
    <t xml:space="preserve">完了</t>
  </si>
  <si>
    <t xml:space="preserve">照合キー（自動）</t>
  </si>
  <si>
    <t xml:space="preserve">訪問</t>
  </si>
  <si>
    <t xml:space="preserve">定期フォロー</t>
  </si>
  <si>
    <r>
      <rPr>
        <sz val="10"/>
        <color rgb="FF0000FF"/>
        <rFont val="Meiryo UI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月の紹介予定を確認。決算期前の顧問先</t>
    </r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社を紹介予定</t>
    </r>
  </si>
  <si>
    <t xml:space="preserve">◎ 非常に前向き</t>
  </si>
  <si>
    <r>
      <rPr>
        <sz val="10"/>
        <color rgb="FF0000FF"/>
        <rFont val="WenQuanYi Zen Hei"/>
        <family val="2"/>
      </rPr>
      <t xml:space="preserve">紹介予定</t>
    </r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社の日程調整</t>
    </r>
  </si>
  <si>
    <t xml:space="preserve">済</t>
  </si>
  <si>
    <t xml:space="preserve">電話</t>
  </si>
  <si>
    <t xml:space="preserve">紹介案件の進捗報告</t>
  </si>
  <si>
    <r>
      <rPr>
        <sz val="10"/>
        <color rgb="FF0000FF"/>
        <rFont val="WenQuanYi Zen Hei"/>
        <family val="2"/>
      </rPr>
      <t xml:space="preserve">紹介</t>
    </r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社の初回面談日を報告。うち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社は来週提案</t>
    </r>
  </si>
  <si>
    <t xml:space="preserve">○ 前向き</t>
  </si>
  <si>
    <t xml:space="preserve">提案結果の報告と次の紹介依頼</t>
  </si>
  <si>
    <t xml:space="preserve">未</t>
  </si>
  <si>
    <t xml:space="preserve">オンライン面談</t>
  </si>
  <si>
    <t xml:space="preserve">新商材・キャンペーン案内</t>
  </si>
  <si>
    <t xml:space="preserve">節税商品の新スキームを説明。顧客に案内してみるとのこと</t>
  </si>
  <si>
    <t xml:space="preserve">顧客向け説明資料を送付</t>
  </si>
  <si>
    <t xml:space="preserve">メール</t>
  </si>
  <si>
    <t xml:space="preserve">説明資料を送付</t>
  </si>
  <si>
    <t xml:space="preserve">△ 様子見</t>
  </si>
  <si>
    <t xml:space="preserve">資料の反応を電話で確認</t>
  </si>
  <si>
    <t xml:space="preserve">勉強会・セミナー</t>
  </si>
  <si>
    <t xml:space="preserve">勉強会・研修</t>
  </si>
  <si>
    <t xml:space="preserve">代理店向け勉強会に参加。紹介の流れは理解済み</t>
  </si>
  <si>
    <t xml:space="preserve">紹介しやすい顧客像を一緒に洗い出す</t>
  </si>
  <si>
    <t xml:space="preserve">月次実績（代理店別の紹介・成約）</t>
  </si>
  <si>
    <r>
      <rPr>
        <sz val="9"/>
        <color rgb="FF595959"/>
        <rFont val="WenQuanYi Zen Hei"/>
        <family val="2"/>
      </rPr>
      <t xml:space="preserve">月末に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代理店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行で入力。数値は</t>
    </r>
    <r>
      <rPr>
        <sz val="9"/>
        <color rgb="FF595959"/>
        <rFont val="Meiryo UI"/>
        <family val="0"/>
        <charset val="1"/>
      </rPr>
      <t xml:space="preserve">kintone</t>
    </r>
    <r>
      <rPr>
        <sz val="9"/>
        <color rgb="FF595959"/>
        <rFont val="WenQuanYi Zen Hei"/>
        <family val="2"/>
      </rPr>
      <t xml:space="preserve">『マスタ｜代理店管理』の代理店リード一覧・代理店案件一覧から転記します。年月は各月の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日（例：</t>
    </r>
    <r>
      <rPr>
        <sz val="9"/>
        <color rgb="FF595959"/>
        <rFont val="Meiryo UI"/>
        <family val="0"/>
        <charset val="1"/>
      </rPr>
      <t xml:space="preserve">2026/09/01</t>
    </r>
    <r>
      <rPr>
        <sz val="9"/>
        <color rgb="FF595959"/>
        <rFont val="WenQuanYi Zen Hei"/>
        <family val="2"/>
      </rPr>
      <t xml:space="preserve">）で入力。</t>
    </r>
  </si>
  <si>
    <r>
      <rPr>
        <b val="true"/>
        <sz val="10"/>
        <color rgb="FF000000"/>
        <rFont val="WenQuanYi Zen Hei"/>
        <family val="2"/>
      </rPr>
      <t xml:space="preserve">年月（</t>
    </r>
    <r>
      <rPr>
        <b val="true"/>
        <sz val="10"/>
        <color rgb="FF000000"/>
        <rFont val="Meiryo UI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日で入力）</t>
    </r>
  </si>
  <si>
    <t xml:space="preserve">紹介リード数</t>
  </si>
  <si>
    <t xml:space="preserve">案件化数</t>
  </si>
  <si>
    <t xml:space="preserve">成約数</t>
  </si>
  <si>
    <t xml:space="preserve">成約金額（円）</t>
  </si>
  <si>
    <t xml:space="preserve">代理店報酬（円）</t>
  </si>
  <si>
    <t xml:space="preserve">備考</t>
  </si>
  <si>
    <t xml:space="preserve">月次サマリー（年度の推移）</t>
  </si>
  <si>
    <t xml:space="preserve">すべて自動計算。年度開始月は『設定』シートで変更できます。</t>
  </si>
  <si>
    <t xml:space="preserve">年月</t>
  </si>
  <si>
    <t xml:space="preserve">登録代理店数</t>
  </si>
  <si>
    <r>
      <rPr>
        <b val="true"/>
        <sz val="10"/>
        <color rgb="FF000000"/>
        <rFont val="WenQuanYi Zen Hei"/>
        <family val="2"/>
      </rPr>
      <t xml:space="preserve">稼働代理店数（紹介</t>
    </r>
    <r>
      <rPr>
        <b val="true"/>
        <sz val="10"/>
        <color rgb="FF000000"/>
        <rFont val="Meiryo UI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件以上）</t>
    </r>
  </si>
  <si>
    <t xml:space="preserve">稼働率</t>
  </si>
  <si>
    <t xml:space="preserve">接触件数</t>
  </si>
  <si>
    <t xml:space="preserve">うち対面（訪問・面談・勉強会・会食）</t>
  </si>
  <si>
    <t xml:space="preserve">年度合計</t>
  </si>
  <si>
    <t xml:space="preserve">※ 年度合計の「登録代理店数」は年度末時点、「稼働代理店数」は月の最大値。</t>
  </si>
  <si>
    <t xml:space="preserve">定例アクション計画（代理店を動かし続けるための接点づくり）</t>
  </si>
  <si>
    <t xml:space="preserve">当社で想定した運用例です。自社の商材・繁忙期に合わせて書き換えてください。</t>
  </si>
  <si>
    <t xml:space="preserve">タイミング</t>
  </si>
  <si>
    <t xml:space="preserve">対象</t>
  </si>
  <si>
    <t xml:space="preserve">アクション</t>
  </si>
  <si>
    <t xml:space="preserve">狙い</t>
  </si>
  <si>
    <t xml:space="preserve">主担当</t>
  </si>
  <si>
    <t xml:space="preserve">手段・ツール</t>
  </si>
  <si>
    <t xml:space="preserve">毎週月曜</t>
  </si>
  <si>
    <t xml:space="preserve">全代理店</t>
  </si>
  <si>
    <t xml:space="preserve">『代理店一覧』を接触ステータスで絞り込み、期限超過・今週連絡の代理店に連絡</t>
  </si>
  <si>
    <t xml:space="preserve">連絡の抜け漏れをゼロにする</t>
  </si>
  <si>
    <t xml:space="preserve">各担当</t>
  </si>
  <si>
    <t xml:space="preserve">本シート</t>
  </si>
  <si>
    <t xml:space="preserve">毎週</t>
  </si>
  <si>
    <r>
      <rPr>
        <sz val="10"/>
        <color rgb="FF000000"/>
        <rFont val="Meiryo UI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ランク</t>
    </r>
  </si>
  <si>
    <t xml:space="preserve">紹介予定・進捗の確認連絡（電話・チャット）</t>
  </si>
  <si>
    <t xml:space="preserve">紹介の流れを止めない</t>
  </si>
  <si>
    <r>
      <rPr>
        <sz val="10"/>
        <color rgb="FF000000"/>
        <rFont val="WenQuanYi Zen Hei"/>
        <family val="2"/>
      </rPr>
      <t xml:space="preserve">電話・</t>
    </r>
    <r>
      <rPr>
        <sz val="10"/>
        <color rgb="FF000000"/>
        <rFont val="Meiryo UI"/>
        <family val="0"/>
        <charset val="1"/>
      </rPr>
      <t xml:space="preserve">LINE</t>
    </r>
  </si>
  <si>
    <t xml:space="preserve">紹介受領の当日中</t>
  </si>
  <si>
    <t xml:space="preserve">紹介元代理店</t>
  </si>
  <si>
    <t xml:space="preserve">紹介受領のお礼と今後の流れを連絡</t>
  </si>
  <si>
    <t xml:space="preserve">紹介して良かったと感じてもらう</t>
  </si>
  <si>
    <t xml:space="preserve">電話・チャット</t>
  </si>
  <si>
    <r>
      <rPr>
        <sz val="10"/>
        <color rgb="FF000000"/>
        <rFont val="WenQuanYi Zen Hei"/>
        <family val="2"/>
      </rPr>
      <t xml:space="preserve">初回面談から</t>
    </r>
    <r>
      <rPr>
        <sz val="10"/>
        <color rgb="FF000000"/>
        <rFont val="Meiryo UI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営業日以内</t>
    </r>
  </si>
  <si>
    <t xml:space="preserve">面談結果・次のステップを報告</t>
  </si>
  <si>
    <t xml:space="preserve">代理店が顧客にフォローしやすくする</t>
  </si>
  <si>
    <t xml:space="preserve">メール・チャット</t>
  </si>
  <si>
    <r>
      <rPr>
        <sz val="10"/>
        <color rgb="FF000000"/>
        <rFont val="WenQuanYi Zen Hei"/>
        <family val="2"/>
      </rPr>
      <t xml:space="preserve">成約時（</t>
    </r>
    <r>
      <rPr>
        <sz val="10"/>
        <color rgb="FF000000"/>
        <rFont val="Meiryo UI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時間以内）</t>
    </r>
  </si>
  <si>
    <t xml:space="preserve">成約報告と報酬見込みの連絡</t>
  </si>
  <si>
    <t xml:space="preserve">成功体験を共有し次の紹介につなげる</t>
  </si>
  <si>
    <t xml:space="preserve">毎月初</t>
  </si>
  <si>
    <t xml:space="preserve">新商材・キャンペーン情報、紹介トークのポイントを配信</t>
  </si>
  <si>
    <t xml:space="preserve">紹介のきっかけを定期的に提供</t>
  </si>
  <si>
    <t xml:space="preserve">マーケ担当</t>
  </si>
  <si>
    <t xml:space="preserve">毎月末</t>
  </si>
  <si>
    <t xml:space="preserve">代理店別の紹介・成約実績レポートを送付（『月次実績』を活用）</t>
  </si>
  <si>
    <t xml:space="preserve">実績を見える化して関係を深める</t>
  </si>
  <si>
    <r>
      <rPr>
        <sz val="10"/>
        <color rgb="FF000000"/>
        <rFont val="Meiryo UI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ランク・休眠</t>
    </r>
  </si>
  <si>
    <t xml:space="preserve">再活性化の個別提案（勉強会招待、同行営業の提案など）</t>
  </si>
  <si>
    <t xml:space="preserve">休眠代理店を掘り起こす</t>
  </si>
  <si>
    <t xml:space="preserve">電話・訪問</t>
  </si>
  <si>
    <t xml:space="preserve">四半期ごと</t>
  </si>
  <si>
    <t xml:space="preserve">代理店向け勉強会（税制改正・商材説明・成功事例共有）</t>
  </si>
  <si>
    <t xml:space="preserve">知識を更新し、紹介しやすい状態をつくる</t>
  </si>
  <si>
    <t xml:space="preserve">責任者</t>
  </si>
  <si>
    <t xml:space="preserve">セミナー・オンライン</t>
  </si>
  <si>
    <t xml:space="preserve">半期ごと</t>
  </si>
  <si>
    <r>
      <rPr>
        <sz val="10"/>
        <color rgb="FF000000"/>
        <rFont val="Meiryo UI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 UI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ランク</t>
    </r>
  </si>
  <si>
    <t xml:space="preserve">ランク見直しと個別面談（目標のすり合わせ・インセンティブ案内）</t>
  </si>
  <si>
    <t xml:space="preserve">重点代理店のモチベーション維持</t>
  </si>
  <si>
    <t xml:space="preserve">訪問・オンライン</t>
  </si>
  <si>
    <t xml:space="preserve">顧客の決算期が集中する時期の前</t>
  </si>
  <si>
    <t xml:space="preserve">節税・決算対策の提案キャンペーンを案内</t>
  </si>
  <si>
    <t xml:space="preserve">繁忙期前に紹介を集中させる</t>
  </si>
  <si>
    <t xml:space="preserve">メール・勉強会</t>
  </si>
  <si>
    <r>
      <rPr>
        <sz val="10"/>
        <color rgb="FF000000"/>
        <rFont val="WenQuanYi Zen Hei"/>
        <family val="2"/>
      </rPr>
      <t xml:space="preserve">契約直後の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ヶ月</t>
    </r>
  </si>
  <si>
    <t xml:space="preserve">新規代理店</t>
  </si>
  <si>
    <t xml:space="preserve">立上げ面談（商材説明・紹介フロー説明・紹介したい顧客像の洗い出し）</t>
  </si>
  <si>
    <r>
      <rPr>
        <sz val="10"/>
        <color rgb="FF000000"/>
        <rFont val="WenQuanYi Zen Hei"/>
        <family val="2"/>
      </rPr>
      <t xml:space="preserve">最初の</t>
    </r>
    <r>
      <rPr>
        <sz val="10"/>
        <color rgb="FF000000"/>
        <rFont val="Meiryo UI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件目の紹介を早く出す</t>
    </r>
  </si>
  <si>
    <t xml:space="preserve">設定・マスタ</t>
  </si>
  <si>
    <t xml:space="preserve">黄色セルを自社の運用に合わせて変更してください。他シートの判定・入力リストはここを参照します。</t>
  </si>
  <si>
    <t xml:space="preserve">基準日</t>
  </si>
  <si>
    <t xml:space="preserve">自動（今日の日付）</t>
  </si>
  <si>
    <t xml:space="preserve">今月初日</t>
  </si>
  <si>
    <t xml:space="preserve">自動</t>
  </si>
  <si>
    <t xml:space="preserve">稼働判定の対象期間（ヶ月）</t>
  </si>
  <si>
    <t xml:space="preserve">直近何ヶ月の紹介数で稼働判定するか</t>
  </si>
  <si>
    <t xml:space="preserve">「稼働中」とみなす紹介数</t>
  </si>
  <si>
    <r>
      <rPr>
        <sz val="9"/>
        <color rgb="FF595959"/>
        <rFont val="WenQuanYi Zen Hei"/>
        <family val="2"/>
      </rPr>
      <t xml:space="preserve">対象期間内の紹介リード数がこの数以上 → 稼働中／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以上 → 低稼働／</t>
    </r>
    <r>
      <rPr>
        <sz val="9"/>
        <color rgb="FF595959"/>
        <rFont val="Meiryo UI"/>
        <family val="0"/>
        <charset val="1"/>
      </rPr>
      <t xml:space="preserve">0 → </t>
    </r>
    <r>
      <rPr>
        <sz val="9"/>
        <color rgb="FF595959"/>
        <rFont val="WenQuanYi Zen Hei"/>
        <family val="2"/>
      </rPr>
      <t xml:space="preserve">休眠</t>
    </r>
  </si>
  <si>
    <t xml:space="preserve">連絡期限アラート（日前）</t>
  </si>
  <si>
    <t xml:space="preserve">次回接触期限のこの日数前から「今週連絡」と表示</t>
  </si>
  <si>
    <t xml:space="preserve">年度開始月（月次サマリー用）</t>
  </si>
  <si>
    <r>
      <rPr>
        <sz val="9"/>
        <color rgb="FF595959"/>
        <rFont val="WenQuanYi Zen Hei"/>
        <family val="2"/>
      </rPr>
      <t xml:space="preserve">月次サマリーの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行目の月</t>
    </r>
  </si>
  <si>
    <t xml:space="preserve">代理店ランク定義（接触頻度の基準）</t>
  </si>
  <si>
    <t xml:space="preserve">入力リスト（プルダウンの選択肢）</t>
  </si>
  <si>
    <t xml:space="preserve">定義の目安</t>
  </si>
  <si>
    <t xml:space="preserve">推奨アクション</t>
  </si>
  <si>
    <t xml:space="preserve">温度感</t>
  </si>
  <si>
    <r>
      <rPr>
        <sz val="10"/>
        <color rgb="FF0000FF"/>
        <rFont val="WenQuanYi Zen Hei"/>
        <family val="2"/>
      </rPr>
      <t xml:space="preserve">毎月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件以上紹介／重点パートナー</t>
    </r>
  </si>
  <si>
    <r>
      <rPr>
        <sz val="10"/>
        <color rgb="FF0000FF"/>
        <rFont val="WenQuanYi Zen Hei"/>
        <family val="2"/>
      </rPr>
      <t xml:space="preserve">週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回の連絡＋月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回の訪問・オンライン面談</t>
    </r>
  </si>
  <si>
    <r>
      <rPr>
        <sz val="10"/>
        <color rgb="FF0000FF"/>
        <rFont val="WenQuanYi Zen Hei"/>
        <family val="2"/>
      </rPr>
      <t xml:space="preserve">毎月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 UI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件紹介</t>
    </r>
  </si>
  <si>
    <t xml:space="preserve">隔週の電話・オンライン、新商材の個別説明</t>
  </si>
  <si>
    <t xml:space="preserve">B</t>
  </si>
  <si>
    <r>
      <rPr>
        <sz val="10"/>
        <color rgb="FF0000FF"/>
        <rFont val="WenQuanYi Zen Hei"/>
        <family val="2"/>
      </rPr>
      <t xml:space="preserve">四半期に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件程度紹介</t>
    </r>
  </si>
  <si>
    <r>
      <rPr>
        <sz val="10"/>
        <color rgb="FF0000FF"/>
        <rFont val="WenQuanYi Zen Hei"/>
        <family val="2"/>
      </rPr>
      <t xml:space="preserve">月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回の定期フォロー、事例共有</t>
    </r>
  </si>
  <si>
    <r>
      <rPr>
        <sz val="10"/>
        <color rgb="FF0000FF"/>
        <rFont val="WenQuanYi Zen Hei"/>
        <family val="2"/>
      </rPr>
      <t xml:space="preserve">担当者</t>
    </r>
    <r>
      <rPr>
        <sz val="10"/>
        <color rgb="FF0000FF"/>
        <rFont val="Meiryo UI"/>
        <family val="0"/>
        <charset val="1"/>
      </rPr>
      <t xml:space="preserve">C</t>
    </r>
  </si>
  <si>
    <t xml:space="preserve">休眠・契約直後の立上げ期</t>
  </si>
  <si>
    <r>
      <rPr>
        <sz val="10"/>
        <color rgb="FF0000FF"/>
        <rFont val="WenQuanYi Zen Hei"/>
        <family val="2"/>
      </rPr>
      <t xml:space="preserve">月</t>
    </r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回の情報提供＋再活性化の提案（勉強会招待など）</t>
    </r>
  </si>
  <si>
    <t xml:space="preserve">成約報告・お礼</t>
  </si>
  <si>
    <r>
      <rPr>
        <sz val="10"/>
        <color rgb="FF0000FF"/>
        <rFont val="Meiryo UI"/>
        <family val="0"/>
        <charset val="1"/>
      </rPr>
      <t xml:space="preserve">× </t>
    </r>
    <r>
      <rPr>
        <sz val="10"/>
        <color rgb="FF0000FF"/>
        <rFont val="WenQuanYi Zen Hei"/>
        <family val="2"/>
      </rPr>
      <t xml:space="preserve">消極的</t>
    </r>
  </si>
  <si>
    <r>
      <rPr>
        <sz val="10"/>
        <color rgb="FF0000FF"/>
        <rFont val="Meiryo UI"/>
        <family val="0"/>
        <charset val="1"/>
      </rPr>
      <t xml:space="preserve">LINE/</t>
    </r>
    <r>
      <rPr>
        <sz val="10"/>
        <color rgb="FF0000FF"/>
        <rFont val="WenQuanYi Zen Hei"/>
        <family val="2"/>
      </rPr>
      <t xml:space="preserve">チャット</t>
    </r>
  </si>
  <si>
    <t xml:space="preserve">課題・要望ヒアリング</t>
  </si>
  <si>
    <t xml:space="preserve">※ 接触頻度の日数は運用開始時の目安です（当社想定値）。実態に合わせて調整してください。</t>
  </si>
  <si>
    <t xml:space="preserve">会食</t>
  </si>
  <si>
    <t xml:space="preserve">報酬・インセンティブ案内</t>
  </si>
  <si>
    <t xml:space="preserve">契約・条件見直し</t>
  </si>
  <si>
    <r>
      <rPr>
        <sz val="9"/>
        <color rgb="FF595959"/>
        <rFont val="WenQuanYi Zen Hei"/>
        <family val="2"/>
      </rPr>
      <t xml:space="preserve">※ 空欄に追記すると各シートのプルダウンに反映されます（各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件まで）。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</si>
</sst>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General"/>
    <numFmt numFmtId="167" formatCode="0.0%"/>
    <numFmt numFmtId="168" formatCode="#,##0"/>
    <numFmt numFmtId="169" formatCode="yyyy/mm"/>
    <numFmt numFmtId="170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WenQuanYi Zen Hei"/>
      <family val="2"/>
    </font>
    <font>
      <sz val="9"/>
      <color rgb="FF595959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Meiryo UI"/>
      <family val="0"/>
      <charset val="1"/>
    </font>
    <font>
      <b val="true"/>
      <sz val="10"/>
      <color rgb="FF0000FF"/>
      <name val="WenQuanYi Zen Hei"/>
      <family val="2"/>
    </font>
    <font>
      <b val="true"/>
      <sz val="10"/>
      <color rgb="FF000000"/>
      <name val="Meiryo UI"/>
      <family val="0"/>
      <charset val="1"/>
    </font>
    <font>
      <sz val="10"/>
      <color rgb="FF0000FF"/>
      <name val="Meiryo UI"/>
      <family val="0"/>
      <charset val="1"/>
    </font>
    <font>
      <sz val="10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sz val="9"/>
      <color rgb="FF595959"/>
      <name val="Meiryo UI"/>
      <family val="0"/>
      <charset val="1"/>
    </font>
    <font>
      <sz val="8"/>
      <color rgb="FFA6A6A6"/>
      <name val="Meiryo UI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ont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ont>
        <color rgb="FF7F7F7F"/>
      </font>
      <fill>
        <patternFill>
          <bgColor rgb="FFE7E6E6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699"/>
      <rgbColor rgb="FF99CCFF"/>
      <rgbColor rgb="FFFCE4D6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月別 紹介リード数・成約数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月次サマリー!G4</c:f>
              <c:strCache>
                <c:ptCount val="1"/>
                <c:pt idx="0">
                  <c:v>紹介リード数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月次サマリー!$A$5:$A$16</c:f>
              <c:strCache>
                <c:ptCount val="12"/>
                <c:pt idx="0">
                  <c:v>2026/04</c:v>
                </c:pt>
                <c:pt idx="1">
                  <c:v>2026/05</c:v>
                </c:pt>
                <c:pt idx="2">
                  <c:v>2026/06</c:v>
                </c:pt>
                <c:pt idx="3">
                  <c:v>2026/07</c:v>
                </c:pt>
                <c:pt idx="4">
                  <c:v>2026/08</c:v>
                </c:pt>
                <c:pt idx="5">
                  <c:v>2026/09</c:v>
                </c:pt>
                <c:pt idx="6">
                  <c:v>2026/10</c:v>
                </c:pt>
                <c:pt idx="7">
                  <c:v>2026/11</c:v>
                </c:pt>
                <c:pt idx="8">
                  <c:v>2026/12</c:v>
                </c:pt>
                <c:pt idx="9">
                  <c:v>2027/01</c:v>
                </c:pt>
                <c:pt idx="10">
                  <c:v>2027/02</c:v>
                </c:pt>
                <c:pt idx="11">
                  <c:v>2027/03</c:v>
                </c:pt>
              </c:strCache>
            </c:strRef>
          </c:cat>
          <c:val>
            <c:numRef>
              <c:f>月次サマリー!$G$5:$G$16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月次サマリー!I4</c:f>
              <c:strCache>
                <c:ptCount val="1"/>
                <c:pt idx="0">
                  <c:v>成約数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月次サマリー!$A$5:$A$16</c:f>
              <c:strCache>
                <c:ptCount val="12"/>
                <c:pt idx="0">
                  <c:v>2026/04</c:v>
                </c:pt>
                <c:pt idx="1">
                  <c:v>2026/05</c:v>
                </c:pt>
                <c:pt idx="2">
                  <c:v>2026/06</c:v>
                </c:pt>
                <c:pt idx="3">
                  <c:v>2026/07</c:v>
                </c:pt>
                <c:pt idx="4">
                  <c:v>2026/08</c:v>
                </c:pt>
                <c:pt idx="5">
                  <c:v>2026/09</c:v>
                </c:pt>
                <c:pt idx="6">
                  <c:v>2026/10</c:v>
                </c:pt>
                <c:pt idx="7">
                  <c:v>2026/11</c:v>
                </c:pt>
                <c:pt idx="8">
                  <c:v>2026/12</c:v>
                </c:pt>
                <c:pt idx="9">
                  <c:v>2027/01</c:v>
                </c:pt>
                <c:pt idx="10">
                  <c:v>2027/02</c:v>
                </c:pt>
                <c:pt idx="11">
                  <c:v>2027/03</c:v>
                </c:pt>
              </c:strCache>
            </c:strRef>
          </c:cat>
          <c:val>
            <c:numRef>
              <c:f>月次サマリー!$I$5:$I$16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7091918"/>
        <c:axId val="94780896"/>
      </c:barChart>
      <c:catAx>
        <c:axId val="37091918"/>
        <c:scaling>
          <c:orientation val="minMax"/>
        </c:scaling>
        <c:delete val="0"/>
        <c:axPos val="b"/>
        <c:numFmt formatCode="yyyy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80896"/>
        <c:crosses val="autoZero"/>
        <c:auto val="1"/>
        <c:lblAlgn val="ctr"/>
        <c:lblOffset val="100"/>
        <c:noMultiLvlLbl val="0"/>
      </c:catAx>
      <c:valAx>
        <c:axId val="94780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91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8</xdr:col>
      <xdr:colOff>274320</xdr:colOff>
      <xdr:row>35</xdr:row>
      <xdr:rowOff>22320</xdr:rowOff>
    </xdr:to>
    <xdr:graphicFrame>
      <xdr:nvGraphicFramePr>
        <xdr:cNvPr id="0" name="Chart 1"/>
        <xdr:cNvGraphicFramePr/>
      </xdr:nvGraphicFramePr>
      <xdr:xfrm>
        <a:off x="0" y="41529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25.5" hidden="false" customHeight="tru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5" t="s">
        <v>7</v>
      </c>
      <c r="C7" s="6" t="s">
        <v>8</v>
      </c>
    </row>
    <row r="8" customFormat="false" ht="15" hidden="false" customHeight="false" outlineLevel="0" collapsed="false">
      <c r="B8" s="5" t="s">
        <v>9</v>
      </c>
      <c r="C8" s="6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</row>
    <row r="10" customFormat="false" ht="15" hidden="false" customHeight="false" outlineLevel="0" collapsed="false">
      <c r="B10" s="5" t="s">
        <v>13</v>
      </c>
      <c r="C10" s="6" t="s">
        <v>14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4" t="s">
        <v>15</v>
      </c>
    </row>
    <row r="13" customFormat="false" ht="15" hidden="false" customHeight="false" outlineLevel="0" collapsed="false">
      <c r="B13" s="7" t="s">
        <v>16</v>
      </c>
      <c r="C13" s="6" t="s">
        <v>17</v>
      </c>
    </row>
    <row r="14" customFormat="false" ht="15" hidden="false" customHeight="false" outlineLevel="0" collapsed="false">
      <c r="B14" s="8" t="s">
        <v>18</v>
      </c>
      <c r="C14" s="6" t="s">
        <v>19</v>
      </c>
    </row>
    <row r="15" customFormat="false" ht="15" hidden="false" customHeight="false" outlineLevel="0" collapsed="false">
      <c r="B15" s="9" t="s">
        <v>20</v>
      </c>
      <c r="C15" s="6" t="s">
        <v>21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4" t="s">
        <v>22</v>
      </c>
    </row>
    <row r="18" customFormat="false" ht="15" hidden="false" customHeight="false" outlineLevel="0" collapsed="false">
      <c r="B18" s="5" t="s">
        <v>23</v>
      </c>
      <c r="C18" s="6" t="s">
        <v>24</v>
      </c>
    </row>
    <row r="19" customFormat="false" ht="15" hidden="false" customHeight="false" outlineLevel="0" collapsed="false">
      <c r="B19" s="5" t="s">
        <v>25</v>
      </c>
      <c r="C19" s="6" t="s">
        <v>26</v>
      </c>
    </row>
    <row r="20" customFormat="false" ht="15" hidden="false" customHeight="false" outlineLevel="0" collapsed="false">
      <c r="B20" s="5" t="s">
        <v>27</v>
      </c>
      <c r="C20" s="6" t="s">
        <v>28</v>
      </c>
    </row>
    <row r="21" customFormat="false" ht="15" hidden="false" customHeight="false" outlineLevel="0" collapsed="false">
      <c r="B21" s="5" t="s">
        <v>29</v>
      </c>
      <c r="C21" s="6" t="s">
        <v>30</v>
      </c>
    </row>
    <row r="22" customFormat="false" ht="15" hidden="false" customHeight="false" outlineLevel="0" collapsed="false">
      <c r="B22" s="5" t="s">
        <v>31</v>
      </c>
      <c r="C22" s="6" t="s">
        <v>32</v>
      </c>
    </row>
    <row r="23" customFormat="false" ht="15" hidden="false" customHeight="false" outlineLevel="0" collapsed="false">
      <c r="B23" s="5" t="s">
        <v>33</v>
      </c>
      <c r="C23" s="6" t="s">
        <v>34</v>
      </c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4" t="s">
        <v>35</v>
      </c>
    </row>
    <row r="26" customFormat="false" ht="15" hidden="false" customHeight="false" outlineLevel="0" collapsed="false">
      <c r="B26" s="5" t="s">
        <v>36</v>
      </c>
      <c r="C26" s="6" t="s">
        <v>37</v>
      </c>
    </row>
    <row r="27" customFormat="false" ht="15" hidden="false" customHeight="false" outlineLevel="0" collapsed="false">
      <c r="B27" s="5" t="s">
        <v>38</v>
      </c>
      <c r="C27" s="6" t="s">
        <v>39</v>
      </c>
    </row>
    <row r="28" customFormat="false" ht="15" hidden="false" customHeight="false" outlineLevel="0" collapsed="false">
      <c r="B28" s="5" t="s">
        <v>40</v>
      </c>
      <c r="C28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28"/>
    <col collapsed="false" customWidth="true" hidden="false" outlineLevel="0" max="17" min="16" style="0" width="9"/>
    <col collapsed="false" customWidth="true" hidden="false" outlineLevel="0" max="20" min="18" style="0" width="8"/>
    <col collapsed="false" customWidth="true" hidden="false" outlineLevel="0" max="21" min="21" style="0" width="13"/>
    <col collapsed="false" customWidth="true" hidden="false" outlineLevel="0" max="22" min="22" style="0" width="9"/>
    <col collapsed="false" customWidth="true" hidden="false" outlineLevel="0" max="23" min="23" style="0" width="30"/>
  </cols>
  <sheetData>
    <row r="1" customFormat="false" ht="25.5" hidden="false" customHeight="tru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43</v>
      </c>
    </row>
    <row r="4" customFormat="false" ht="31.5" hidden="false" customHeight="true" outlineLevel="0" collapsed="false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36</v>
      </c>
      <c r="N4" s="11" t="s">
        <v>56</v>
      </c>
      <c r="O4" s="11" t="s">
        <v>57</v>
      </c>
      <c r="P4" s="11" t="s">
        <v>58</v>
      </c>
      <c r="Q4" s="11" t="s">
        <v>59</v>
      </c>
      <c r="R4" s="11" t="s">
        <v>60</v>
      </c>
      <c r="S4" s="11" t="s">
        <v>61</v>
      </c>
      <c r="T4" s="11" t="s">
        <v>62</v>
      </c>
      <c r="U4" s="11" t="s">
        <v>63</v>
      </c>
      <c r="V4" s="11" t="s">
        <v>38</v>
      </c>
      <c r="W4" s="10" t="s">
        <v>64</v>
      </c>
    </row>
    <row r="5" customFormat="false" ht="15" hidden="false" customHeight="false" outlineLevel="0" collapsed="false">
      <c r="A5" s="12" t="s">
        <v>65</v>
      </c>
      <c r="B5" s="13" t="s">
        <v>66</v>
      </c>
      <c r="C5" s="13" t="s">
        <v>67</v>
      </c>
      <c r="D5" s="12" t="s">
        <v>68</v>
      </c>
      <c r="E5" s="13" t="s">
        <v>69</v>
      </c>
      <c r="F5" s="12" t="s">
        <v>70</v>
      </c>
      <c r="G5" s="14" t="n">
        <v>45931</v>
      </c>
      <c r="H5" s="13" t="s">
        <v>71</v>
      </c>
      <c r="I5" s="15" t="n">
        <f aca="false">IF($A5="","",IF(_xlfn.MAXIFS(アクションログ!$A$5:$A$2004,アクションログ!$B$5:$B$2004,$A5)=0,"",_xlfn.MAXIFS(アクションログ!$A$5:$A$2004,アクションログ!$B$5:$B$2004,$A5)))</f>
        <v>46275</v>
      </c>
      <c r="J5" s="16" t="n">
        <f aca="false">IF(OR($A5="",I5=""),"",設定!$C$4-I5)</f>
        <v>16</v>
      </c>
      <c r="K5" s="16" t="n">
        <f aca="false">IF($A5="","",IFERROR(INDEX(設定!$D$14:$D$17,MATCH(F5,設定!$B$14:$B$17,0)),""))</f>
        <v>7</v>
      </c>
      <c r="L5" s="15" t="n">
        <f aca="false">IF(OR($A5="",K5=""),"",IF(I5="",設定!$C$4,I5+K5))</f>
        <v>46282</v>
      </c>
      <c r="M5" s="17" t="str">
        <f aca="false">IF($A5="","",IF(F5="","ランク未設定",IF(I5="","未接触",IF(設定!$C$4&gt;L5,"期限超過",IF(L5-設定!$C$4&lt;=設定!$C$8,"今週連絡","OK")))))</f>
        <v>期限超過</v>
      </c>
      <c r="N5" s="15" t="n">
        <f aca="false">IF($A5="","",IF(_xlfn.MINIFS(アクションログ!$J$5:$J$2004,アクションログ!$B$5:$B$2004,$A5,アクションログ!$K$5:$K$2004,"&lt;&gt;済",アクションログ!$J$5:$J$2004,"&gt;0")=0,"",_xlfn.MINIFS(アクションログ!$J$5:$J$2004,アクションログ!$B$5:$B$2004,$A5,アクションログ!$K$5:$K$2004,"&lt;&gt;済",アクションログ!$J$5:$J$2004,"&gt;0")))</f>
        <v>46295</v>
      </c>
      <c r="O5" s="18" t="str">
        <f aca="false">IF(N5="","",IFERROR(INDEX(アクションログ!$I$5:$I$2004,MATCH($A5&amp;"|"&amp;N5,アクションログ!$L$5:$L$2004,0)),""))</f>
        <v>提案結果の報告と次の紹介依頼</v>
      </c>
      <c r="P5" s="16" t="n">
        <f aca="false">IF($A5="","",COUNTIFS(アクションログ!$B$5:$B$2004,$A5,アクションログ!$A$5:$A$2004,"&gt;="&amp;設定!$C$5))</f>
        <v>2</v>
      </c>
      <c r="Q5" s="16" t="n">
        <f aca="false">IF($A5="","",SUMIFS(月次実績!$D$5:$D$3004,月次実績!$B$5:$B$3004,$A5,月次実績!$A$5:$A$3004,"&gt;="&amp;EDATE(設定!$C$5,-(設定!$C$6-1))))</f>
        <v>9</v>
      </c>
      <c r="R5" s="16" t="n">
        <f aca="false">IF($A5="","",SUMIFS(月次実績!$D$5:$D$3004,月次実績!$B$5:$B$3004,$A5))</f>
        <v>9</v>
      </c>
      <c r="S5" s="16" t="n">
        <f aca="false">IF($A5="","",SUMIFS(月次実績!$F$5:$F$3004,月次実績!$B$5:$B$3004,$A5))</f>
        <v>3</v>
      </c>
      <c r="T5" s="19" t="n">
        <f aca="false">IF(OR($A5="",R5=0),"",S5/R5)</f>
        <v>0.333333333333333</v>
      </c>
      <c r="U5" s="20" t="n">
        <f aca="false">IF($A5="","",SUMIFS(月次実績!$G$5:$G$3004,月次実績!$B$5:$B$3004,$A5))</f>
        <v>1700000</v>
      </c>
      <c r="V5" s="17" t="str">
        <f aca="false">IF($A5="","",IF(Q5&gt;=設定!$C$7,"稼働中",IF(Q5&gt;=1,"低稼働","休眠")))</f>
        <v>稼働中</v>
      </c>
      <c r="W5" s="13" t="s">
        <v>72</v>
      </c>
    </row>
    <row r="6" customFormat="false" ht="15" hidden="false" customHeight="false" outlineLevel="0" collapsed="false">
      <c r="A6" s="12" t="s">
        <v>73</v>
      </c>
      <c r="B6" s="13" t="s">
        <v>74</v>
      </c>
      <c r="C6" s="13" t="s">
        <v>75</v>
      </c>
      <c r="D6" s="12" t="s">
        <v>76</v>
      </c>
      <c r="E6" s="13" t="s">
        <v>77</v>
      </c>
      <c r="F6" s="12" t="s">
        <v>78</v>
      </c>
      <c r="G6" s="14" t="n">
        <v>46068</v>
      </c>
      <c r="H6" s="13" t="s">
        <v>79</v>
      </c>
      <c r="I6" s="15" t="n">
        <f aca="false">IF($A6="","",IF(_xlfn.MAXIFS(アクションログ!$A$5:$A$2004,アクションログ!$B$5:$B$2004,$A6)=0,"",_xlfn.MAXIFS(アクションログ!$A$5:$A$2004,アクションログ!$B$5:$B$2004,$A6)))</f>
        <v>46277</v>
      </c>
      <c r="J6" s="16" t="n">
        <f aca="false">IF(OR($A6="",I6=""),"",設定!$C$4-I6)</f>
        <v>14</v>
      </c>
      <c r="K6" s="16" t="n">
        <f aca="false">IF($A6="","",IFERROR(INDEX(設定!$D$14:$D$17,MATCH(F6,設定!$B$14:$B$17,0)),""))</f>
        <v>14</v>
      </c>
      <c r="L6" s="15" t="n">
        <f aca="false">IF(OR($A6="",K6=""),"",IF(I6="",設定!$C$4,I6+K6))</f>
        <v>46291</v>
      </c>
      <c r="M6" s="17" t="str">
        <f aca="false">IF($A6="","",IF(F6="","ランク未設定",IF(I6="","未接触",IF(設定!$C$4&gt;L6,"期限超過",IF(L6-設定!$C$4&lt;=設定!$C$8,"今週連絡","OK")))))</f>
        <v>今週連絡</v>
      </c>
      <c r="N6" s="15" t="n">
        <f aca="false">IF($A6="","",IF(_xlfn.MINIFS(アクションログ!$J$5:$J$2004,アクションログ!$B$5:$B$2004,$A6,アクションログ!$K$5:$K$2004,"&lt;&gt;済",アクションログ!$J$5:$J$2004,"&gt;0")=0,"",_xlfn.MINIFS(アクションログ!$J$5:$J$2004,アクションログ!$B$5:$B$2004,$A6,アクションログ!$K$5:$K$2004,"&lt;&gt;済",アクションログ!$J$5:$J$2004,"&gt;0")))</f>
        <v>46289</v>
      </c>
      <c r="O6" s="18" t="str">
        <f aca="false">IF(N6="","",IFERROR(INDEX(アクションログ!$I$5:$I$2004,MATCH($A6&amp;"|"&amp;N6,アクションログ!$L$5:$L$2004,0)),""))</f>
        <v>資料の反応を電話で確認</v>
      </c>
      <c r="P6" s="16" t="n">
        <f aca="false">IF($A6="","",COUNTIFS(アクションログ!$B$5:$B$2004,$A6,アクションログ!$A$5:$A$2004,"&gt;="&amp;設定!$C$5))</f>
        <v>2</v>
      </c>
      <c r="Q6" s="16" t="n">
        <f aca="false">IF($A6="","",SUMIFS(月次実績!$D$5:$D$3004,月次実績!$B$5:$B$3004,$A6,月次実績!$A$5:$A$3004,"&gt;="&amp;EDATE(設定!$C$5,-(設定!$C$6-1))))</f>
        <v>2</v>
      </c>
      <c r="R6" s="16" t="n">
        <f aca="false">IF($A6="","",SUMIFS(月次実績!$D$5:$D$3004,月次実績!$B$5:$B$3004,$A6))</f>
        <v>2</v>
      </c>
      <c r="S6" s="16" t="n">
        <f aca="false">IF($A6="","",SUMIFS(月次実績!$F$5:$F$3004,月次実績!$B$5:$B$3004,$A6))</f>
        <v>0</v>
      </c>
      <c r="T6" s="19" t="n">
        <f aca="false">IF(OR($A6="",R6=0),"",S6/R6)</f>
        <v>0</v>
      </c>
      <c r="U6" s="20" t="n">
        <f aca="false">IF($A6="","",SUMIFS(月次実績!$G$5:$G$3004,月次実績!$B$5:$B$3004,$A6))</f>
        <v>0</v>
      </c>
      <c r="V6" s="17" t="str">
        <f aca="false">IF($A6="","",IF(Q6&gt;=設定!$C$7,"稼働中",IF(Q6&gt;=1,"低稼働","休眠")))</f>
        <v>低稼働</v>
      </c>
      <c r="W6" s="12"/>
    </row>
    <row r="7" customFormat="false" ht="15" hidden="false" customHeight="false" outlineLevel="0" collapsed="false">
      <c r="A7" s="12" t="s">
        <v>80</v>
      </c>
      <c r="B7" s="13" t="s">
        <v>81</v>
      </c>
      <c r="C7" s="13" t="s">
        <v>82</v>
      </c>
      <c r="D7" s="12" t="s">
        <v>83</v>
      </c>
      <c r="E7" s="13" t="s">
        <v>69</v>
      </c>
      <c r="F7" s="12" t="s">
        <v>84</v>
      </c>
      <c r="G7" s="14" t="n">
        <v>46174</v>
      </c>
      <c r="H7" s="13" t="s">
        <v>85</v>
      </c>
      <c r="I7" s="15" t="n">
        <f aca="false">IF($A7="","",IF(_xlfn.MAXIFS(アクションログ!$A$5:$A$2004,アクションログ!$B$5:$B$2004,$A7)=0,"",_xlfn.MAXIFS(アクションログ!$A$5:$A$2004,アクションログ!$B$5:$B$2004,$A7)))</f>
        <v>46223</v>
      </c>
      <c r="J7" s="16" t="n">
        <f aca="false">IF(OR($A7="",I7=""),"",設定!$C$4-I7)</f>
        <v>68</v>
      </c>
      <c r="K7" s="16" t="n">
        <f aca="false">IF($A7="","",IFERROR(INDEX(設定!$D$14:$D$17,MATCH(F7,設定!$B$14:$B$17,0)),""))</f>
        <v>30</v>
      </c>
      <c r="L7" s="15" t="n">
        <f aca="false">IF(OR($A7="",K7=""),"",IF(I7="",設定!$C$4,I7+K7))</f>
        <v>46253</v>
      </c>
      <c r="M7" s="17" t="str">
        <f aca="false">IF($A7="","",IF(F7="","ランク未設定",IF(I7="","未接触",IF(設定!$C$4&gt;L7,"期限超過",IF(L7-設定!$C$4&lt;=設定!$C$8,"今週連絡","OK")))))</f>
        <v>期限超過</v>
      </c>
      <c r="N7" s="15" t="n">
        <f aca="false">IF($A7="","",IF(_xlfn.MINIFS(アクションログ!$J$5:$J$2004,アクションログ!$B$5:$B$2004,$A7,アクションログ!$K$5:$K$2004,"&lt;&gt;済",アクションログ!$J$5:$J$2004,"&gt;0")=0,"",_xlfn.MINIFS(アクションログ!$J$5:$J$2004,アクションログ!$B$5:$B$2004,$A7,アクションログ!$K$5:$K$2004,"&lt;&gt;済",アクションログ!$J$5:$J$2004,"&gt;0")))</f>
        <v>46254</v>
      </c>
      <c r="O7" s="18" t="str">
        <f aca="false">IF(N7="","",IFERROR(INDEX(アクションログ!$I$5:$I$2004,MATCH($A7&amp;"|"&amp;N7,アクションログ!$L$5:$L$2004,0)),""))</f>
        <v>紹介しやすい顧客像を一緒に洗い出す</v>
      </c>
      <c r="P7" s="16" t="n">
        <f aca="false">IF($A7="","",COUNTIFS(アクションログ!$B$5:$B$2004,$A7,アクションログ!$A$5:$A$2004,"&gt;="&amp;設定!$C$5))</f>
        <v>0</v>
      </c>
      <c r="Q7" s="16" t="n">
        <f aca="false">IF($A7="","",SUMIFS(月次実績!$D$5:$D$3004,月次実績!$B$5:$B$3004,$A7,月次実績!$A$5:$A$3004,"&gt;="&amp;EDATE(設定!$C$5,-(設定!$C$6-1))))</f>
        <v>0</v>
      </c>
      <c r="R7" s="16" t="n">
        <f aca="false">IF($A7="","",SUMIFS(月次実績!$D$5:$D$3004,月次実績!$B$5:$B$3004,$A7))</f>
        <v>0</v>
      </c>
      <c r="S7" s="16" t="n">
        <f aca="false">IF($A7="","",SUMIFS(月次実績!$F$5:$F$3004,月次実績!$B$5:$B$3004,$A7))</f>
        <v>0</v>
      </c>
      <c r="T7" s="19" t="str">
        <f aca="false">IF(OR($A7="",R7=0),"",S7/R7)</f>
        <v/>
      </c>
      <c r="U7" s="20" t="n">
        <f aca="false">IF($A7="","",SUMIFS(月次実績!$G$5:$G$3004,月次実績!$B$5:$B$3004,$A7))</f>
        <v>0</v>
      </c>
      <c r="V7" s="17" t="str">
        <f aca="false">IF($A7="","",IF(Q7&gt;=設定!$C$7,"稼働中",IF(Q7&gt;=1,"低稼働","休眠")))</f>
        <v>休眠</v>
      </c>
      <c r="W7" s="13" t="s">
        <v>86</v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1"/>
      <c r="G8" s="15"/>
      <c r="H8" s="21"/>
      <c r="I8" s="15" t="str">
        <f aca="false">IF($A8="","",IF(_xlfn.MAXIFS(アクションログ!$A$5:$A$2004,アクションログ!$B$5:$B$2004,$A8)=0,"",_xlfn.MAXIFS(アクションログ!$A$5:$A$2004,アクションログ!$B$5:$B$2004,$A8)))</f>
        <v/>
      </c>
      <c r="J8" s="16" t="str">
        <f aca="false">IF(OR($A8="",I8=""),"",設定!$C$4-I8)</f>
        <v/>
      </c>
      <c r="K8" s="16" t="str">
        <f aca="false">IF($A8="","",IFERROR(INDEX(設定!$D$14:$D$17,MATCH(F8,設定!$B$14:$B$17,0)),""))</f>
        <v/>
      </c>
      <c r="L8" s="15" t="str">
        <f aca="false">IF(OR($A8="",K8=""),"",IF(I8="",設定!$C$4,I8+K8))</f>
        <v/>
      </c>
      <c r="M8" s="17" t="str">
        <f aca="false">IF($A8="","",IF(F8="","ランク未設定",IF(I8="","未接触",IF(設定!$C$4&gt;L8,"期限超過",IF(L8-設定!$C$4&lt;=設定!$C$8,"今週連絡","OK")))))</f>
        <v/>
      </c>
      <c r="N8" s="15" t="str">
        <f aca="false">IF($A8="","",IF(_xlfn.MINIFS(アクションログ!$J$5:$J$2004,アクションログ!$B$5:$B$2004,$A8,アクションログ!$K$5:$K$2004,"&lt;&gt;済",アクションログ!$J$5:$J$2004,"&gt;0")=0,"",_xlfn.MINIFS(アクションログ!$J$5:$J$2004,アクションログ!$B$5:$B$2004,$A8,アクションログ!$K$5:$K$2004,"&lt;&gt;済",アクションログ!$J$5:$J$2004,"&gt;0")))</f>
        <v/>
      </c>
      <c r="O8" s="18" t="str">
        <f aca="false">IF(N8="","",IFERROR(INDEX(アクションログ!$I$5:$I$2004,MATCH($A8&amp;"|"&amp;N8,アクションログ!$L$5:$L$2004,0)),""))</f>
        <v/>
      </c>
      <c r="P8" s="16" t="str">
        <f aca="false">IF($A8="","",COUNTIFS(アクションログ!$B$5:$B$2004,$A8,アクションログ!$A$5:$A$2004,"&gt;="&amp;設定!$C$5))</f>
        <v/>
      </c>
      <c r="Q8" s="16" t="str">
        <f aca="false">IF($A8="","",SUMIFS(月次実績!$D$5:$D$3004,月次実績!$B$5:$B$3004,$A8,月次実績!$A$5:$A$3004,"&gt;="&amp;EDATE(設定!$C$5,-(設定!$C$6-1))))</f>
        <v/>
      </c>
      <c r="R8" s="16" t="str">
        <f aca="false">IF($A8="","",SUMIFS(月次実績!$D$5:$D$3004,月次実績!$B$5:$B$3004,$A8))</f>
        <v/>
      </c>
      <c r="S8" s="16" t="str">
        <f aca="false">IF($A8="","",SUMIFS(月次実績!$F$5:$F$3004,月次実績!$B$5:$B$3004,$A8))</f>
        <v/>
      </c>
      <c r="T8" s="19" t="str">
        <f aca="false">IF(OR($A8="",R8=0),"",S8/R8)</f>
        <v/>
      </c>
      <c r="U8" s="20" t="str">
        <f aca="false">IF($A8="","",SUMIFS(月次実績!$G$5:$G$3004,月次実績!$B$5:$B$3004,$A8))</f>
        <v/>
      </c>
      <c r="V8" s="17" t="str">
        <f aca="false">IF($A8="","",IF(Q8&gt;=設定!$C$7,"稼働中",IF(Q8&gt;=1,"低稼働","休眠")))</f>
        <v/>
      </c>
      <c r="W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15"/>
      <c r="H9" s="21"/>
      <c r="I9" s="15" t="str">
        <f aca="false">IF($A9="","",IF(_xlfn.MAXIFS(アクションログ!$A$5:$A$2004,アクションログ!$B$5:$B$2004,$A9)=0,"",_xlfn.MAXIFS(アクションログ!$A$5:$A$2004,アクションログ!$B$5:$B$2004,$A9)))</f>
        <v/>
      </c>
      <c r="J9" s="16" t="str">
        <f aca="false">IF(OR($A9="",I9=""),"",設定!$C$4-I9)</f>
        <v/>
      </c>
      <c r="K9" s="16" t="str">
        <f aca="false">IF($A9="","",IFERROR(INDEX(設定!$D$14:$D$17,MATCH(F9,設定!$B$14:$B$17,0)),""))</f>
        <v/>
      </c>
      <c r="L9" s="15" t="str">
        <f aca="false">IF(OR($A9="",K9=""),"",IF(I9="",設定!$C$4,I9+K9))</f>
        <v/>
      </c>
      <c r="M9" s="17" t="str">
        <f aca="false">IF($A9="","",IF(F9="","ランク未設定",IF(I9="","未接触",IF(設定!$C$4&gt;L9,"期限超過",IF(L9-設定!$C$4&lt;=設定!$C$8,"今週連絡","OK")))))</f>
        <v/>
      </c>
      <c r="N9" s="15" t="str">
        <f aca="false">IF($A9="","",IF(_xlfn.MINIFS(アクションログ!$J$5:$J$2004,アクションログ!$B$5:$B$2004,$A9,アクションログ!$K$5:$K$2004,"&lt;&gt;済",アクションログ!$J$5:$J$2004,"&gt;0")=0,"",_xlfn.MINIFS(アクションログ!$J$5:$J$2004,アクションログ!$B$5:$B$2004,$A9,アクションログ!$K$5:$K$2004,"&lt;&gt;済",アクションログ!$J$5:$J$2004,"&gt;0")))</f>
        <v/>
      </c>
      <c r="O9" s="18" t="str">
        <f aca="false">IF(N9="","",IFERROR(INDEX(アクションログ!$I$5:$I$2004,MATCH($A9&amp;"|"&amp;N9,アクションログ!$L$5:$L$2004,0)),""))</f>
        <v/>
      </c>
      <c r="P9" s="16" t="str">
        <f aca="false">IF($A9="","",COUNTIFS(アクションログ!$B$5:$B$2004,$A9,アクションログ!$A$5:$A$2004,"&gt;="&amp;設定!$C$5))</f>
        <v/>
      </c>
      <c r="Q9" s="16" t="str">
        <f aca="false">IF($A9="","",SUMIFS(月次実績!$D$5:$D$3004,月次実績!$B$5:$B$3004,$A9,月次実績!$A$5:$A$3004,"&gt;="&amp;EDATE(設定!$C$5,-(設定!$C$6-1))))</f>
        <v/>
      </c>
      <c r="R9" s="16" t="str">
        <f aca="false">IF($A9="","",SUMIFS(月次実績!$D$5:$D$3004,月次実績!$B$5:$B$3004,$A9))</f>
        <v/>
      </c>
      <c r="S9" s="16" t="str">
        <f aca="false">IF($A9="","",SUMIFS(月次実績!$F$5:$F$3004,月次実績!$B$5:$B$3004,$A9))</f>
        <v/>
      </c>
      <c r="T9" s="19" t="str">
        <f aca="false">IF(OR($A9="",R9=0),"",S9/R9)</f>
        <v/>
      </c>
      <c r="U9" s="20" t="str">
        <f aca="false">IF($A9="","",SUMIFS(月次実績!$G$5:$G$3004,月次実績!$B$5:$B$3004,$A9))</f>
        <v/>
      </c>
      <c r="V9" s="17" t="str">
        <f aca="false">IF($A9="","",IF(Q9&gt;=設定!$C$7,"稼働中",IF(Q9&gt;=1,"低稼働","休眠")))</f>
        <v/>
      </c>
      <c r="W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15"/>
      <c r="H10" s="21"/>
      <c r="I10" s="15" t="str">
        <f aca="false">IF($A10="","",IF(_xlfn.MAXIFS(アクションログ!$A$5:$A$2004,アクションログ!$B$5:$B$2004,$A10)=0,"",_xlfn.MAXIFS(アクションログ!$A$5:$A$2004,アクションログ!$B$5:$B$2004,$A10)))</f>
        <v/>
      </c>
      <c r="J10" s="16" t="str">
        <f aca="false">IF(OR($A10="",I10=""),"",設定!$C$4-I10)</f>
        <v/>
      </c>
      <c r="K10" s="16" t="str">
        <f aca="false">IF($A10="","",IFERROR(INDEX(設定!$D$14:$D$17,MATCH(F10,設定!$B$14:$B$17,0)),""))</f>
        <v/>
      </c>
      <c r="L10" s="15" t="str">
        <f aca="false">IF(OR($A10="",K10=""),"",IF(I10="",設定!$C$4,I10+K10))</f>
        <v/>
      </c>
      <c r="M10" s="17" t="str">
        <f aca="false">IF($A10="","",IF(F10="","ランク未設定",IF(I10="","未接触",IF(設定!$C$4&gt;L10,"期限超過",IF(L10-設定!$C$4&lt;=設定!$C$8,"今週連絡","OK")))))</f>
        <v/>
      </c>
      <c r="N10" s="15" t="str">
        <f aca="false">IF($A10="","",IF(_xlfn.MINIFS(アクションログ!$J$5:$J$2004,アクションログ!$B$5:$B$2004,$A10,アクションログ!$K$5:$K$2004,"&lt;&gt;済",アクションログ!$J$5:$J$2004,"&gt;0")=0,"",_xlfn.MINIFS(アクションログ!$J$5:$J$2004,アクションログ!$B$5:$B$2004,$A10,アクションログ!$K$5:$K$2004,"&lt;&gt;済",アクションログ!$J$5:$J$2004,"&gt;0")))</f>
        <v/>
      </c>
      <c r="O10" s="18" t="str">
        <f aca="false">IF(N10="","",IFERROR(INDEX(アクションログ!$I$5:$I$2004,MATCH($A10&amp;"|"&amp;N10,アクションログ!$L$5:$L$2004,0)),""))</f>
        <v/>
      </c>
      <c r="P10" s="16" t="str">
        <f aca="false">IF($A10="","",COUNTIFS(アクションログ!$B$5:$B$2004,$A10,アクションログ!$A$5:$A$2004,"&gt;="&amp;設定!$C$5))</f>
        <v/>
      </c>
      <c r="Q10" s="16" t="str">
        <f aca="false">IF($A10="","",SUMIFS(月次実績!$D$5:$D$3004,月次実績!$B$5:$B$3004,$A10,月次実績!$A$5:$A$3004,"&gt;="&amp;EDATE(設定!$C$5,-(設定!$C$6-1))))</f>
        <v/>
      </c>
      <c r="R10" s="16" t="str">
        <f aca="false">IF($A10="","",SUMIFS(月次実績!$D$5:$D$3004,月次実績!$B$5:$B$3004,$A10))</f>
        <v/>
      </c>
      <c r="S10" s="16" t="str">
        <f aca="false">IF($A10="","",SUMIFS(月次実績!$F$5:$F$3004,月次実績!$B$5:$B$3004,$A10))</f>
        <v/>
      </c>
      <c r="T10" s="19" t="str">
        <f aca="false">IF(OR($A10="",R10=0),"",S10/R10)</f>
        <v/>
      </c>
      <c r="U10" s="20" t="str">
        <f aca="false">IF($A10="","",SUMIFS(月次実績!$G$5:$G$3004,月次実績!$B$5:$B$3004,$A10))</f>
        <v/>
      </c>
      <c r="V10" s="17" t="str">
        <f aca="false">IF($A10="","",IF(Q10&gt;=設定!$C$7,"稼働中",IF(Q10&gt;=1,"低稼働","休眠")))</f>
        <v/>
      </c>
      <c r="W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15"/>
      <c r="H11" s="21"/>
      <c r="I11" s="15" t="str">
        <f aca="false">IF($A11="","",IF(_xlfn.MAXIFS(アクションログ!$A$5:$A$2004,アクションログ!$B$5:$B$2004,$A11)=0,"",_xlfn.MAXIFS(アクションログ!$A$5:$A$2004,アクションログ!$B$5:$B$2004,$A11)))</f>
        <v/>
      </c>
      <c r="J11" s="16" t="str">
        <f aca="false">IF(OR($A11="",I11=""),"",設定!$C$4-I11)</f>
        <v/>
      </c>
      <c r="K11" s="16" t="str">
        <f aca="false">IF($A11="","",IFERROR(INDEX(設定!$D$14:$D$17,MATCH(F11,設定!$B$14:$B$17,0)),""))</f>
        <v/>
      </c>
      <c r="L11" s="15" t="str">
        <f aca="false">IF(OR($A11="",K11=""),"",IF(I11="",設定!$C$4,I11+K11))</f>
        <v/>
      </c>
      <c r="M11" s="17" t="str">
        <f aca="false">IF($A11="","",IF(F11="","ランク未設定",IF(I11="","未接触",IF(設定!$C$4&gt;L11,"期限超過",IF(L11-設定!$C$4&lt;=設定!$C$8,"今週連絡","OK")))))</f>
        <v/>
      </c>
      <c r="N11" s="15" t="str">
        <f aca="false">IF($A11="","",IF(_xlfn.MINIFS(アクションログ!$J$5:$J$2004,アクションログ!$B$5:$B$2004,$A11,アクションログ!$K$5:$K$2004,"&lt;&gt;済",アクションログ!$J$5:$J$2004,"&gt;0")=0,"",_xlfn.MINIFS(アクションログ!$J$5:$J$2004,アクションログ!$B$5:$B$2004,$A11,アクションログ!$K$5:$K$2004,"&lt;&gt;済",アクションログ!$J$5:$J$2004,"&gt;0")))</f>
        <v/>
      </c>
      <c r="O11" s="18" t="str">
        <f aca="false">IF(N11="","",IFERROR(INDEX(アクションログ!$I$5:$I$2004,MATCH($A11&amp;"|"&amp;N11,アクションログ!$L$5:$L$2004,0)),""))</f>
        <v/>
      </c>
      <c r="P11" s="16" t="str">
        <f aca="false">IF($A11="","",COUNTIFS(アクションログ!$B$5:$B$2004,$A11,アクションログ!$A$5:$A$2004,"&gt;="&amp;設定!$C$5))</f>
        <v/>
      </c>
      <c r="Q11" s="16" t="str">
        <f aca="false">IF($A11="","",SUMIFS(月次実績!$D$5:$D$3004,月次実績!$B$5:$B$3004,$A11,月次実績!$A$5:$A$3004,"&gt;="&amp;EDATE(設定!$C$5,-(設定!$C$6-1))))</f>
        <v/>
      </c>
      <c r="R11" s="16" t="str">
        <f aca="false">IF($A11="","",SUMIFS(月次実績!$D$5:$D$3004,月次実績!$B$5:$B$3004,$A11))</f>
        <v/>
      </c>
      <c r="S11" s="16" t="str">
        <f aca="false">IF($A11="","",SUMIFS(月次実績!$F$5:$F$3004,月次実績!$B$5:$B$3004,$A11))</f>
        <v/>
      </c>
      <c r="T11" s="19" t="str">
        <f aca="false">IF(OR($A11="",R11=0),"",S11/R11)</f>
        <v/>
      </c>
      <c r="U11" s="20" t="str">
        <f aca="false">IF($A11="","",SUMIFS(月次実績!$G$5:$G$3004,月次実績!$B$5:$B$3004,$A11))</f>
        <v/>
      </c>
      <c r="V11" s="17" t="str">
        <f aca="false">IF($A11="","",IF(Q11&gt;=設定!$C$7,"稼働中",IF(Q11&gt;=1,"低稼働","休眠")))</f>
        <v/>
      </c>
      <c r="W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15"/>
      <c r="H12" s="21"/>
      <c r="I12" s="15" t="str">
        <f aca="false">IF($A12="","",IF(_xlfn.MAXIFS(アクションログ!$A$5:$A$2004,アクションログ!$B$5:$B$2004,$A12)=0,"",_xlfn.MAXIFS(アクションログ!$A$5:$A$2004,アクションログ!$B$5:$B$2004,$A12)))</f>
        <v/>
      </c>
      <c r="J12" s="16" t="str">
        <f aca="false">IF(OR($A12="",I12=""),"",設定!$C$4-I12)</f>
        <v/>
      </c>
      <c r="K12" s="16" t="str">
        <f aca="false">IF($A12="","",IFERROR(INDEX(設定!$D$14:$D$17,MATCH(F12,設定!$B$14:$B$17,0)),""))</f>
        <v/>
      </c>
      <c r="L12" s="15" t="str">
        <f aca="false">IF(OR($A12="",K12=""),"",IF(I12="",設定!$C$4,I12+K12))</f>
        <v/>
      </c>
      <c r="M12" s="17" t="str">
        <f aca="false">IF($A12="","",IF(F12="","ランク未設定",IF(I12="","未接触",IF(設定!$C$4&gt;L12,"期限超過",IF(L12-設定!$C$4&lt;=設定!$C$8,"今週連絡","OK")))))</f>
        <v/>
      </c>
      <c r="N12" s="15" t="str">
        <f aca="false">IF($A12="","",IF(_xlfn.MINIFS(アクションログ!$J$5:$J$2004,アクションログ!$B$5:$B$2004,$A12,アクションログ!$K$5:$K$2004,"&lt;&gt;済",アクションログ!$J$5:$J$2004,"&gt;0")=0,"",_xlfn.MINIFS(アクションログ!$J$5:$J$2004,アクションログ!$B$5:$B$2004,$A12,アクションログ!$K$5:$K$2004,"&lt;&gt;済",アクションログ!$J$5:$J$2004,"&gt;0")))</f>
        <v/>
      </c>
      <c r="O12" s="18" t="str">
        <f aca="false">IF(N12="","",IFERROR(INDEX(アクションログ!$I$5:$I$2004,MATCH($A12&amp;"|"&amp;N12,アクションログ!$L$5:$L$2004,0)),""))</f>
        <v/>
      </c>
      <c r="P12" s="16" t="str">
        <f aca="false">IF($A12="","",COUNTIFS(アクションログ!$B$5:$B$2004,$A12,アクションログ!$A$5:$A$2004,"&gt;="&amp;設定!$C$5))</f>
        <v/>
      </c>
      <c r="Q12" s="16" t="str">
        <f aca="false">IF($A12="","",SUMIFS(月次実績!$D$5:$D$3004,月次実績!$B$5:$B$3004,$A12,月次実績!$A$5:$A$3004,"&gt;="&amp;EDATE(設定!$C$5,-(設定!$C$6-1))))</f>
        <v/>
      </c>
      <c r="R12" s="16" t="str">
        <f aca="false">IF($A12="","",SUMIFS(月次実績!$D$5:$D$3004,月次実績!$B$5:$B$3004,$A12))</f>
        <v/>
      </c>
      <c r="S12" s="16" t="str">
        <f aca="false">IF($A12="","",SUMIFS(月次実績!$F$5:$F$3004,月次実績!$B$5:$B$3004,$A12))</f>
        <v/>
      </c>
      <c r="T12" s="19" t="str">
        <f aca="false">IF(OR($A12="",R12=0),"",S12/R12)</f>
        <v/>
      </c>
      <c r="U12" s="20" t="str">
        <f aca="false">IF($A12="","",SUMIFS(月次実績!$G$5:$G$3004,月次実績!$B$5:$B$3004,$A12))</f>
        <v/>
      </c>
      <c r="V12" s="17" t="str">
        <f aca="false">IF($A12="","",IF(Q12&gt;=設定!$C$7,"稼働中",IF(Q12&gt;=1,"低稼働","休眠")))</f>
        <v/>
      </c>
      <c r="W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15"/>
      <c r="H13" s="21"/>
      <c r="I13" s="15" t="str">
        <f aca="false">IF($A13="","",IF(_xlfn.MAXIFS(アクションログ!$A$5:$A$2004,アクションログ!$B$5:$B$2004,$A13)=0,"",_xlfn.MAXIFS(アクションログ!$A$5:$A$2004,アクションログ!$B$5:$B$2004,$A13)))</f>
        <v/>
      </c>
      <c r="J13" s="16" t="str">
        <f aca="false">IF(OR($A13="",I13=""),"",設定!$C$4-I13)</f>
        <v/>
      </c>
      <c r="K13" s="16" t="str">
        <f aca="false">IF($A13="","",IFERROR(INDEX(設定!$D$14:$D$17,MATCH(F13,設定!$B$14:$B$17,0)),""))</f>
        <v/>
      </c>
      <c r="L13" s="15" t="str">
        <f aca="false">IF(OR($A13="",K13=""),"",IF(I13="",設定!$C$4,I13+K13))</f>
        <v/>
      </c>
      <c r="M13" s="17" t="str">
        <f aca="false">IF($A13="","",IF(F13="","ランク未設定",IF(I13="","未接触",IF(設定!$C$4&gt;L13,"期限超過",IF(L13-設定!$C$4&lt;=設定!$C$8,"今週連絡","OK")))))</f>
        <v/>
      </c>
      <c r="N13" s="15" t="str">
        <f aca="false">IF($A13="","",IF(_xlfn.MINIFS(アクションログ!$J$5:$J$2004,アクションログ!$B$5:$B$2004,$A13,アクションログ!$K$5:$K$2004,"&lt;&gt;済",アクションログ!$J$5:$J$2004,"&gt;0")=0,"",_xlfn.MINIFS(アクションログ!$J$5:$J$2004,アクションログ!$B$5:$B$2004,$A13,アクションログ!$K$5:$K$2004,"&lt;&gt;済",アクションログ!$J$5:$J$2004,"&gt;0")))</f>
        <v/>
      </c>
      <c r="O13" s="18" t="str">
        <f aca="false">IF(N13="","",IFERROR(INDEX(アクションログ!$I$5:$I$2004,MATCH($A13&amp;"|"&amp;N13,アクションログ!$L$5:$L$2004,0)),""))</f>
        <v/>
      </c>
      <c r="P13" s="16" t="str">
        <f aca="false">IF($A13="","",COUNTIFS(アクションログ!$B$5:$B$2004,$A13,アクションログ!$A$5:$A$2004,"&gt;="&amp;設定!$C$5))</f>
        <v/>
      </c>
      <c r="Q13" s="16" t="str">
        <f aca="false">IF($A13="","",SUMIFS(月次実績!$D$5:$D$3004,月次実績!$B$5:$B$3004,$A13,月次実績!$A$5:$A$3004,"&gt;="&amp;EDATE(設定!$C$5,-(設定!$C$6-1))))</f>
        <v/>
      </c>
      <c r="R13" s="16" t="str">
        <f aca="false">IF($A13="","",SUMIFS(月次実績!$D$5:$D$3004,月次実績!$B$5:$B$3004,$A13))</f>
        <v/>
      </c>
      <c r="S13" s="16" t="str">
        <f aca="false">IF($A13="","",SUMIFS(月次実績!$F$5:$F$3004,月次実績!$B$5:$B$3004,$A13))</f>
        <v/>
      </c>
      <c r="T13" s="19" t="str">
        <f aca="false">IF(OR($A13="",R13=0),"",S13/R13)</f>
        <v/>
      </c>
      <c r="U13" s="20" t="str">
        <f aca="false">IF($A13="","",SUMIFS(月次実績!$G$5:$G$3004,月次実績!$B$5:$B$3004,$A13))</f>
        <v/>
      </c>
      <c r="V13" s="17" t="str">
        <f aca="false">IF($A13="","",IF(Q13&gt;=設定!$C$7,"稼働中",IF(Q13&gt;=1,"低稼働","休眠")))</f>
        <v/>
      </c>
      <c r="W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15"/>
      <c r="H14" s="21"/>
      <c r="I14" s="15" t="str">
        <f aca="false">IF($A14="","",IF(_xlfn.MAXIFS(アクションログ!$A$5:$A$2004,アクションログ!$B$5:$B$2004,$A14)=0,"",_xlfn.MAXIFS(アクションログ!$A$5:$A$2004,アクションログ!$B$5:$B$2004,$A14)))</f>
        <v/>
      </c>
      <c r="J14" s="16" t="str">
        <f aca="false">IF(OR($A14="",I14=""),"",設定!$C$4-I14)</f>
        <v/>
      </c>
      <c r="K14" s="16" t="str">
        <f aca="false">IF($A14="","",IFERROR(INDEX(設定!$D$14:$D$17,MATCH(F14,設定!$B$14:$B$17,0)),""))</f>
        <v/>
      </c>
      <c r="L14" s="15" t="str">
        <f aca="false">IF(OR($A14="",K14=""),"",IF(I14="",設定!$C$4,I14+K14))</f>
        <v/>
      </c>
      <c r="M14" s="17" t="str">
        <f aca="false">IF($A14="","",IF(F14="","ランク未設定",IF(I14="","未接触",IF(設定!$C$4&gt;L14,"期限超過",IF(L14-設定!$C$4&lt;=設定!$C$8,"今週連絡","OK")))))</f>
        <v/>
      </c>
      <c r="N14" s="15" t="str">
        <f aca="false">IF($A14="","",IF(_xlfn.MINIFS(アクションログ!$J$5:$J$2004,アクションログ!$B$5:$B$2004,$A14,アクションログ!$K$5:$K$2004,"&lt;&gt;済",アクションログ!$J$5:$J$2004,"&gt;0")=0,"",_xlfn.MINIFS(アクションログ!$J$5:$J$2004,アクションログ!$B$5:$B$2004,$A14,アクションログ!$K$5:$K$2004,"&lt;&gt;済",アクションログ!$J$5:$J$2004,"&gt;0")))</f>
        <v/>
      </c>
      <c r="O14" s="18" t="str">
        <f aca="false">IF(N14="","",IFERROR(INDEX(アクションログ!$I$5:$I$2004,MATCH($A14&amp;"|"&amp;N14,アクションログ!$L$5:$L$2004,0)),""))</f>
        <v/>
      </c>
      <c r="P14" s="16" t="str">
        <f aca="false">IF($A14="","",COUNTIFS(アクションログ!$B$5:$B$2004,$A14,アクションログ!$A$5:$A$2004,"&gt;="&amp;設定!$C$5))</f>
        <v/>
      </c>
      <c r="Q14" s="16" t="str">
        <f aca="false">IF($A14="","",SUMIFS(月次実績!$D$5:$D$3004,月次実績!$B$5:$B$3004,$A14,月次実績!$A$5:$A$3004,"&gt;="&amp;EDATE(設定!$C$5,-(設定!$C$6-1))))</f>
        <v/>
      </c>
      <c r="R14" s="16" t="str">
        <f aca="false">IF($A14="","",SUMIFS(月次実績!$D$5:$D$3004,月次実績!$B$5:$B$3004,$A14))</f>
        <v/>
      </c>
      <c r="S14" s="16" t="str">
        <f aca="false">IF($A14="","",SUMIFS(月次実績!$F$5:$F$3004,月次実績!$B$5:$B$3004,$A14))</f>
        <v/>
      </c>
      <c r="T14" s="19" t="str">
        <f aca="false">IF(OR($A14="",R14=0),"",S14/R14)</f>
        <v/>
      </c>
      <c r="U14" s="20" t="str">
        <f aca="false">IF($A14="","",SUMIFS(月次実績!$G$5:$G$3004,月次実績!$B$5:$B$3004,$A14))</f>
        <v/>
      </c>
      <c r="V14" s="17" t="str">
        <f aca="false">IF($A14="","",IF(Q14&gt;=設定!$C$7,"稼働中",IF(Q14&gt;=1,"低稼働","休眠")))</f>
        <v/>
      </c>
      <c r="W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15"/>
      <c r="H15" s="21"/>
      <c r="I15" s="15" t="str">
        <f aca="false">IF($A15="","",IF(_xlfn.MAXIFS(アクションログ!$A$5:$A$2004,アクションログ!$B$5:$B$2004,$A15)=0,"",_xlfn.MAXIFS(アクションログ!$A$5:$A$2004,アクションログ!$B$5:$B$2004,$A15)))</f>
        <v/>
      </c>
      <c r="J15" s="16" t="str">
        <f aca="false">IF(OR($A15="",I15=""),"",設定!$C$4-I15)</f>
        <v/>
      </c>
      <c r="K15" s="16" t="str">
        <f aca="false">IF($A15="","",IFERROR(INDEX(設定!$D$14:$D$17,MATCH(F15,設定!$B$14:$B$17,0)),""))</f>
        <v/>
      </c>
      <c r="L15" s="15" t="str">
        <f aca="false">IF(OR($A15="",K15=""),"",IF(I15="",設定!$C$4,I15+K15))</f>
        <v/>
      </c>
      <c r="M15" s="17" t="str">
        <f aca="false">IF($A15="","",IF(F15="","ランク未設定",IF(I15="","未接触",IF(設定!$C$4&gt;L15,"期限超過",IF(L15-設定!$C$4&lt;=設定!$C$8,"今週連絡","OK")))))</f>
        <v/>
      </c>
      <c r="N15" s="15" t="str">
        <f aca="false">IF($A15="","",IF(_xlfn.MINIFS(アクションログ!$J$5:$J$2004,アクションログ!$B$5:$B$2004,$A15,アクションログ!$K$5:$K$2004,"&lt;&gt;済",アクションログ!$J$5:$J$2004,"&gt;0")=0,"",_xlfn.MINIFS(アクションログ!$J$5:$J$2004,アクションログ!$B$5:$B$2004,$A15,アクションログ!$K$5:$K$2004,"&lt;&gt;済",アクションログ!$J$5:$J$2004,"&gt;0")))</f>
        <v/>
      </c>
      <c r="O15" s="18" t="str">
        <f aca="false">IF(N15="","",IFERROR(INDEX(アクションログ!$I$5:$I$2004,MATCH($A15&amp;"|"&amp;N15,アクションログ!$L$5:$L$2004,0)),""))</f>
        <v/>
      </c>
      <c r="P15" s="16" t="str">
        <f aca="false">IF($A15="","",COUNTIFS(アクションログ!$B$5:$B$2004,$A15,アクションログ!$A$5:$A$2004,"&gt;="&amp;設定!$C$5))</f>
        <v/>
      </c>
      <c r="Q15" s="16" t="str">
        <f aca="false">IF($A15="","",SUMIFS(月次実績!$D$5:$D$3004,月次実績!$B$5:$B$3004,$A15,月次実績!$A$5:$A$3004,"&gt;="&amp;EDATE(設定!$C$5,-(設定!$C$6-1))))</f>
        <v/>
      </c>
      <c r="R15" s="16" t="str">
        <f aca="false">IF($A15="","",SUMIFS(月次実績!$D$5:$D$3004,月次実績!$B$5:$B$3004,$A15))</f>
        <v/>
      </c>
      <c r="S15" s="16" t="str">
        <f aca="false">IF($A15="","",SUMIFS(月次実績!$F$5:$F$3004,月次実績!$B$5:$B$3004,$A15))</f>
        <v/>
      </c>
      <c r="T15" s="19" t="str">
        <f aca="false">IF(OR($A15="",R15=0),"",S15/R15)</f>
        <v/>
      </c>
      <c r="U15" s="20" t="str">
        <f aca="false">IF($A15="","",SUMIFS(月次実績!$G$5:$G$3004,月次実績!$B$5:$B$3004,$A15))</f>
        <v/>
      </c>
      <c r="V15" s="17" t="str">
        <f aca="false">IF($A15="","",IF(Q15&gt;=設定!$C$7,"稼働中",IF(Q15&gt;=1,"低稼働","休眠")))</f>
        <v/>
      </c>
      <c r="W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15"/>
      <c r="H16" s="21"/>
      <c r="I16" s="15" t="str">
        <f aca="false">IF($A16="","",IF(_xlfn.MAXIFS(アクションログ!$A$5:$A$2004,アクションログ!$B$5:$B$2004,$A16)=0,"",_xlfn.MAXIFS(アクションログ!$A$5:$A$2004,アクションログ!$B$5:$B$2004,$A16)))</f>
        <v/>
      </c>
      <c r="J16" s="16" t="str">
        <f aca="false">IF(OR($A16="",I16=""),"",設定!$C$4-I16)</f>
        <v/>
      </c>
      <c r="K16" s="16" t="str">
        <f aca="false">IF($A16="","",IFERROR(INDEX(設定!$D$14:$D$17,MATCH(F16,設定!$B$14:$B$17,0)),""))</f>
        <v/>
      </c>
      <c r="L16" s="15" t="str">
        <f aca="false">IF(OR($A16="",K16=""),"",IF(I16="",設定!$C$4,I16+K16))</f>
        <v/>
      </c>
      <c r="M16" s="17" t="str">
        <f aca="false">IF($A16="","",IF(F16="","ランク未設定",IF(I16="","未接触",IF(設定!$C$4&gt;L16,"期限超過",IF(L16-設定!$C$4&lt;=設定!$C$8,"今週連絡","OK")))))</f>
        <v/>
      </c>
      <c r="N16" s="15" t="str">
        <f aca="false">IF($A16="","",IF(_xlfn.MINIFS(アクションログ!$J$5:$J$2004,アクションログ!$B$5:$B$2004,$A16,アクションログ!$K$5:$K$2004,"&lt;&gt;済",アクションログ!$J$5:$J$2004,"&gt;0")=0,"",_xlfn.MINIFS(アクションログ!$J$5:$J$2004,アクションログ!$B$5:$B$2004,$A16,アクションログ!$K$5:$K$2004,"&lt;&gt;済",アクションログ!$J$5:$J$2004,"&gt;0")))</f>
        <v/>
      </c>
      <c r="O16" s="18" t="str">
        <f aca="false">IF(N16="","",IFERROR(INDEX(アクションログ!$I$5:$I$2004,MATCH($A16&amp;"|"&amp;N16,アクションログ!$L$5:$L$2004,0)),""))</f>
        <v/>
      </c>
      <c r="P16" s="16" t="str">
        <f aca="false">IF($A16="","",COUNTIFS(アクションログ!$B$5:$B$2004,$A16,アクションログ!$A$5:$A$2004,"&gt;="&amp;設定!$C$5))</f>
        <v/>
      </c>
      <c r="Q16" s="16" t="str">
        <f aca="false">IF($A16="","",SUMIFS(月次実績!$D$5:$D$3004,月次実績!$B$5:$B$3004,$A16,月次実績!$A$5:$A$3004,"&gt;="&amp;EDATE(設定!$C$5,-(設定!$C$6-1))))</f>
        <v/>
      </c>
      <c r="R16" s="16" t="str">
        <f aca="false">IF($A16="","",SUMIFS(月次実績!$D$5:$D$3004,月次実績!$B$5:$B$3004,$A16))</f>
        <v/>
      </c>
      <c r="S16" s="16" t="str">
        <f aca="false">IF($A16="","",SUMIFS(月次実績!$F$5:$F$3004,月次実績!$B$5:$B$3004,$A16))</f>
        <v/>
      </c>
      <c r="T16" s="19" t="str">
        <f aca="false">IF(OR($A16="",R16=0),"",S16/R16)</f>
        <v/>
      </c>
      <c r="U16" s="20" t="str">
        <f aca="false">IF($A16="","",SUMIFS(月次実績!$G$5:$G$3004,月次実績!$B$5:$B$3004,$A16))</f>
        <v/>
      </c>
      <c r="V16" s="17" t="str">
        <f aca="false">IF($A16="","",IF(Q16&gt;=設定!$C$7,"稼働中",IF(Q16&gt;=1,"低稼働","休眠")))</f>
        <v/>
      </c>
      <c r="W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15"/>
      <c r="H17" s="21"/>
      <c r="I17" s="15" t="str">
        <f aca="false">IF($A17="","",IF(_xlfn.MAXIFS(アクションログ!$A$5:$A$2004,アクションログ!$B$5:$B$2004,$A17)=0,"",_xlfn.MAXIFS(アクションログ!$A$5:$A$2004,アクションログ!$B$5:$B$2004,$A17)))</f>
        <v/>
      </c>
      <c r="J17" s="16" t="str">
        <f aca="false">IF(OR($A17="",I17=""),"",設定!$C$4-I17)</f>
        <v/>
      </c>
      <c r="K17" s="16" t="str">
        <f aca="false">IF($A17="","",IFERROR(INDEX(設定!$D$14:$D$17,MATCH(F17,設定!$B$14:$B$17,0)),""))</f>
        <v/>
      </c>
      <c r="L17" s="15" t="str">
        <f aca="false">IF(OR($A17="",K17=""),"",IF(I17="",設定!$C$4,I17+K17))</f>
        <v/>
      </c>
      <c r="M17" s="17" t="str">
        <f aca="false">IF($A17="","",IF(F17="","ランク未設定",IF(I17="","未接触",IF(設定!$C$4&gt;L17,"期限超過",IF(L17-設定!$C$4&lt;=設定!$C$8,"今週連絡","OK")))))</f>
        <v/>
      </c>
      <c r="N17" s="15" t="str">
        <f aca="false">IF($A17="","",IF(_xlfn.MINIFS(アクションログ!$J$5:$J$2004,アクションログ!$B$5:$B$2004,$A17,アクションログ!$K$5:$K$2004,"&lt;&gt;済",アクションログ!$J$5:$J$2004,"&gt;0")=0,"",_xlfn.MINIFS(アクションログ!$J$5:$J$2004,アクションログ!$B$5:$B$2004,$A17,アクションログ!$K$5:$K$2004,"&lt;&gt;済",アクションログ!$J$5:$J$2004,"&gt;0")))</f>
        <v/>
      </c>
      <c r="O17" s="18" t="str">
        <f aca="false">IF(N17="","",IFERROR(INDEX(アクションログ!$I$5:$I$2004,MATCH($A17&amp;"|"&amp;N17,アクションログ!$L$5:$L$2004,0)),""))</f>
        <v/>
      </c>
      <c r="P17" s="16" t="str">
        <f aca="false">IF($A17="","",COUNTIFS(アクションログ!$B$5:$B$2004,$A17,アクションログ!$A$5:$A$2004,"&gt;="&amp;設定!$C$5))</f>
        <v/>
      </c>
      <c r="Q17" s="16" t="str">
        <f aca="false">IF($A17="","",SUMIFS(月次実績!$D$5:$D$3004,月次実績!$B$5:$B$3004,$A17,月次実績!$A$5:$A$3004,"&gt;="&amp;EDATE(設定!$C$5,-(設定!$C$6-1))))</f>
        <v/>
      </c>
      <c r="R17" s="16" t="str">
        <f aca="false">IF($A17="","",SUMIFS(月次実績!$D$5:$D$3004,月次実績!$B$5:$B$3004,$A17))</f>
        <v/>
      </c>
      <c r="S17" s="16" t="str">
        <f aca="false">IF($A17="","",SUMIFS(月次実績!$F$5:$F$3004,月次実績!$B$5:$B$3004,$A17))</f>
        <v/>
      </c>
      <c r="T17" s="19" t="str">
        <f aca="false">IF(OR($A17="",R17=0),"",S17/R17)</f>
        <v/>
      </c>
      <c r="U17" s="20" t="str">
        <f aca="false">IF($A17="","",SUMIFS(月次実績!$G$5:$G$3004,月次実績!$B$5:$B$3004,$A17))</f>
        <v/>
      </c>
      <c r="V17" s="17" t="str">
        <f aca="false">IF($A17="","",IF(Q17&gt;=設定!$C$7,"稼働中",IF(Q17&gt;=1,"低稼働","休眠")))</f>
        <v/>
      </c>
      <c r="W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15"/>
      <c r="H18" s="21"/>
      <c r="I18" s="15" t="str">
        <f aca="false">IF($A18="","",IF(_xlfn.MAXIFS(アクションログ!$A$5:$A$2004,アクションログ!$B$5:$B$2004,$A18)=0,"",_xlfn.MAXIFS(アクションログ!$A$5:$A$2004,アクションログ!$B$5:$B$2004,$A18)))</f>
        <v/>
      </c>
      <c r="J18" s="16" t="str">
        <f aca="false">IF(OR($A18="",I18=""),"",設定!$C$4-I18)</f>
        <v/>
      </c>
      <c r="K18" s="16" t="str">
        <f aca="false">IF($A18="","",IFERROR(INDEX(設定!$D$14:$D$17,MATCH(F18,設定!$B$14:$B$17,0)),""))</f>
        <v/>
      </c>
      <c r="L18" s="15" t="str">
        <f aca="false">IF(OR($A18="",K18=""),"",IF(I18="",設定!$C$4,I18+K18))</f>
        <v/>
      </c>
      <c r="M18" s="17" t="str">
        <f aca="false">IF($A18="","",IF(F18="","ランク未設定",IF(I18="","未接触",IF(設定!$C$4&gt;L18,"期限超過",IF(L18-設定!$C$4&lt;=設定!$C$8,"今週連絡","OK")))))</f>
        <v/>
      </c>
      <c r="N18" s="15" t="str">
        <f aca="false">IF($A18="","",IF(_xlfn.MINIFS(アクションログ!$J$5:$J$2004,アクションログ!$B$5:$B$2004,$A18,アクションログ!$K$5:$K$2004,"&lt;&gt;済",アクションログ!$J$5:$J$2004,"&gt;0")=0,"",_xlfn.MINIFS(アクションログ!$J$5:$J$2004,アクションログ!$B$5:$B$2004,$A18,アクションログ!$K$5:$K$2004,"&lt;&gt;済",アクションログ!$J$5:$J$2004,"&gt;0")))</f>
        <v/>
      </c>
      <c r="O18" s="18" t="str">
        <f aca="false">IF(N18="","",IFERROR(INDEX(アクションログ!$I$5:$I$2004,MATCH($A18&amp;"|"&amp;N18,アクションログ!$L$5:$L$2004,0)),""))</f>
        <v/>
      </c>
      <c r="P18" s="16" t="str">
        <f aca="false">IF($A18="","",COUNTIFS(アクションログ!$B$5:$B$2004,$A18,アクションログ!$A$5:$A$2004,"&gt;="&amp;設定!$C$5))</f>
        <v/>
      </c>
      <c r="Q18" s="16" t="str">
        <f aca="false">IF($A18="","",SUMIFS(月次実績!$D$5:$D$3004,月次実績!$B$5:$B$3004,$A18,月次実績!$A$5:$A$3004,"&gt;="&amp;EDATE(設定!$C$5,-(設定!$C$6-1))))</f>
        <v/>
      </c>
      <c r="R18" s="16" t="str">
        <f aca="false">IF($A18="","",SUMIFS(月次実績!$D$5:$D$3004,月次実績!$B$5:$B$3004,$A18))</f>
        <v/>
      </c>
      <c r="S18" s="16" t="str">
        <f aca="false">IF($A18="","",SUMIFS(月次実績!$F$5:$F$3004,月次実績!$B$5:$B$3004,$A18))</f>
        <v/>
      </c>
      <c r="T18" s="19" t="str">
        <f aca="false">IF(OR($A18="",R18=0),"",S18/R18)</f>
        <v/>
      </c>
      <c r="U18" s="20" t="str">
        <f aca="false">IF($A18="","",SUMIFS(月次実績!$G$5:$G$3004,月次実績!$B$5:$B$3004,$A18))</f>
        <v/>
      </c>
      <c r="V18" s="17" t="str">
        <f aca="false">IF($A18="","",IF(Q18&gt;=設定!$C$7,"稼働中",IF(Q18&gt;=1,"低稼働","休眠")))</f>
        <v/>
      </c>
      <c r="W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15"/>
      <c r="H19" s="21"/>
      <c r="I19" s="15" t="str">
        <f aca="false">IF($A19="","",IF(_xlfn.MAXIFS(アクションログ!$A$5:$A$2004,アクションログ!$B$5:$B$2004,$A19)=0,"",_xlfn.MAXIFS(アクションログ!$A$5:$A$2004,アクションログ!$B$5:$B$2004,$A19)))</f>
        <v/>
      </c>
      <c r="J19" s="16" t="str">
        <f aca="false">IF(OR($A19="",I19=""),"",設定!$C$4-I19)</f>
        <v/>
      </c>
      <c r="K19" s="16" t="str">
        <f aca="false">IF($A19="","",IFERROR(INDEX(設定!$D$14:$D$17,MATCH(F19,設定!$B$14:$B$17,0)),""))</f>
        <v/>
      </c>
      <c r="L19" s="15" t="str">
        <f aca="false">IF(OR($A19="",K19=""),"",IF(I19="",設定!$C$4,I19+K19))</f>
        <v/>
      </c>
      <c r="M19" s="17" t="str">
        <f aca="false">IF($A19="","",IF(F19="","ランク未設定",IF(I19="","未接触",IF(設定!$C$4&gt;L19,"期限超過",IF(L19-設定!$C$4&lt;=設定!$C$8,"今週連絡","OK")))))</f>
        <v/>
      </c>
      <c r="N19" s="15" t="str">
        <f aca="false">IF($A19="","",IF(_xlfn.MINIFS(アクションログ!$J$5:$J$2004,アクションログ!$B$5:$B$2004,$A19,アクションログ!$K$5:$K$2004,"&lt;&gt;済",アクションログ!$J$5:$J$2004,"&gt;0")=0,"",_xlfn.MINIFS(アクションログ!$J$5:$J$2004,アクションログ!$B$5:$B$2004,$A19,アクションログ!$K$5:$K$2004,"&lt;&gt;済",アクションログ!$J$5:$J$2004,"&gt;0")))</f>
        <v/>
      </c>
      <c r="O19" s="18" t="str">
        <f aca="false">IF(N19="","",IFERROR(INDEX(アクションログ!$I$5:$I$2004,MATCH($A19&amp;"|"&amp;N19,アクションログ!$L$5:$L$2004,0)),""))</f>
        <v/>
      </c>
      <c r="P19" s="16" t="str">
        <f aca="false">IF($A19="","",COUNTIFS(アクションログ!$B$5:$B$2004,$A19,アクションログ!$A$5:$A$2004,"&gt;="&amp;設定!$C$5))</f>
        <v/>
      </c>
      <c r="Q19" s="16" t="str">
        <f aca="false">IF($A19="","",SUMIFS(月次実績!$D$5:$D$3004,月次実績!$B$5:$B$3004,$A19,月次実績!$A$5:$A$3004,"&gt;="&amp;EDATE(設定!$C$5,-(設定!$C$6-1))))</f>
        <v/>
      </c>
      <c r="R19" s="16" t="str">
        <f aca="false">IF($A19="","",SUMIFS(月次実績!$D$5:$D$3004,月次実績!$B$5:$B$3004,$A19))</f>
        <v/>
      </c>
      <c r="S19" s="16" t="str">
        <f aca="false">IF($A19="","",SUMIFS(月次実績!$F$5:$F$3004,月次実績!$B$5:$B$3004,$A19))</f>
        <v/>
      </c>
      <c r="T19" s="19" t="str">
        <f aca="false">IF(OR($A19="",R19=0),"",S19/R19)</f>
        <v/>
      </c>
      <c r="U19" s="20" t="str">
        <f aca="false">IF($A19="","",SUMIFS(月次実績!$G$5:$G$3004,月次実績!$B$5:$B$3004,$A19))</f>
        <v/>
      </c>
      <c r="V19" s="17" t="str">
        <f aca="false">IF($A19="","",IF(Q19&gt;=設定!$C$7,"稼働中",IF(Q19&gt;=1,"低稼働","休眠")))</f>
        <v/>
      </c>
      <c r="W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15"/>
      <c r="H20" s="21"/>
      <c r="I20" s="15" t="str">
        <f aca="false">IF($A20="","",IF(_xlfn.MAXIFS(アクションログ!$A$5:$A$2004,アクションログ!$B$5:$B$2004,$A20)=0,"",_xlfn.MAXIFS(アクションログ!$A$5:$A$2004,アクションログ!$B$5:$B$2004,$A20)))</f>
        <v/>
      </c>
      <c r="J20" s="16" t="str">
        <f aca="false">IF(OR($A20="",I20=""),"",設定!$C$4-I20)</f>
        <v/>
      </c>
      <c r="K20" s="16" t="str">
        <f aca="false">IF($A20="","",IFERROR(INDEX(設定!$D$14:$D$17,MATCH(F20,設定!$B$14:$B$17,0)),""))</f>
        <v/>
      </c>
      <c r="L20" s="15" t="str">
        <f aca="false">IF(OR($A20="",K20=""),"",IF(I20="",設定!$C$4,I20+K20))</f>
        <v/>
      </c>
      <c r="M20" s="17" t="str">
        <f aca="false">IF($A20="","",IF(F20="","ランク未設定",IF(I20="","未接触",IF(設定!$C$4&gt;L20,"期限超過",IF(L20-設定!$C$4&lt;=設定!$C$8,"今週連絡","OK")))))</f>
        <v/>
      </c>
      <c r="N20" s="15" t="str">
        <f aca="false">IF($A20="","",IF(_xlfn.MINIFS(アクションログ!$J$5:$J$2004,アクションログ!$B$5:$B$2004,$A20,アクションログ!$K$5:$K$2004,"&lt;&gt;済",アクションログ!$J$5:$J$2004,"&gt;0")=0,"",_xlfn.MINIFS(アクションログ!$J$5:$J$2004,アクションログ!$B$5:$B$2004,$A20,アクションログ!$K$5:$K$2004,"&lt;&gt;済",アクションログ!$J$5:$J$2004,"&gt;0")))</f>
        <v/>
      </c>
      <c r="O20" s="18" t="str">
        <f aca="false">IF(N20="","",IFERROR(INDEX(アクションログ!$I$5:$I$2004,MATCH($A20&amp;"|"&amp;N20,アクションログ!$L$5:$L$2004,0)),""))</f>
        <v/>
      </c>
      <c r="P20" s="16" t="str">
        <f aca="false">IF($A20="","",COUNTIFS(アクションログ!$B$5:$B$2004,$A20,アクションログ!$A$5:$A$2004,"&gt;="&amp;設定!$C$5))</f>
        <v/>
      </c>
      <c r="Q20" s="16" t="str">
        <f aca="false">IF($A20="","",SUMIFS(月次実績!$D$5:$D$3004,月次実績!$B$5:$B$3004,$A20,月次実績!$A$5:$A$3004,"&gt;="&amp;EDATE(設定!$C$5,-(設定!$C$6-1))))</f>
        <v/>
      </c>
      <c r="R20" s="16" t="str">
        <f aca="false">IF($A20="","",SUMIFS(月次実績!$D$5:$D$3004,月次実績!$B$5:$B$3004,$A20))</f>
        <v/>
      </c>
      <c r="S20" s="16" t="str">
        <f aca="false">IF($A20="","",SUMIFS(月次実績!$F$5:$F$3004,月次実績!$B$5:$B$3004,$A20))</f>
        <v/>
      </c>
      <c r="T20" s="19" t="str">
        <f aca="false">IF(OR($A20="",R20=0),"",S20/R20)</f>
        <v/>
      </c>
      <c r="U20" s="20" t="str">
        <f aca="false">IF($A20="","",SUMIFS(月次実績!$G$5:$G$3004,月次実績!$B$5:$B$3004,$A20))</f>
        <v/>
      </c>
      <c r="V20" s="17" t="str">
        <f aca="false">IF($A20="","",IF(Q20&gt;=設定!$C$7,"稼働中",IF(Q20&gt;=1,"低稼働","休眠")))</f>
        <v/>
      </c>
      <c r="W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15"/>
      <c r="H21" s="21"/>
      <c r="I21" s="15" t="str">
        <f aca="false">IF($A21="","",IF(_xlfn.MAXIFS(アクションログ!$A$5:$A$2004,アクションログ!$B$5:$B$2004,$A21)=0,"",_xlfn.MAXIFS(アクションログ!$A$5:$A$2004,アクションログ!$B$5:$B$2004,$A21)))</f>
        <v/>
      </c>
      <c r="J21" s="16" t="str">
        <f aca="false">IF(OR($A21="",I21=""),"",設定!$C$4-I21)</f>
        <v/>
      </c>
      <c r="K21" s="16" t="str">
        <f aca="false">IF($A21="","",IFERROR(INDEX(設定!$D$14:$D$17,MATCH(F21,設定!$B$14:$B$17,0)),""))</f>
        <v/>
      </c>
      <c r="L21" s="15" t="str">
        <f aca="false">IF(OR($A21="",K21=""),"",IF(I21="",設定!$C$4,I21+K21))</f>
        <v/>
      </c>
      <c r="M21" s="17" t="str">
        <f aca="false">IF($A21="","",IF(F21="","ランク未設定",IF(I21="","未接触",IF(設定!$C$4&gt;L21,"期限超過",IF(L21-設定!$C$4&lt;=設定!$C$8,"今週連絡","OK")))))</f>
        <v/>
      </c>
      <c r="N21" s="15" t="str">
        <f aca="false">IF($A21="","",IF(_xlfn.MINIFS(アクションログ!$J$5:$J$2004,アクションログ!$B$5:$B$2004,$A21,アクションログ!$K$5:$K$2004,"&lt;&gt;済",アクションログ!$J$5:$J$2004,"&gt;0")=0,"",_xlfn.MINIFS(アクションログ!$J$5:$J$2004,アクションログ!$B$5:$B$2004,$A21,アクションログ!$K$5:$K$2004,"&lt;&gt;済",アクションログ!$J$5:$J$2004,"&gt;0")))</f>
        <v/>
      </c>
      <c r="O21" s="18" t="str">
        <f aca="false">IF(N21="","",IFERROR(INDEX(アクションログ!$I$5:$I$2004,MATCH($A21&amp;"|"&amp;N21,アクションログ!$L$5:$L$2004,0)),""))</f>
        <v/>
      </c>
      <c r="P21" s="16" t="str">
        <f aca="false">IF($A21="","",COUNTIFS(アクションログ!$B$5:$B$2004,$A21,アクションログ!$A$5:$A$2004,"&gt;="&amp;設定!$C$5))</f>
        <v/>
      </c>
      <c r="Q21" s="16" t="str">
        <f aca="false">IF($A21="","",SUMIFS(月次実績!$D$5:$D$3004,月次実績!$B$5:$B$3004,$A21,月次実績!$A$5:$A$3004,"&gt;="&amp;EDATE(設定!$C$5,-(設定!$C$6-1))))</f>
        <v/>
      </c>
      <c r="R21" s="16" t="str">
        <f aca="false">IF($A21="","",SUMIFS(月次実績!$D$5:$D$3004,月次実績!$B$5:$B$3004,$A21))</f>
        <v/>
      </c>
      <c r="S21" s="16" t="str">
        <f aca="false">IF($A21="","",SUMIFS(月次実績!$F$5:$F$3004,月次実績!$B$5:$B$3004,$A21))</f>
        <v/>
      </c>
      <c r="T21" s="19" t="str">
        <f aca="false">IF(OR($A21="",R21=0),"",S21/R21)</f>
        <v/>
      </c>
      <c r="U21" s="20" t="str">
        <f aca="false">IF($A21="","",SUMIFS(月次実績!$G$5:$G$3004,月次実績!$B$5:$B$3004,$A21))</f>
        <v/>
      </c>
      <c r="V21" s="17" t="str">
        <f aca="false">IF($A21="","",IF(Q21&gt;=設定!$C$7,"稼働中",IF(Q21&gt;=1,"低稼働","休眠")))</f>
        <v/>
      </c>
      <c r="W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15"/>
      <c r="H22" s="21"/>
      <c r="I22" s="15" t="str">
        <f aca="false">IF($A22="","",IF(_xlfn.MAXIFS(アクションログ!$A$5:$A$2004,アクションログ!$B$5:$B$2004,$A22)=0,"",_xlfn.MAXIFS(アクションログ!$A$5:$A$2004,アクションログ!$B$5:$B$2004,$A22)))</f>
        <v/>
      </c>
      <c r="J22" s="16" t="str">
        <f aca="false">IF(OR($A22="",I22=""),"",設定!$C$4-I22)</f>
        <v/>
      </c>
      <c r="K22" s="16" t="str">
        <f aca="false">IF($A22="","",IFERROR(INDEX(設定!$D$14:$D$17,MATCH(F22,設定!$B$14:$B$17,0)),""))</f>
        <v/>
      </c>
      <c r="L22" s="15" t="str">
        <f aca="false">IF(OR($A22="",K22=""),"",IF(I22="",設定!$C$4,I22+K22))</f>
        <v/>
      </c>
      <c r="M22" s="17" t="str">
        <f aca="false">IF($A22="","",IF(F22="","ランク未設定",IF(I22="","未接触",IF(設定!$C$4&gt;L22,"期限超過",IF(L22-設定!$C$4&lt;=設定!$C$8,"今週連絡","OK")))))</f>
        <v/>
      </c>
      <c r="N22" s="15" t="str">
        <f aca="false">IF($A22="","",IF(_xlfn.MINIFS(アクションログ!$J$5:$J$2004,アクションログ!$B$5:$B$2004,$A22,アクションログ!$K$5:$K$2004,"&lt;&gt;済",アクションログ!$J$5:$J$2004,"&gt;0")=0,"",_xlfn.MINIFS(アクションログ!$J$5:$J$2004,アクションログ!$B$5:$B$2004,$A22,アクションログ!$K$5:$K$2004,"&lt;&gt;済",アクションログ!$J$5:$J$2004,"&gt;0")))</f>
        <v/>
      </c>
      <c r="O22" s="18" t="str">
        <f aca="false">IF(N22="","",IFERROR(INDEX(アクションログ!$I$5:$I$2004,MATCH($A22&amp;"|"&amp;N22,アクションログ!$L$5:$L$2004,0)),""))</f>
        <v/>
      </c>
      <c r="P22" s="16" t="str">
        <f aca="false">IF($A22="","",COUNTIFS(アクションログ!$B$5:$B$2004,$A22,アクションログ!$A$5:$A$2004,"&gt;="&amp;設定!$C$5))</f>
        <v/>
      </c>
      <c r="Q22" s="16" t="str">
        <f aca="false">IF($A22="","",SUMIFS(月次実績!$D$5:$D$3004,月次実績!$B$5:$B$3004,$A22,月次実績!$A$5:$A$3004,"&gt;="&amp;EDATE(設定!$C$5,-(設定!$C$6-1))))</f>
        <v/>
      </c>
      <c r="R22" s="16" t="str">
        <f aca="false">IF($A22="","",SUMIFS(月次実績!$D$5:$D$3004,月次実績!$B$5:$B$3004,$A22))</f>
        <v/>
      </c>
      <c r="S22" s="16" t="str">
        <f aca="false">IF($A22="","",SUMIFS(月次実績!$F$5:$F$3004,月次実績!$B$5:$B$3004,$A22))</f>
        <v/>
      </c>
      <c r="T22" s="19" t="str">
        <f aca="false">IF(OR($A22="",R22=0),"",S22/R22)</f>
        <v/>
      </c>
      <c r="U22" s="20" t="str">
        <f aca="false">IF($A22="","",SUMIFS(月次実績!$G$5:$G$3004,月次実績!$B$5:$B$3004,$A22))</f>
        <v/>
      </c>
      <c r="V22" s="17" t="str">
        <f aca="false">IF($A22="","",IF(Q22&gt;=設定!$C$7,"稼働中",IF(Q22&gt;=1,"低稼働","休眠")))</f>
        <v/>
      </c>
      <c r="W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15"/>
      <c r="H23" s="21"/>
      <c r="I23" s="15" t="str">
        <f aca="false">IF($A23="","",IF(_xlfn.MAXIFS(アクションログ!$A$5:$A$2004,アクションログ!$B$5:$B$2004,$A23)=0,"",_xlfn.MAXIFS(アクションログ!$A$5:$A$2004,アクションログ!$B$5:$B$2004,$A23)))</f>
        <v/>
      </c>
      <c r="J23" s="16" t="str">
        <f aca="false">IF(OR($A23="",I23=""),"",設定!$C$4-I23)</f>
        <v/>
      </c>
      <c r="K23" s="16" t="str">
        <f aca="false">IF($A23="","",IFERROR(INDEX(設定!$D$14:$D$17,MATCH(F23,設定!$B$14:$B$17,0)),""))</f>
        <v/>
      </c>
      <c r="L23" s="15" t="str">
        <f aca="false">IF(OR($A23="",K23=""),"",IF(I23="",設定!$C$4,I23+K23))</f>
        <v/>
      </c>
      <c r="M23" s="17" t="str">
        <f aca="false">IF($A23="","",IF(F23="","ランク未設定",IF(I23="","未接触",IF(設定!$C$4&gt;L23,"期限超過",IF(L23-設定!$C$4&lt;=設定!$C$8,"今週連絡","OK")))))</f>
        <v/>
      </c>
      <c r="N23" s="15" t="str">
        <f aca="false">IF($A23="","",IF(_xlfn.MINIFS(アクションログ!$J$5:$J$2004,アクションログ!$B$5:$B$2004,$A23,アクションログ!$K$5:$K$2004,"&lt;&gt;済",アクションログ!$J$5:$J$2004,"&gt;0")=0,"",_xlfn.MINIFS(アクションログ!$J$5:$J$2004,アクションログ!$B$5:$B$2004,$A23,アクションログ!$K$5:$K$2004,"&lt;&gt;済",アクションログ!$J$5:$J$2004,"&gt;0")))</f>
        <v/>
      </c>
      <c r="O23" s="18" t="str">
        <f aca="false">IF(N23="","",IFERROR(INDEX(アクションログ!$I$5:$I$2004,MATCH($A23&amp;"|"&amp;N23,アクションログ!$L$5:$L$2004,0)),""))</f>
        <v/>
      </c>
      <c r="P23" s="16" t="str">
        <f aca="false">IF($A23="","",COUNTIFS(アクションログ!$B$5:$B$2004,$A23,アクションログ!$A$5:$A$2004,"&gt;="&amp;設定!$C$5))</f>
        <v/>
      </c>
      <c r="Q23" s="16" t="str">
        <f aca="false">IF($A23="","",SUMIFS(月次実績!$D$5:$D$3004,月次実績!$B$5:$B$3004,$A23,月次実績!$A$5:$A$3004,"&gt;="&amp;EDATE(設定!$C$5,-(設定!$C$6-1))))</f>
        <v/>
      </c>
      <c r="R23" s="16" t="str">
        <f aca="false">IF($A23="","",SUMIFS(月次実績!$D$5:$D$3004,月次実績!$B$5:$B$3004,$A23))</f>
        <v/>
      </c>
      <c r="S23" s="16" t="str">
        <f aca="false">IF($A23="","",SUMIFS(月次実績!$F$5:$F$3004,月次実績!$B$5:$B$3004,$A23))</f>
        <v/>
      </c>
      <c r="T23" s="19" t="str">
        <f aca="false">IF(OR($A23="",R23=0),"",S23/R23)</f>
        <v/>
      </c>
      <c r="U23" s="20" t="str">
        <f aca="false">IF($A23="","",SUMIFS(月次実績!$G$5:$G$3004,月次実績!$B$5:$B$3004,$A23))</f>
        <v/>
      </c>
      <c r="V23" s="17" t="str">
        <f aca="false">IF($A23="","",IF(Q23&gt;=設定!$C$7,"稼働中",IF(Q23&gt;=1,"低稼働","休眠")))</f>
        <v/>
      </c>
      <c r="W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15"/>
      <c r="H24" s="21"/>
      <c r="I24" s="15" t="str">
        <f aca="false">IF($A24="","",IF(_xlfn.MAXIFS(アクションログ!$A$5:$A$2004,アクションログ!$B$5:$B$2004,$A24)=0,"",_xlfn.MAXIFS(アクションログ!$A$5:$A$2004,アクションログ!$B$5:$B$2004,$A24)))</f>
        <v/>
      </c>
      <c r="J24" s="16" t="str">
        <f aca="false">IF(OR($A24="",I24=""),"",設定!$C$4-I24)</f>
        <v/>
      </c>
      <c r="K24" s="16" t="str">
        <f aca="false">IF($A24="","",IFERROR(INDEX(設定!$D$14:$D$17,MATCH(F24,設定!$B$14:$B$17,0)),""))</f>
        <v/>
      </c>
      <c r="L24" s="15" t="str">
        <f aca="false">IF(OR($A24="",K24=""),"",IF(I24="",設定!$C$4,I24+K24))</f>
        <v/>
      </c>
      <c r="M24" s="17" t="str">
        <f aca="false">IF($A24="","",IF(F24="","ランク未設定",IF(I24="","未接触",IF(設定!$C$4&gt;L24,"期限超過",IF(L24-設定!$C$4&lt;=設定!$C$8,"今週連絡","OK")))))</f>
        <v/>
      </c>
      <c r="N24" s="15" t="str">
        <f aca="false">IF($A24="","",IF(_xlfn.MINIFS(アクションログ!$J$5:$J$2004,アクションログ!$B$5:$B$2004,$A24,アクションログ!$K$5:$K$2004,"&lt;&gt;済",アクションログ!$J$5:$J$2004,"&gt;0")=0,"",_xlfn.MINIFS(アクションログ!$J$5:$J$2004,アクションログ!$B$5:$B$2004,$A24,アクションログ!$K$5:$K$2004,"&lt;&gt;済",アクションログ!$J$5:$J$2004,"&gt;0")))</f>
        <v/>
      </c>
      <c r="O24" s="18" t="str">
        <f aca="false">IF(N24="","",IFERROR(INDEX(アクションログ!$I$5:$I$2004,MATCH($A24&amp;"|"&amp;N24,アクションログ!$L$5:$L$2004,0)),""))</f>
        <v/>
      </c>
      <c r="P24" s="16" t="str">
        <f aca="false">IF($A24="","",COUNTIFS(アクションログ!$B$5:$B$2004,$A24,アクションログ!$A$5:$A$2004,"&gt;="&amp;設定!$C$5))</f>
        <v/>
      </c>
      <c r="Q24" s="16" t="str">
        <f aca="false">IF($A24="","",SUMIFS(月次実績!$D$5:$D$3004,月次実績!$B$5:$B$3004,$A24,月次実績!$A$5:$A$3004,"&gt;="&amp;EDATE(設定!$C$5,-(設定!$C$6-1))))</f>
        <v/>
      </c>
      <c r="R24" s="16" t="str">
        <f aca="false">IF($A24="","",SUMIFS(月次実績!$D$5:$D$3004,月次実績!$B$5:$B$3004,$A24))</f>
        <v/>
      </c>
      <c r="S24" s="16" t="str">
        <f aca="false">IF($A24="","",SUMIFS(月次実績!$F$5:$F$3004,月次実績!$B$5:$B$3004,$A24))</f>
        <v/>
      </c>
      <c r="T24" s="19" t="str">
        <f aca="false">IF(OR($A24="",R24=0),"",S24/R24)</f>
        <v/>
      </c>
      <c r="U24" s="20" t="str">
        <f aca="false">IF($A24="","",SUMIFS(月次実績!$G$5:$G$3004,月次実績!$B$5:$B$3004,$A24))</f>
        <v/>
      </c>
      <c r="V24" s="17" t="str">
        <f aca="false">IF($A24="","",IF(Q24&gt;=設定!$C$7,"稼働中",IF(Q24&gt;=1,"低稼働","休眠")))</f>
        <v/>
      </c>
      <c r="W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15"/>
      <c r="H25" s="21"/>
      <c r="I25" s="15" t="str">
        <f aca="false">IF($A25="","",IF(_xlfn.MAXIFS(アクションログ!$A$5:$A$2004,アクションログ!$B$5:$B$2004,$A25)=0,"",_xlfn.MAXIFS(アクションログ!$A$5:$A$2004,アクションログ!$B$5:$B$2004,$A25)))</f>
        <v/>
      </c>
      <c r="J25" s="16" t="str">
        <f aca="false">IF(OR($A25="",I25=""),"",設定!$C$4-I25)</f>
        <v/>
      </c>
      <c r="K25" s="16" t="str">
        <f aca="false">IF($A25="","",IFERROR(INDEX(設定!$D$14:$D$17,MATCH(F25,設定!$B$14:$B$17,0)),""))</f>
        <v/>
      </c>
      <c r="L25" s="15" t="str">
        <f aca="false">IF(OR($A25="",K25=""),"",IF(I25="",設定!$C$4,I25+K25))</f>
        <v/>
      </c>
      <c r="M25" s="17" t="str">
        <f aca="false">IF($A25="","",IF(F25="","ランク未設定",IF(I25="","未接触",IF(設定!$C$4&gt;L25,"期限超過",IF(L25-設定!$C$4&lt;=設定!$C$8,"今週連絡","OK")))))</f>
        <v/>
      </c>
      <c r="N25" s="15" t="str">
        <f aca="false">IF($A25="","",IF(_xlfn.MINIFS(アクションログ!$J$5:$J$2004,アクションログ!$B$5:$B$2004,$A25,アクションログ!$K$5:$K$2004,"&lt;&gt;済",アクションログ!$J$5:$J$2004,"&gt;0")=0,"",_xlfn.MINIFS(アクションログ!$J$5:$J$2004,アクションログ!$B$5:$B$2004,$A25,アクションログ!$K$5:$K$2004,"&lt;&gt;済",アクションログ!$J$5:$J$2004,"&gt;0")))</f>
        <v/>
      </c>
      <c r="O25" s="18" t="str">
        <f aca="false">IF(N25="","",IFERROR(INDEX(アクションログ!$I$5:$I$2004,MATCH($A25&amp;"|"&amp;N25,アクションログ!$L$5:$L$2004,0)),""))</f>
        <v/>
      </c>
      <c r="P25" s="16" t="str">
        <f aca="false">IF($A25="","",COUNTIFS(アクションログ!$B$5:$B$2004,$A25,アクションログ!$A$5:$A$2004,"&gt;="&amp;設定!$C$5))</f>
        <v/>
      </c>
      <c r="Q25" s="16" t="str">
        <f aca="false">IF($A25="","",SUMIFS(月次実績!$D$5:$D$3004,月次実績!$B$5:$B$3004,$A25,月次実績!$A$5:$A$3004,"&gt;="&amp;EDATE(設定!$C$5,-(設定!$C$6-1))))</f>
        <v/>
      </c>
      <c r="R25" s="16" t="str">
        <f aca="false">IF($A25="","",SUMIFS(月次実績!$D$5:$D$3004,月次実績!$B$5:$B$3004,$A25))</f>
        <v/>
      </c>
      <c r="S25" s="16" t="str">
        <f aca="false">IF($A25="","",SUMIFS(月次実績!$F$5:$F$3004,月次実績!$B$5:$B$3004,$A25))</f>
        <v/>
      </c>
      <c r="T25" s="19" t="str">
        <f aca="false">IF(OR($A25="",R25=0),"",S25/R25)</f>
        <v/>
      </c>
      <c r="U25" s="20" t="str">
        <f aca="false">IF($A25="","",SUMIFS(月次実績!$G$5:$G$3004,月次実績!$B$5:$B$3004,$A25))</f>
        <v/>
      </c>
      <c r="V25" s="17" t="str">
        <f aca="false">IF($A25="","",IF(Q25&gt;=設定!$C$7,"稼働中",IF(Q25&gt;=1,"低稼働","休眠")))</f>
        <v/>
      </c>
      <c r="W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15"/>
      <c r="H26" s="21"/>
      <c r="I26" s="15" t="str">
        <f aca="false">IF($A26="","",IF(_xlfn.MAXIFS(アクションログ!$A$5:$A$2004,アクションログ!$B$5:$B$2004,$A26)=0,"",_xlfn.MAXIFS(アクションログ!$A$5:$A$2004,アクションログ!$B$5:$B$2004,$A26)))</f>
        <v/>
      </c>
      <c r="J26" s="16" t="str">
        <f aca="false">IF(OR($A26="",I26=""),"",設定!$C$4-I26)</f>
        <v/>
      </c>
      <c r="K26" s="16" t="str">
        <f aca="false">IF($A26="","",IFERROR(INDEX(設定!$D$14:$D$17,MATCH(F26,設定!$B$14:$B$17,0)),""))</f>
        <v/>
      </c>
      <c r="L26" s="15" t="str">
        <f aca="false">IF(OR($A26="",K26=""),"",IF(I26="",設定!$C$4,I26+K26))</f>
        <v/>
      </c>
      <c r="M26" s="17" t="str">
        <f aca="false">IF($A26="","",IF(F26="","ランク未設定",IF(I26="","未接触",IF(設定!$C$4&gt;L26,"期限超過",IF(L26-設定!$C$4&lt;=設定!$C$8,"今週連絡","OK")))))</f>
        <v/>
      </c>
      <c r="N26" s="15" t="str">
        <f aca="false">IF($A26="","",IF(_xlfn.MINIFS(アクションログ!$J$5:$J$2004,アクションログ!$B$5:$B$2004,$A26,アクションログ!$K$5:$K$2004,"&lt;&gt;済",アクションログ!$J$5:$J$2004,"&gt;0")=0,"",_xlfn.MINIFS(アクションログ!$J$5:$J$2004,アクションログ!$B$5:$B$2004,$A26,アクションログ!$K$5:$K$2004,"&lt;&gt;済",アクションログ!$J$5:$J$2004,"&gt;0")))</f>
        <v/>
      </c>
      <c r="O26" s="18" t="str">
        <f aca="false">IF(N26="","",IFERROR(INDEX(アクションログ!$I$5:$I$2004,MATCH($A26&amp;"|"&amp;N26,アクションログ!$L$5:$L$2004,0)),""))</f>
        <v/>
      </c>
      <c r="P26" s="16" t="str">
        <f aca="false">IF($A26="","",COUNTIFS(アクションログ!$B$5:$B$2004,$A26,アクションログ!$A$5:$A$2004,"&gt;="&amp;設定!$C$5))</f>
        <v/>
      </c>
      <c r="Q26" s="16" t="str">
        <f aca="false">IF($A26="","",SUMIFS(月次実績!$D$5:$D$3004,月次実績!$B$5:$B$3004,$A26,月次実績!$A$5:$A$3004,"&gt;="&amp;EDATE(設定!$C$5,-(設定!$C$6-1))))</f>
        <v/>
      </c>
      <c r="R26" s="16" t="str">
        <f aca="false">IF($A26="","",SUMIFS(月次実績!$D$5:$D$3004,月次実績!$B$5:$B$3004,$A26))</f>
        <v/>
      </c>
      <c r="S26" s="16" t="str">
        <f aca="false">IF($A26="","",SUMIFS(月次実績!$F$5:$F$3004,月次実績!$B$5:$B$3004,$A26))</f>
        <v/>
      </c>
      <c r="T26" s="19" t="str">
        <f aca="false">IF(OR($A26="",R26=0),"",S26/R26)</f>
        <v/>
      </c>
      <c r="U26" s="20" t="str">
        <f aca="false">IF($A26="","",SUMIFS(月次実績!$G$5:$G$3004,月次実績!$B$5:$B$3004,$A26))</f>
        <v/>
      </c>
      <c r="V26" s="17" t="str">
        <f aca="false">IF($A26="","",IF(Q26&gt;=設定!$C$7,"稼働中",IF(Q26&gt;=1,"低稼働","休眠")))</f>
        <v/>
      </c>
      <c r="W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15"/>
      <c r="H27" s="21"/>
      <c r="I27" s="15" t="str">
        <f aca="false">IF($A27="","",IF(_xlfn.MAXIFS(アクションログ!$A$5:$A$2004,アクションログ!$B$5:$B$2004,$A27)=0,"",_xlfn.MAXIFS(アクションログ!$A$5:$A$2004,アクションログ!$B$5:$B$2004,$A27)))</f>
        <v/>
      </c>
      <c r="J27" s="16" t="str">
        <f aca="false">IF(OR($A27="",I27=""),"",設定!$C$4-I27)</f>
        <v/>
      </c>
      <c r="K27" s="16" t="str">
        <f aca="false">IF($A27="","",IFERROR(INDEX(設定!$D$14:$D$17,MATCH(F27,設定!$B$14:$B$17,0)),""))</f>
        <v/>
      </c>
      <c r="L27" s="15" t="str">
        <f aca="false">IF(OR($A27="",K27=""),"",IF(I27="",設定!$C$4,I27+K27))</f>
        <v/>
      </c>
      <c r="M27" s="17" t="str">
        <f aca="false">IF($A27="","",IF(F27="","ランク未設定",IF(I27="","未接触",IF(設定!$C$4&gt;L27,"期限超過",IF(L27-設定!$C$4&lt;=設定!$C$8,"今週連絡","OK")))))</f>
        <v/>
      </c>
      <c r="N27" s="15" t="str">
        <f aca="false">IF($A27="","",IF(_xlfn.MINIFS(アクションログ!$J$5:$J$2004,アクションログ!$B$5:$B$2004,$A27,アクションログ!$K$5:$K$2004,"&lt;&gt;済",アクションログ!$J$5:$J$2004,"&gt;0")=0,"",_xlfn.MINIFS(アクションログ!$J$5:$J$2004,アクションログ!$B$5:$B$2004,$A27,アクションログ!$K$5:$K$2004,"&lt;&gt;済",アクションログ!$J$5:$J$2004,"&gt;0")))</f>
        <v/>
      </c>
      <c r="O27" s="18" t="str">
        <f aca="false">IF(N27="","",IFERROR(INDEX(アクションログ!$I$5:$I$2004,MATCH($A27&amp;"|"&amp;N27,アクションログ!$L$5:$L$2004,0)),""))</f>
        <v/>
      </c>
      <c r="P27" s="16" t="str">
        <f aca="false">IF($A27="","",COUNTIFS(アクションログ!$B$5:$B$2004,$A27,アクションログ!$A$5:$A$2004,"&gt;="&amp;設定!$C$5))</f>
        <v/>
      </c>
      <c r="Q27" s="16" t="str">
        <f aca="false">IF($A27="","",SUMIFS(月次実績!$D$5:$D$3004,月次実績!$B$5:$B$3004,$A27,月次実績!$A$5:$A$3004,"&gt;="&amp;EDATE(設定!$C$5,-(設定!$C$6-1))))</f>
        <v/>
      </c>
      <c r="R27" s="16" t="str">
        <f aca="false">IF($A27="","",SUMIFS(月次実績!$D$5:$D$3004,月次実績!$B$5:$B$3004,$A27))</f>
        <v/>
      </c>
      <c r="S27" s="16" t="str">
        <f aca="false">IF($A27="","",SUMIFS(月次実績!$F$5:$F$3004,月次実績!$B$5:$B$3004,$A27))</f>
        <v/>
      </c>
      <c r="T27" s="19" t="str">
        <f aca="false">IF(OR($A27="",R27=0),"",S27/R27)</f>
        <v/>
      </c>
      <c r="U27" s="20" t="str">
        <f aca="false">IF($A27="","",SUMIFS(月次実績!$G$5:$G$3004,月次実績!$B$5:$B$3004,$A27))</f>
        <v/>
      </c>
      <c r="V27" s="17" t="str">
        <f aca="false">IF($A27="","",IF(Q27&gt;=設定!$C$7,"稼働中",IF(Q27&gt;=1,"低稼働","休眠")))</f>
        <v/>
      </c>
      <c r="W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15"/>
      <c r="H28" s="21"/>
      <c r="I28" s="15" t="str">
        <f aca="false">IF($A28="","",IF(_xlfn.MAXIFS(アクションログ!$A$5:$A$2004,アクションログ!$B$5:$B$2004,$A28)=0,"",_xlfn.MAXIFS(アクションログ!$A$5:$A$2004,アクションログ!$B$5:$B$2004,$A28)))</f>
        <v/>
      </c>
      <c r="J28" s="16" t="str">
        <f aca="false">IF(OR($A28="",I28=""),"",設定!$C$4-I28)</f>
        <v/>
      </c>
      <c r="K28" s="16" t="str">
        <f aca="false">IF($A28="","",IFERROR(INDEX(設定!$D$14:$D$17,MATCH(F28,設定!$B$14:$B$17,0)),""))</f>
        <v/>
      </c>
      <c r="L28" s="15" t="str">
        <f aca="false">IF(OR($A28="",K28=""),"",IF(I28="",設定!$C$4,I28+K28))</f>
        <v/>
      </c>
      <c r="M28" s="17" t="str">
        <f aca="false">IF($A28="","",IF(F28="","ランク未設定",IF(I28="","未接触",IF(設定!$C$4&gt;L28,"期限超過",IF(L28-設定!$C$4&lt;=設定!$C$8,"今週連絡","OK")))))</f>
        <v/>
      </c>
      <c r="N28" s="15" t="str">
        <f aca="false">IF($A28="","",IF(_xlfn.MINIFS(アクションログ!$J$5:$J$2004,アクションログ!$B$5:$B$2004,$A28,アクションログ!$K$5:$K$2004,"&lt;&gt;済",アクションログ!$J$5:$J$2004,"&gt;0")=0,"",_xlfn.MINIFS(アクションログ!$J$5:$J$2004,アクションログ!$B$5:$B$2004,$A28,アクションログ!$K$5:$K$2004,"&lt;&gt;済",アクションログ!$J$5:$J$2004,"&gt;0")))</f>
        <v/>
      </c>
      <c r="O28" s="18" t="str">
        <f aca="false">IF(N28="","",IFERROR(INDEX(アクションログ!$I$5:$I$2004,MATCH($A28&amp;"|"&amp;N28,アクションログ!$L$5:$L$2004,0)),""))</f>
        <v/>
      </c>
      <c r="P28" s="16" t="str">
        <f aca="false">IF($A28="","",COUNTIFS(アクションログ!$B$5:$B$2004,$A28,アクションログ!$A$5:$A$2004,"&gt;="&amp;設定!$C$5))</f>
        <v/>
      </c>
      <c r="Q28" s="16" t="str">
        <f aca="false">IF($A28="","",SUMIFS(月次実績!$D$5:$D$3004,月次実績!$B$5:$B$3004,$A28,月次実績!$A$5:$A$3004,"&gt;="&amp;EDATE(設定!$C$5,-(設定!$C$6-1))))</f>
        <v/>
      </c>
      <c r="R28" s="16" t="str">
        <f aca="false">IF($A28="","",SUMIFS(月次実績!$D$5:$D$3004,月次実績!$B$5:$B$3004,$A28))</f>
        <v/>
      </c>
      <c r="S28" s="16" t="str">
        <f aca="false">IF($A28="","",SUMIFS(月次実績!$F$5:$F$3004,月次実績!$B$5:$B$3004,$A28))</f>
        <v/>
      </c>
      <c r="T28" s="19" t="str">
        <f aca="false">IF(OR($A28="",R28=0),"",S28/R28)</f>
        <v/>
      </c>
      <c r="U28" s="20" t="str">
        <f aca="false">IF($A28="","",SUMIFS(月次実績!$G$5:$G$3004,月次実績!$B$5:$B$3004,$A28))</f>
        <v/>
      </c>
      <c r="V28" s="17" t="str">
        <f aca="false">IF($A28="","",IF(Q28&gt;=設定!$C$7,"稼働中",IF(Q28&gt;=1,"低稼働","休眠")))</f>
        <v/>
      </c>
      <c r="W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15"/>
      <c r="H29" s="21"/>
      <c r="I29" s="15" t="str">
        <f aca="false">IF($A29="","",IF(_xlfn.MAXIFS(アクションログ!$A$5:$A$2004,アクションログ!$B$5:$B$2004,$A29)=0,"",_xlfn.MAXIFS(アクションログ!$A$5:$A$2004,アクションログ!$B$5:$B$2004,$A29)))</f>
        <v/>
      </c>
      <c r="J29" s="16" t="str">
        <f aca="false">IF(OR($A29="",I29=""),"",設定!$C$4-I29)</f>
        <v/>
      </c>
      <c r="K29" s="16" t="str">
        <f aca="false">IF($A29="","",IFERROR(INDEX(設定!$D$14:$D$17,MATCH(F29,設定!$B$14:$B$17,0)),""))</f>
        <v/>
      </c>
      <c r="L29" s="15" t="str">
        <f aca="false">IF(OR($A29="",K29=""),"",IF(I29="",設定!$C$4,I29+K29))</f>
        <v/>
      </c>
      <c r="M29" s="17" t="str">
        <f aca="false">IF($A29="","",IF(F29="","ランク未設定",IF(I29="","未接触",IF(設定!$C$4&gt;L29,"期限超過",IF(L29-設定!$C$4&lt;=設定!$C$8,"今週連絡","OK")))))</f>
        <v/>
      </c>
      <c r="N29" s="15" t="str">
        <f aca="false">IF($A29="","",IF(_xlfn.MINIFS(アクションログ!$J$5:$J$2004,アクションログ!$B$5:$B$2004,$A29,アクションログ!$K$5:$K$2004,"&lt;&gt;済",アクションログ!$J$5:$J$2004,"&gt;0")=0,"",_xlfn.MINIFS(アクションログ!$J$5:$J$2004,アクションログ!$B$5:$B$2004,$A29,アクションログ!$K$5:$K$2004,"&lt;&gt;済",アクションログ!$J$5:$J$2004,"&gt;0")))</f>
        <v/>
      </c>
      <c r="O29" s="18" t="str">
        <f aca="false">IF(N29="","",IFERROR(INDEX(アクションログ!$I$5:$I$2004,MATCH($A29&amp;"|"&amp;N29,アクションログ!$L$5:$L$2004,0)),""))</f>
        <v/>
      </c>
      <c r="P29" s="16" t="str">
        <f aca="false">IF($A29="","",COUNTIFS(アクションログ!$B$5:$B$2004,$A29,アクションログ!$A$5:$A$2004,"&gt;="&amp;設定!$C$5))</f>
        <v/>
      </c>
      <c r="Q29" s="16" t="str">
        <f aca="false">IF($A29="","",SUMIFS(月次実績!$D$5:$D$3004,月次実績!$B$5:$B$3004,$A29,月次実績!$A$5:$A$3004,"&gt;="&amp;EDATE(設定!$C$5,-(設定!$C$6-1))))</f>
        <v/>
      </c>
      <c r="R29" s="16" t="str">
        <f aca="false">IF($A29="","",SUMIFS(月次実績!$D$5:$D$3004,月次実績!$B$5:$B$3004,$A29))</f>
        <v/>
      </c>
      <c r="S29" s="16" t="str">
        <f aca="false">IF($A29="","",SUMIFS(月次実績!$F$5:$F$3004,月次実績!$B$5:$B$3004,$A29))</f>
        <v/>
      </c>
      <c r="T29" s="19" t="str">
        <f aca="false">IF(OR($A29="",R29=0),"",S29/R29)</f>
        <v/>
      </c>
      <c r="U29" s="20" t="str">
        <f aca="false">IF($A29="","",SUMIFS(月次実績!$G$5:$G$3004,月次実績!$B$5:$B$3004,$A29))</f>
        <v/>
      </c>
      <c r="V29" s="17" t="str">
        <f aca="false">IF($A29="","",IF(Q29&gt;=設定!$C$7,"稼働中",IF(Q29&gt;=1,"低稼働","休眠")))</f>
        <v/>
      </c>
      <c r="W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15"/>
      <c r="H30" s="21"/>
      <c r="I30" s="15" t="str">
        <f aca="false">IF($A30="","",IF(_xlfn.MAXIFS(アクションログ!$A$5:$A$2004,アクションログ!$B$5:$B$2004,$A30)=0,"",_xlfn.MAXIFS(アクションログ!$A$5:$A$2004,アクションログ!$B$5:$B$2004,$A30)))</f>
        <v/>
      </c>
      <c r="J30" s="16" t="str">
        <f aca="false">IF(OR($A30="",I30=""),"",設定!$C$4-I30)</f>
        <v/>
      </c>
      <c r="K30" s="16" t="str">
        <f aca="false">IF($A30="","",IFERROR(INDEX(設定!$D$14:$D$17,MATCH(F30,設定!$B$14:$B$17,0)),""))</f>
        <v/>
      </c>
      <c r="L30" s="15" t="str">
        <f aca="false">IF(OR($A30="",K30=""),"",IF(I30="",設定!$C$4,I30+K30))</f>
        <v/>
      </c>
      <c r="M30" s="17" t="str">
        <f aca="false">IF($A30="","",IF(F30="","ランク未設定",IF(I30="","未接触",IF(設定!$C$4&gt;L30,"期限超過",IF(L30-設定!$C$4&lt;=設定!$C$8,"今週連絡","OK")))))</f>
        <v/>
      </c>
      <c r="N30" s="15" t="str">
        <f aca="false">IF($A30="","",IF(_xlfn.MINIFS(アクションログ!$J$5:$J$2004,アクションログ!$B$5:$B$2004,$A30,アクションログ!$K$5:$K$2004,"&lt;&gt;済",アクションログ!$J$5:$J$2004,"&gt;0")=0,"",_xlfn.MINIFS(アクションログ!$J$5:$J$2004,アクションログ!$B$5:$B$2004,$A30,アクションログ!$K$5:$K$2004,"&lt;&gt;済",アクションログ!$J$5:$J$2004,"&gt;0")))</f>
        <v/>
      </c>
      <c r="O30" s="18" t="str">
        <f aca="false">IF(N30="","",IFERROR(INDEX(アクションログ!$I$5:$I$2004,MATCH($A30&amp;"|"&amp;N30,アクションログ!$L$5:$L$2004,0)),""))</f>
        <v/>
      </c>
      <c r="P30" s="16" t="str">
        <f aca="false">IF($A30="","",COUNTIFS(アクションログ!$B$5:$B$2004,$A30,アクションログ!$A$5:$A$2004,"&gt;="&amp;設定!$C$5))</f>
        <v/>
      </c>
      <c r="Q30" s="16" t="str">
        <f aca="false">IF($A30="","",SUMIFS(月次実績!$D$5:$D$3004,月次実績!$B$5:$B$3004,$A30,月次実績!$A$5:$A$3004,"&gt;="&amp;EDATE(設定!$C$5,-(設定!$C$6-1))))</f>
        <v/>
      </c>
      <c r="R30" s="16" t="str">
        <f aca="false">IF($A30="","",SUMIFS(月次実績!$D$5:$D$3004,月次実績!$B$5:$B$3004,$A30))</f>
        <v/>
      </c>
      <c r="S30" s="16" t="str">
        <f aca="false">IF($A30="","",SUMIFS(月次実績!$F$5:$F$3004,月次実績!$B$5:$B$3004,$A30))</f>
        <v/>
      </c>
      <c r="T30" s="19" t="str">
        <f aca="false">IF(OR($A30="",R30=0),"",S30/R30)</f>
        <v/>
      </c>
      <c r="U30" s="20" t="str">
        <f aca="false">IF($A30="","",SUMIFS(月次実績!$G$5:$G$3004,月次実績!$B$5:$B$3004,$A30))</f>
        <v/>
      </c>
      <c r="V30" s="17" t="str">
        <f aca="false">IF($A30="","",IF(Q30&gt;=設定!$C$7,"稼働中",IF(Q30&gt;=1,"低稼働","休眠")))</f>
        <v/>
      </c>
      <c r="W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15"/>
      <c r="H31" s="21"/>
      <c r="I31" s="15" t="str">
        <f aca="false">IF($A31="","",IF(_xlfn.MAXIFS(アクションログ!$A$5:$A$2004,アクションログ!$B$5:$B$2004,$A31)=0,"",_xlfn.MAXIFS(アクションログ!$A$5:$A$2004,アクションログ!$B$5:$B$2004,$A31)))</f>
        <v/>
      </c>
      <c r="J31" s="16" t="str">
        <f aca="false">IF(OR($A31="",I31=""),"",設定!$C$4-I31)</f>
        <v/>
      </c>
      <c r="K31" s="16" t="str">
        <f aca="false">IF($A31="","",IFERROR(INDEX(設定!$D$14:$D$17,MATCH(F31,設定!$B$14:$B$17,0)),""))</f>
        <v/>
      </c>
      <c r="L31" s="15" t="str">
        <f aca="false">IF(OR($A31="",K31=""),"",IF(I31="",設定!$C$4,I31+K31))</f>
        <v/>
      </c>
      <c r="M31" s="17" t="str">
        <f aca="false">IF($A31="","",IF(F31="","ランク未設定",IF(I31="","未接触",IF(設定!$C$4&gt;L31,"期限超過",IF(L31-設定!$C$4&lt;=設定!$C$8,"今週連絡","OK")))))</f>
        <v/>
      </c>
      <c r="N31" s="15" t="str">
        <f aca="false">IF($A31="","",IF(_xlfn.MINIFS(アクションログ!$J$5:$J$2004,アクションログ!$B$5:$B$2004,$A31,アクションログ!$K$5:$K$2004,"&lt;&gt;済",アクションログ!$J$5:$J$2004,"&gt;0")=0,"",_xlfn.MINIFS(アクションログ!$J$5:$J$2004,アクションログ!$B$5:$B$2004,$A31,アクションログ!$K$5:$K$2004,"&lt;&gt;済",アクションログ!$J$5:$J$2004,"&gt;0")))</f>
        <v/>
      </c>
      <c r="O31" s="18" t="str">
        <f aca="false">IF(N31="","",IFERROR(INDEX(アクションログ!$I$5:$I$2004,MATCH($A31&amp;"|"&amp;N31,アクションログ!$L$5:$L$2004,0)),""))</f>
        <v/>
      </c>
      <c r="P31" s="16" t="str">
        <f aca="false">IF($A31="","",COUNTIFS(アクションログ!$B$5:$B$2004,$A31,アクションログ!$A$5:$A$2004,"&gt;="&amp;設定!$C$5))</f>
        <v/>
      </c>
      <c r="Q31" s="16" t="str">
        <f aca="false">IF($A31="","",SUMIFS(月次実績!$D$5:$D$3004,月次実績!$B$5:$B$3004,$A31,月次実績!$A$5:$A$3004,"&gt;="&amp;EDATE(設定!$C$5,-(設定!$C$6-1))))</f>
        <v/>
      </c>
      <c r="R31" s="16" t="str">
        <f aca="false">IF($A31="","",SUMIFS(月次実績!$D$5:$D$3004,月次実績!$B$5:$B$3004,$A31))</f>
        <v/>
      </c>
      <c r="S31" s="16" t="str">
        <f aca="false">IF($A31="","",SUMIFS(月次実績!$F$5:$F$3004,月次実績!$B$5:$B$3004,$A31))</f>
        <v/>
      </c>
      <c r="T31" s="19" t="str">
        <f aca="false">IF(OR($A31="",R31=0),"",S31/R31)</f>
        <v/>
      </c>
      <c r="U31" s="20" t="str">
        <f aca="false">IF($A31="","",SUMIFS(月次実績!$G$5:$G$3004,月次実績!$B$5:$B$3004,$A31))</f>
        <v/>
      </c>
      <c r="V31" s="17" t="str">
        <f aca="false">IF($A31="","",IF(Q31&gt;=設定!$C$7,"稼働中",IF(Q31&gt;=1,"低稼働","休眠")))</f>
        <v/>
      </c>
      <c r="W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15"/>
      <c r="H32" s="21"/>
      <c r="I32" s="15" t="str">
        <f aca="false">IF($A32="","",IF(_xlfn.MAXIFS(アクションログ!$A$5:$A$2004,アクションログ!$B$5:$B$2004,$A32)=0,"",_xlfn.MAXIFS(アクションログ!$A$5:$A$2004,アクションログ!$B$5:$B$2004,$A32)))</f>
        <v/>
      </c>
      <c r="J32" s="16" t="str">
        <f aca="false">IF(OR($A32="",I32=""),"",設定!$C$4-I32)</f>
        <v/>
      </c>
      <c r="K32" s="16" t="str">
        <f aca="false">IF($A32="","",IFERROR(INDEX(設定!$D$14:$D$17,MATCH(F32,設定!$B$14:$B$17,0)),""))</f>
        <v/>
      </c>
      <c r="L32" s="15" t="str">
        <f aca="false">IF(OR($A32="",K32=""),"",IF(I32="",設定!$C$4,I32+K32))</f>
        <v/>
      </c>
      <c r="M32" s="17" t="str">
        <f aca="false">IF($A32="","",IF(F32="","ランク未設定",IF(I32="","未接触",IF(設定!$C$4&gt;L32,"期限超過",IF(L32-設定!$C$4&lt;=設定!$C$8,"今週連絡","OK")))))</f>
        <v/>
      </c>
      <c r="N32" s="15" t="str">
        <f aca="false">IF($A32="","",IF(_xlfn.MINIFS(アクションログ!$J$5:$J$2004,アクションログ!$B$5:$B$2004,$A32,アクションログ!$K$5:$K$2004,"&lt;&gt;済",アクションログ!$J$5:$J$2004,"&gt;0")=0,"",_xlfn.MINIFS(アクションログ!$J$5:$J$2004,アクションログ!$B$5:$B$2004,$A32,アクションログ!$K$5:$K$2004,"&lt;&gt;済",アクションログ!$J$5:$J$2004,"&gt;0")))</f>
        <v/>
      </c>
      <c r="O32" s="18" t="str">
        <f aca="false">IF(N32="","",IFERROR(INDEX(アクションログ!$I$5:$I$2004,MATCH($A32&amp;"|"&amp;N32,アクションログ!$L$5:$L$2004,0)),""))</f>
        <v/>
      </c>
      <c r="P32" s="16" t="str">
        <f aca="false">IF($A32="","",COUNTIFS(アクションログ!$B$5:$B$2004,$A32,アクションログ!$A$5:$A$2004,"&gt;="&amp;設定!$C$5))</f>
        <v/>
      </c>
      <c r="Q32" s="16" t="str">
        <f aca="false">IF($A32="","",SUMIFS(月次実績!$D$5:$D$3004,月次実績!$B$5:$B$3004,$A32,月次実績!$A$5:$A$3004,"&gt;="&amp;EDATE(設定!$C$5,-(設定!$C$6-1))))</f>
        <v/>
      </c>
      <c r="R32" s="16" t="str">
        <f aca="false">IF($A32="","",SUMIFS(月次実績!$D$5:$D$3004,月次実績!$B$5:$B$3004,$A32))</f>
        <v/>
      </c>
      <c r="S32" s="16" t="str">
        <f aca="false">IF($A32="","",SUMIFS(月次実績!$F$5:$F$3004,月次実績!$B$5:$B$3004,$A32))</f>
        <v/>
      </c>
      <c r="T32" s="19" t="str">
        <f aca="false">IF(OR($A32="",R32=0),"",S32/R32)</f>
        <v/>
      </c>
      <c r="U32" s="20" t="str">
        <f aca="false">IF($A32="","",SUMIFS(月次実績!$G$5:$G$3004,月次実績!$B$5:$B$3004,$A32))</f>
        <v/>
      </c>
      <c r="V32" s="17" t="str">
        <f aca="false">IF($A32="","",IF(Q32&gt;=設定!$C$7,"稼働中",IF(Q32&gt;=1,"低稼働","休眠")))</f>
        <v/>
      </c>
      <c r="W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15"/>
      <c r="H33" s="21"/>
      <c r="I33" s="15" t="str">
        <f aca="false">IF($A33="","",IF(_xlfn.MAXIFS(アクションログ!$A$5:$A$2004,アクションログ!$B$5:$B$2004,$A33)=0,"",_xlfn.MAXIFS(アクションログ!$A$5:$A$2004,アクションログ!$B$5:$B$2004,$A33)))</f>
        <v/>
      </c>
      <c r="J33" s="16" t="str">
        <f aca="false">IF(OR($A33="",I33=""),"",設定!$C$4-I33)</f>
        <v/>
      </c>
      <c r="K33" s="16" t="str">
        <f aca="false">IF($A33="","",IFERROR(INDEX(設定!$D$14:$D$17,MATCH(F33,設定!$B$14:$B$17,0)),""))</f>
        <v/>
      </c>
      <c r="L33" s="15" t="str">
        <f aca="false">IF(OR($A33="",K33=""),"",IF(I33="",設定!$C$4,I33+K33))</f>
        <v/>
      </c>
      <c r="M33" s="17" t="str">
        <f aca="false">IF($A33="","",IF(F33="","ランク未設定",IF(I33="","未接触",IF(設定!$C$4&gt;L33,"期限超過",IF(L33-設定!$C$4&lt;=設定!$C$8,"今週連絡","OK")))))</f>
        <v/>
      </c>
      <c r="N33" s="15" t="str">
        <f aca="false">IF($A33="","",IF(_xlfn.MINIFS(アクションログ!$J$5:$J$2004,アクションログ!$B$5:$B$2004,$A33,アクションログ!$K$5:$K$2004,"&lt;&gt;済",アクションログ!$J$5:$J$2004,"&gt;0")=0,"",_xlfn.MINIFS(アクションログ!$J$5:$J$2004,アクションログ!$B$5:$B$2004,$A33,アクションログ!$K$5:$K$2004,"&lt;&gt;済",アクションログ!$J$5:$J$2004,"&gt;0")))</f>
        <v/>
      </c>
      <c r="O33" s="18" t="str">
        <f aca="false">IF(N33="","",IFERROR(INDEX(アクションログ!$I$5:$I$2004,MATCH($A33&amp;"|"&amp;N33,アクションログ!$L$5:$L$2004,0)),""))</f>
        <v/>
      </c>
      <c r="P33" s="16" t="str">
        <f aca="false">IF($A33="","",COUNTIFS(アクションログ!$B$5:$B$2004,$A33,アクションログ!$A$5:$A$2004,"&gt;="&amp;設定!$C$5))</f>
        <v/>
      </c>
      <c r="Q33" s="16" t="str">
        <f aca="false">IF($A33="","",SUMIFS(月次実績!$D$5:$D$3004,月次実績!$B$5:$B$3004,$A33,月次実績!$A$5:$A$3004,"&gt;="&amp;EDATE(設定!$C$5,-(設定!$C$6-1))))</f>
        <v/>
      </c>
      <c r="R33" s="16" t="str">
        <f aca="false">IF($A33="","",SUMIFS(月次実績!$D$5:$D$3004,月次実績!$B$5:$B$3004,$A33))</f>
        <v/>
      </c>
      <c r="S33" s="16" t="str">
        <f aca="false">IF($A33="","",SUMIFS(月次実績!$F$5:$F$3004,月次実績!$B$5:$B$3004,$A33))</f>
        <v/>
      </c>
      <c r="T33" s="19" t="str">
        <f aca="false">IF(OR($A33="",R33=0),"",S33/R33)</f>
        <v/>
      </c>
      <c r="U33" s="20" t="str">
        <f aca="false">IF($A33="","",SUMIFS(月次実績!$G$5:$G$3004,月次実績!$B$5:$B$3004,$A33))</f>
        <v/>
      </c>
      <c r="V33" s="17" t="str">
        <f aca="false">IF($A33="","",IF(Q33&gt;=設定!$C$7,"稼働中",IF(Q33&gt;=1,"低稼働","休眠")))</f>
        <v/>
      </c>
      <c r="W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15"/>
      <c r="H34" s="21"/>
      <c r="I34" s="15" t="str">
        <f aca="false">IF($A34="","",IF(_xlfn.MAXIFS(アクションログ!$A$5:$A$2004,アクションログ!$B$5:$B$2004,$A34)=0,"",_xlfn.MAXIFS(アクションログ!$A$5:$A$2004,アクションログ!$B$5:$B$2004,$A34)))</f>
        <v/>
      </c>
      <c r="J34" s="16" t="str">
        <f aca="false">IF(OR($A34="",I34=""),"",設定!$C$4-I34)</f>
        <v/>
      </c>
      <c r="K34" s="16" t="str">
        <f aca="false">IF($A34="","",IFERROR(INDEX(設定!$D$14:$D$17,MATCH(F34,設定!$B$14:$B$17,0)),""))</f>
        <v/>
      </c>
      <c r="L34" s="15" t="str">
        <f aca="false">IF(OR($A34="",K34=""),"",IF(I34="",設定!$C$4,I34+K34))</f>
        <v/>
      </c>
      <c r="M34" s="17" t="str">
        <f aca="false">IF($A34="","",IF(F34="","ランク未設定",IF(I34="","未接触",IF(設定!$C$4&gt;L34,"期限超過",IF(L34-設定!$C$4&lt;=設定!$C$8,"今週連絡","OK")))))</f>
        <v/>
      </c>
      <c r="N34" s="15" t="str">
        <f aca="false">IF($A34="","",IF(_xlfn.MINIFS(アクションログ!$J$5:$J$2004,アクションログ!$B$5:$B$2004,$A34,アクションログ!$K$5:$K$2004,"&lt;&gt;済",アクションログ!$J$5:$J$2004,"&gt;0")=0,"",_xlfn.MINIFS(アクションログ!$J$5:$J$2004,アクションログ!$B$5:$B$2004,$A34,アクションログ!$K$5:$K$2004,"&lt;&gt;済",アクションログ!$J$5:$J$2004,"&gt;0")))</f>
        <v/>
      </c>
      <c r="O34" s="18" t="str">
        <f aca="false">IF(N34="","",IFERROR(INDEX(アクションログ!$I$5:$I$2004,MATCH($A34&amp;"|"&amp;N34,アクションログ!$L$5:$L$2004,0)),""))</f>
        <v/>
      </c>
      <c r="P34" s="16" t="str">
        <f aca="false">IF($A34="","",COUNTIFS(アクションログ!$B$5:$B$2004,$A34,アクションログ!$A$5:$A$2004,"&gt;="&amp;設定!$C$5))</f>
        <v/>
      </c>
      <c r="Q34" s="16" t="str">
        <f aca="false">IF($A34="","",SUMIFS(月次実績!$D$5:$D$3004,月次実績!$B$5:$B$3004,$A34,月次実績!$A$5:$A$3004,"&gt;="&amp;EDATE(設定!$C$5,-(設定!$C$6-1))))</f>
        <v/>
      </c>
      <c r="R34" s="16" t="str">
        <f aca="false">IF($A34="","",SUMIFS(月次実績!$D$5:$D$3004,月次実績!$B$5:$B$3004,$A34))</f>
        <v/>
      </c>
      <c r="S34" s="16" t="str">
        <f aca="false">IF($A34="","",SUMIFS(月次実績!$F$5:$F$3004,月次実績!$B$5:$B$3004,$A34))</f>
        <v/>
      </c>
      <c r="T34" s="19" t="str">
        <f aca="false">IF(OR($A34="",R34=0),"",S34/R34)</f>
        <v/>
      </c>
      <c r="U34" s="20" t="str">
        <f aca="false">IF($A34="","",SUMIFS(月次実績!$G$5:$G$3004,月次実績!$B$5:$B$3004,$A34))</f>
        <v/>
      </c>
      <c r="V34" s="17" t="str">
        <f aca="false">IF($A34="","",IF(Q34&gt;=設定!$C$7,"稼働中",IF(Q34&gt;=1,"低稼働","休眠")))</f>
        <v/>
      </c>
      <c r="W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15"/>
      <c r="H35" s="21"/>
      <c r="I35" s="15" t="str">
        <f aca="false">IF($A35="","",IF(_xlfn.MAXIFS(アクションログ!$A$5:$A$2004,アクションログ!$B$5:$B$2004,$A35)=0,"",_xlfn.MAXIFS(アクションログ!$A$5:$A$2004,アクションログ!$B$5:$B$2004,$A35)))</f>
        <v/>
      </c>
      <c r="J35" s="16" t="str">
        <f aca="false">IF(OR($A35="",I35=""),"",設定!$C$4-I35)</f>
        <v/>
      </c>
      <c r="K35" s="16" t="str">
        <f aca="false">IF($A35="","",IFERROR(INDEX(設定!$D$14:$D$17,MATCH(F35,設定!$B$14:$B$17,0)),""))</f>
        <v/>
      </c>
      <c r="L35" s="15" t="str">
        <f aca="false">IF(OR($A35="",K35=""),"",IF(I35="",設定!$C$4,I35+K35))</f>
        <v/>
      </c>
      <c r="M35" s="17" t="str">
        <f aca="false">IF($A35="","",IF(F35="","ランク未設定",IF(I35="","未接触",IF(設定!$C$4&gt;L35,"期限超過",IF(L35-設定!$C$4&lt;=設定!$C$8,"今週連絡","OK")))))</f>
        <v/>
      </c>
      <c r="N35" s="15" t="str">
        <f aca="false">IF($A35="","",IF(_xlfn.MINIFS(アクションログ!$J$5:$J$2004,アクションログ!$B$5:$B$2004,$A35,アクションログ!$K$5:$K$2004,"&lt;&gt;済",アクションログ!$J$5:$J$2004,"&gt;0")=0,"",_xlfn.MINIFS(アクションログ!$J$5:$J$2004,アクションログ!$B$5:$B$2004,$A35,アクションログ!$K$5:$K$2004,"&lt;&gt;済",アクションログ!$J$5:$J$2004,"&gt;0")))</f>
        <v/>
      </c>
      <c r="O35" s="18" t="str">
        <f aca="false">IF(N35="","",IFERROR(INDEX(アクションログ!$I$5:$I$2004,MATCH($A35&amp;"|"&amp;N35,アクションログ!$L$5:$L$2004,0)),""))</f>
        <v/>
      </c>
      <c r="P35" s="16" t="str">
        <f aca="false">IF($A35="","",COUNTIFS(アクションログ!$B$5:$B$2004,$A35,アクションログ!$A$5:$A$2004,"&gt;="&amp;設定!$C$5))</f>
        <v/>
      </c>
      <c r="Q35" s="16" t="str">
        <f aca="false">IF($A35="","",SUMIFS(月次実績!$D$5:$D$3004,月次実績!$B$5:$B$3004,$A35,月次実績!$A$5:$A$3004,"&gt;="&amp;EDATE(設定!$C$5,-(設定!$C$6-1))))</f>
        <v/>
      </c>
      <c r="R35" s="16" t="str">
        <f aca="false">IF($A35="","",SUMIFS(月次実績!$D$5:$D$3004,月次実績!$B$5:$B$3004,$A35))</f>
        <v/>
      </c>
      <c r="S35" s="16" t="str">
        <f aca="false">IF($A35="","",SUMIFS(月次実績!$F$5:$F$3004,月次実績!$B$5:$B$3004,$A35))</f>
        <v/>
      </c>
      <c r="T35" s="19" t="str">
        <f aca="false">IF(OR($A35="",R35=0),"",S35/R35)</f>
        <v/>
      </c>
      <c r="U35" s="20" t="str">
        <f aca="false">IF($A35="","",SUMIFS(月次実績!$G$5:$G$3004,月次実績!$B$5:$B$3004,$A35))</f>
        <v/>
      </c>
      <c r="V35" s="17" t="str">
        <f aca="false">IF($A35="","",IF(Q35&gt;=設定!$C$7,"稼働中",IF(Q35&gt;=1,"低稼働","休眠")))</f>
        <v/>
      </c>
      <c r="W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15"/>
      <c r="H36" s="21"/>
      <c r="I36" s="15" t="str">
        <f aca="false">IF($A36="","",IF(_xlfn.MAXIFS(アクションログ!$A$5:$A$2004,アクションログ!$B$5:$B$2004,$A36)=0,"",_xlfn.MAXIFS(アクションログ!$A$5:$A$2004,アクションログ!$B$5:$B$2004,$A36)))</f>
        <v/>
      </c>
      <c r="J36" s="16" t="str">
        <f aca="false">IF(OR($A36="",I36=""),"",設定!$C$4-I36)</f>
        <v/>
      </c>
      <c r="K36" s="16" t="str">
        <f aca="false">IF($A36="","",IFERROR(INDEX(設定!$D$14:$D$17,MATCH(F36,設定!$B$14:$B$17,0)),""))</f>
        <v/>
      </c>
      <c r="L36" s="15" t="str">
        <f aca="false">IF(OR($A36="",K36=""),"",IF(I36="",設定!$C$4,I36+K36))</f>
        <v/>
      </c>
      <c r="M36" s="17" t="str">
        <f aca="false">IF($A36="","",IF(F36="","ランク未設定",IF(I36="","未接触",IF(設定!$C$4&gt;L36,"期限超過",IF(L36-設定!$C$4&lt;=設定!$C$8,"今週連絡","OK")))))</f>
        <v/>
      </c>
      <c r="N36" s="15" t="str">
        <f aca="false">IF($A36="","",IF(_xlfn.MINIFS(アクションログ!$J$5:$J$2004,アクションログ!$B$5:$B$2004,$A36,アクションログ!$K$5:$K$2004,"&lt;&gt;済",アクションログ!$J$5:$J$2004,"&gt;0")=0,"",_xlfn.MINIFS(アクションログ!$J$5:$J$2004,アクションログ!$B$5:$B$2004,$A36,アクションログ!$K$5:$K$2004,"&lt;&gt;済",アクションログ!$J$5:$J$2004,"&gt;0")))</f>
        <v/>
      </c>
      <c r="O36" s="18" t="str">
        <f aca="false">IF(N36="","",IFERROR(INDEX(アクションログ!$I$5:$I$2004,MATCH($A36&amp;"|"&amp;N36,アクションログ!$L$5:$L$2004,0)),""))</f>
        <v/>
      </c>
      <c r="P36" s="16" t="str">
        <f aca="false">IF($A36="","",COUNTIFS(アクションログ!$B$5:$B$2004,$A36,アクションログ!$A$5:$A$2004,"&gt;="&amp;設定!$C$5))</f>
        <v/>
      </c>
      <c r="Q36" s="16" t="str">
        <f aca="false">IF($A36="","",SUMIFS(月次実績!$D$5:$D$3004,月次実績!$B$5:$B$3004,$A36,月次実績!$A$5:$A$3004,"&gt;="&amp;EDATE(設定!$C$5,-(設定!$C$6-1))))</f>
        <v/>
      </c>
      <c r="R36" s="16" t="str">
        <f aca="false">IF($A36="","",SUMIFS(月次実績!$D$5:$D$3004,月次実績!$B$5:$B$3004,$A36))</f>
        <v/>
      </c>
      <c r="S36" s="16" t="str">
        <f aca="false">IF($A36="","",SUMIFS(月次実績!$F$5:$F$3004,月次実績!$B$5:$B$3004,$A36))</f>
        <v/>
      </c>
      <c r="T36" s="19" t="str">
        <f aca="false">IF(OR($A36="",R36=0),"",S36/R36)</f>
        <v/>
      </c>
      <c r="U36" s="20" t="str">
        <f aca="false">IF($A36="","",SUMIFS(月次実績!$G$5:$G$3004,月次実績!$B$5:$B$3004,$A36))</f>
        <v/>
      </c>
      <c r="V36" s="17" t="str">
        <f aca="false">IF($A36="","",IF(Q36&gt;=設定!$C$7,"稼働中",IF(Q36&gt;=1,"低稼働","休眠")))</f>
        <v/>
      </c>
      <c r="W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15"/>
      <c r="H37" s="21"/>
      <c r="I37" s="15" t="str">
        <f aca="false">IF($A37="","",IF(_xlfn.MAXIFS(アクションログ!$A$5:$A$2004,アクションログ!$B$5:$B$2004,$A37)=0,"",_xlfn.MAXIFS(アクションログ!$A$5:$A$2004,アクションログ!$B$5:$B$2004,$A37)))</f>
        <v/>
      </c>
      <c r="J37" s="16" t="str">
        <f aca="false">IF(OR($A37="",I37=""),"",設定!$C$4-I37)</f>
        <v/>
      </c>
      <c r="K37" s="16" t="str">
        <f aca="false">IF($A37="","",IFERROR(INDEX(設定!$D$14:$D$17,MATCH(F37,設定!$B$14:$B$17,0)),""))</f>
        <v/>
      </c>
      <c r="L37" s="15" t="str">
        <f aca="false">IF(OR($A37="",K37=""),"",IF(I37="",設定!$C$4,I37+K37))</f>
        <v/>
      </c>
      <c r="M37" s="17" t="str">
        <f aca="false">IF($A37="","",IF(F37="","ランク未設定",IF(I37="","未接触",IF(設定!$C$4&gt;L37,"期限超過",IF(L37-設定!$C$4&lt;=設定!$C$8,"今週連絡","OK")))))</f>
        <v/>
      </c>
      <c r="N37" s="15" t="str">
        <f aca="false">IF($A37="","",IF(_xlfn.MINIFS(アクションログ!$J$5:$J$2004,アクションログ!$B$5:$B$2004,$A37,アクションログ!$K$5:$K$2004,"&lt;&gt;済",アクションログ!$J$5:$J$2004,"&gt;0")=0,"",_xlfn.MINIFS(アクションログ!$J$5:$J$2004,アクションログ!$B$5:$B$2004,$A37,アクションログ!$K$5:$K$2004,"&lt;&gt;済",アクションログ!$J$5:$J$2004,"&gt;0")))</f>
        <v/>
      </c>
      <c r="O37" s="18" t="str">
        <f aca="false">IF(N37="","",IFERROR(INDEX(アクションログ!$I$5:$I$2004,MATCH($A37&amp;"|"&amp;N37,アクションログ!$L$5:$L$2004,0)),""))</f>
        <v/>
      </c>
      <c r="P37" s="16" t="str">
        <f aca="false">IF($A37="","",COUNTIFS(アクションログ!$B$5:$B$2004,$A37,アクションログ!$A$5:$A$2004,"&gt;="&amp;設定!$C$5))</f>
        <v/>
      </c>
      <c r="Q37" s="16" t="str">
        <f aca="false">IF($A37="","",SUMIFS(月次実績!$D$5:$D$3004,月次実績!$B$5:$B$3004,$A37,月次実績!$A$5:$A$3004,"&gt;="&amp;EDATE(設定!$C$5,-(設定!$C$6-1))))</f>
        <v/>
      </c>
      <c r="R37" s="16" t="str">
        <f aca="false">IF($A37="","",SUMIFS(月次実績!$D$5:$D$3004,月次実績!$B$5:$B$3004,$A37))</f>
        <v/>
      </c>
      <c r="S37" s="16" t="str">
        <f aca="false">IF($A37="","",SUMIFS(月次実績!$F$5:$F$3004,月次実績!$B$5:$B$3004,$A37))</f>
        <v/>
      </c>
      <c r="T37" s="19" t="str">
        <f aca="false">IF(OR($A37="",R37=0),"",S37/R37)</f>
        <v/>
      </c>
      <c r="U37" s="20" t="str">
        <f aca="false">IF($A37="","",SUMIFS(月次実績!$G$5:$G$3004,月次実績!$B$5:$B$3004,$A37))</f>
        <v/>
      </c>
      <c r="V37" s="17" t="str">
        <f aca="false">IF($A37="","",IF(Q37&gt;=設定!$C$7,"稼働中",IF(Q37&gt;=1,"低稼働","休眠")))</f>
        <v/>
      </c>
      <c r="W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15"/>
      <c r="H38" s="21"/>
      <c r="I38" s="15" t="str">
        <f aca="false">IF($A38="","",IF(_xlfn.MAXIFS(アクションログ!$A$5:$A$2004,アクションログ!$B$5:$B$2004,$A38)=0,"",_xlfn.MAXIFS(アクションログ!$A$5:$A$2004,アクションログ!$B$5:$B$2004,$A38)))</f>
        <v/>
      </c>
      <c r="J38" s="16" t="str">
        <f aca="false">IF(OR($A38="",I38=""),"",設定!$C$4-I38)</f>
        <v/>
      </c>
      <c r="K38" s="16" t="str">
        <f aca="false">IF($A38="","",IFERROR(INDEX(設定!$D$14:$D$17,MATCH(F38,設定!$B$14:$B$17,0)),""))</f>
        <v/>
      </c>
      <c r="L38" s="15" t="str">
        <f aca="false">IF(OR($A38="",K38=""),"",IF(I38="",設定!$C$4,I38+K38))</f>
        <v/>
      </c>
      <c r="M38" s="17" t="str">
        <f aca="false">IF($A38="","",IF(F38="","ランク未設定",IF(I38="","未接触",IF(設定!$C$4&gt;L38,"期限超過",IF(L38-設定!$C$4&lt;=設定!$C$8,"今週連絡","OK")))))</f>
        <v/>
      </c>
      <c r="N38" s="15" t="str">
        <f aca="false">IF($A38="","",IF(_xlfn.MINIFS(アクションログ!$J$5:$J$2004,アクションログ!$B$5:$B$2004,$A38,アクションログ!$K$5:$K$2004,"&lt;&gt;済",アクションログ!$J$5:$J$2004,"&gt;0")=0,"",_xlfn.MINIFS(アクションログ!$J$5:$J$2004,アクションログ!$B$5:$B$2004,$A38,アクションログ!$K$5:$K$2004,"&lt;&gt;済",アクションログ!$J$5:$J$2004,"&gt;0")))</f>
        <v/>
      </c>
      <c r="O38" s="18" t="str">
        <f aca="false">IF(N38="","",IFERROR(INDEX(アクションログ!$I$5:$I$2004,MATCH($A38&amp;"|"&amp;N38,アクションログ!$L$5:$L$2004,0)),""))</f>
        <v/>
      </c>
      <c r="P38" s="16" t="str">
        <f aca="false">IF($A38="","",COUNTIFS(アクションログ!$B$5:$B$2004,$A38,アクションログ!$A$5:$A$2004,"&gt;="&amp;設定!$C$5))</f>
        <v/>
      </c>
      <c r="Q38" s="16" t="str">
        <f aca="false">IF($A38="","",SUMIFS(月次実績!$D$5:$D$3004,月次実績!$B$5:$B$3004,$A38,月次実績!$A$5:$A$3004,"&gt;="&amp;EDATE(設定!$C$5,-(設定!$C$6-1))))</f>
        <v/>
      </c>
      <c r="R38" s="16" t="str">
        <f aca="false">IF($A38="","",SUMIFS(月次実績!$D$5:$D$3004,月次実績!$B$5:$B$3004,$A38))</f>
        <v/>
      </c>
      <c r="S38" s="16" t="str">
        <f aca="false">IF($A38="","",SUMIFS(月次実績!$F$5:$F$3004,月次実績!$B$5:$B$3004,$A38))</f>
        <v/>
      </c>
      <c r="T38" s="19" t="str">
        <f aca="false">IF(OR($A38="",R38=0),"",S38/R38)</f>
        <v/>
      </c>
      <c r="U38" s="20" t="str">
        <f aca="false">IF($A38="","",SUMIFS(月次実績!$G$5:$G$3004,月次実績!$B$5:$B$3004,$A38))</f>
        <v/>
      </c>
      <c r="V38" s="17" t="str">
        <f aca="false">IF($A38="","",IF(Q38&gt;=設定!$C$7,"稼働中",IF(Q38&gt;=1,"低稼働","休眠")))</f>
        <v/>
      </c>
      <c r="W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15"/>
      <c r="H39" s="21"/>
      <c r="I39" s="15" t="str">
        <f aca="false">IF($A39="","",IF(_xlfn.MAXIFS(アクションログ!$A$5:$A$2004,アクションログ!$B$5:$B$2004,$A39)=0,"",_xlfn.MAXIFS(アクションログ!$A$5:$A$2004,アクションログ!$B$5:$B$2004,$A39)))</f>
        <v/>
      </c>
      <c r="J39" s="16" t="str">
        <f aca="false">IF(OR($A39="",I39=""),"",設定!$C$4-I39)</f>
        <v/>
      </c>
      <c r="K39" s="16" t="str">
        <f aca="false">IF($A39="","",IFERROR(INDEX(設定!$D$14:$D$17,MATCH(F39,設定!$B$14:$B$17,0)),""))</f>
        <v/>
      </c>
      <c r="L39" s="15" t="str">
        <f aca="false">IF(OR($A39="",K39=""),"",IF(I39="",設定!$C$4,I39+K39))</f>
        <v/>
      </c>
      <c r="M39" s="17" t="str">
        <f aca="false">IF($A39="","",IF(F39="","ランク未設定",IF(I39="","未接触",IF(設定!$C$4&gt;L39,"期限超過",IF(L39-設定!$C$4&lt;=設定!$C$8,"今週連絡","OK")))))</f>
        <v/>
      </c>
      <c r="N39" s="15" t="str">
        <f aca="false">IF($A39="","",IF(_xlfn.MINIFS(アクションログ!$J$5:$J$2004,アクションログ!$B$5:$B$2004,$A39,アクションログ!$K$5:$K$2004,"&lt;&gt;済",アクションログ!$J$5:$J$2004,"&gt;0")=0,"",_xlfn.MINIFS(アクションログ!$J$5:$J$2004,アクションログ!$B$5:$B$2004,$A39,アクションログ!$K$5:$K$2004,"&lt;&gt;済",アクションログ!$J$5:$J$2004,"&gt;0")))</f>
        <v/>
      </c>
      <c r="O39" s="18" t="str">
        <f aca="false">IF(N39="","",IFERROR(INDEX(アクションログ!$I$5:$I$2004,MATCH($A39&amp;"|"&amp;N39,アクションログ!$L$5:$L$2004,0)),""))</f>
        <v/>
      </c>
      <c r="P39" s="16" t="str">
        <f aca="false">IF($A39="","",COUNTIFS(アクションログ!$B$5:$B$2004,$A39,アクションログ!$A$5:$A$2004,"&gt;="&amp;設定!$C$5))</f>
        <v/>
      </c>
      <c r="Q39" s="16" t="str">
        <f aca="false">IF($A39="","",SUMIFS(月次実績!$D$5:$D$3004,月次実績!$B$5:$B$3004,$A39,月次実績!$A$5:$A$3004,"&gt;="&amp;EDATE(設定!$C$5,-(設定!$C$6-1))))</f>
        <v/>
      </c>
      <c r="R39" s="16" t="str">
        <f aca="false">IF($A39="","",SUMIFS(月次実績!$D$5:$D$3004,月次実績!$B$5:$B$3004,$A39))</f>
        <v/>
      </c>
      <c r="S39" s="16" t="str">
        <f aca="false">IF($A39="","",SUMIFS(月次実績!$F$5:$F$3004,月次実績!$B$5:$B$3004,$A39))</f>
        <v/>
      </c>
      <c r="T39" s="19" t="str">
        <f aca="false">IF(OR($A39="",R39=0),"",S39/R39)</f>
        <v/>
      </c>
      <c r="U39" s="20" t="str">
        <f aca="false">IF($A39="","",SUMIFS(月次実績!$G$5:$G$3004,月次実績!$B$5:$B$3004,$A39))</f>
        <v/>
      </c>
      <c r="V39" s="17" t="str">
        <f aca="false">IF($A39="","",IF(Q39&gt;=設定!$C$7,"稼働中",IF(Q39&gt;=1,"低稼働","休眠")))</f>
        <v/>
      </c>
      <c r="W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15"/>
      <c r="H40" s="21"/>
      <c r="I40" s="15" t="str">
        <f aca="false">IF($A40="","",IF(_xlfn.MAXIFS(アクションログ!$A$5:$A$2004,アクションログ!$B$5:$B$2004,$A40)=0,"",_xlfn.MAXIFS(アクションログ!$A$5:$A$2004,アクションログ!$B$5:$B$2004,$A40)))</f>
        <v/>
      </c>
      <c r="J40" s="16" t="str">
        <f aca="false">IF(OR($A40="",I40=""),"",設定!$C$4-I40)</f>
        <v/>
      </c>
      <c r="K40" s="16" t="str">
        <f aca="false">IF($A40="","",IFERROR(INDEX(設定!$D$14:$D$17,MATCH(F40,設定!$B$14:$B$17,0)),""))</f>
        <v/>
      </c>
      <c r="L40" s="15" t="str">
        <f aca="false">IF(OR($A40="",K40=""),"",IF(I40="",設定!$C$4,I40+K40))</f>
        <v/>
      </c>
      <c r="M40" s="17" t="str">
        <f aca="false">IF($A40="","",IF(F40="","ランク未設定",IF(I40="","未接触",IF(設定!$C$4&gt;L40,"期限超過",IF(L40-設定!$C$4&lt;=設定!$C$8,"今週連絡","OK")))))</f>
        <v/>
      </c>
      <c r="N40" s="15" t="str">
        <f aca="false">IF($A40="","",IF(_xlfn.MINIFS(アクションログ!$J$5:$J$2004,アクションログ!$B$5:$B$2004,$A40,アクションログ!$K$5:$K$2004,"&lt;&gt;済",アクションログ!$J$5:$J$2004,"&gt;0")=0,"",_xlfn.MINIFS(アクションログ!$J$5:$J$2004,アクションログ!$B$5:$B$2004,$A40,アクションログ!$K$5:$K$2004,"&lt;&gt;済",アクションログ!$J$5:$J$2004,"&gt;0")))</f>
        <v/>
      </c>
      <c r="O40" s="18" t="str">
        <f aca="false">IF(N40="","",IFERROR(INDEX(アクションログ!$I$5:$I$2004,MATCH($A40&amp;"|"&amp;N40,アクションログ!$L$5:$L$2004,0)),""))</f>
        <v/>
      </c>
      <c r="P40" s="16" t="str">
        <f aca="false">IF($A40="","",COUNTIFS(アクションログ!$B$5:$B$2004,$A40,アクションログ!$A$5:$A$2004,"&gt;="&amp;設定!$C$5))</f>
        <v/>
      </c>
      <c r="Q40" s="16" t="str">
        <f aca="false">IF($A40="","",SUMIFS(月次実績!$D$5:$D$3004,月次実績!$B$5:$B$3004,$A40,月次実績!$A$5:$A$3004,"&gt;="&amp;EDATE(設定!$C$5,-(設定!$C$6-1))))</f>
        <v/>
      </c>
      <c r="R40" s="16" t="str">
        <f aca="false">IF($A40="","",SUMIFS(月次実績!$D$5:$D$3004,月次実績!$B$5:$B$3004,$A40))</f>
        <v/>
      </c>
      <c r="S40" s="16" t="str">
        <f aca="false">IF($A40="","",SUMIFS(月次実績!$F$5:$F$3004,月次実績!$B$5:$B$3004,$A40))</f>
        <v/>
      </c>
      <c r="T40" s="19" t="str">
        <f aca="false">IF(OR($A40="",R40=0),"",S40/R40)</f>
        <v/>
      </c>
      <c r="U40" s="20" t="str">
        <f aca="false">IF($A40="","",SUMIFS(月次実績!$G$5:$G$3004,月次実績!$B$5:$B$3004,$A40))</f>
        <v/>
      </c>
      <c r="V40" s="17" t="str">
        <f aca="false">IF($A40="","",IF(Q40&gt;=設定!$C$7,"稼働中",IF(Q40&gt;=1,"低稼働","休眠")))</f>
        <v/>
      </c>
      <c r="W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15"/>
      <c r="H41" s="21"/>
      <c r="I41" s="15" t="str">
        <f aca="false">IF($A41="","",IF(_xlfn.MAXIFS(アクションログ!$A$5:$A$2004,アクションログ!$B$5:$B$2004,$A41)=0,"",_xlfn.MAXIFS(アクションログ!$A$5:$A$2004,アクションログ!$B$5:$B$2004,$A41)))</f>
        <v/>
      </c>
      <c r="J41" s="16" t="str">
        <f aca="false">IF(OR($A41="",I41=""),"",設定!$C$4-I41)</f>
        <v/>
      </c>
      <c r="K41" s="16" t="str">
        <f aca="false">IF($A41="","",IFERROR(INDEX(設定!$D$14:$D$17,MATCH(F41,設定!$B$14:$B$17,0)),""))</f>
        <v/>
      </c>
      <c r="L41" s="15" t="str">
        <f aca="false">IF(OR($A41="",K41=""),"",IF(I41="",設定!$C$4,I41+K41))</f>
        <v/>
      </c>
      <c r="M41" s="17" t="str">
        <f aca="false">IF($A41="","",IF(F41="","ランク未設定",IF(I41="","未接触",IF(設定!$C$4&gt;L41,"期限超過",IF(L41-設定!$C$4&lt;=設定!$C$8,"今週連絡","OK")))))</f>
        <v/>
      </c>
      <c r="N41" s="15" t="str">
        <f aca="false">IF($A41="","",IF(_xlfn.MINIFS(アクションログ!$J$5:$J$2004,アクションログ!$B$5:$B$2004,$A41,アクションログ!$K$5:$K$2004,"&lt;&gt;済",アクションログ!$J$5:$J$2004,"&gt;0")=0,"",_xlfn.MINIFS(アクションログ!$J$5:$J$2004,アクションログ!$B$5:$B$2004,$A41,アクションログ!$K$5:$K$2004,"&lt;&gt;済",アクションログ!$J$5:$J$2004,"&gt;0")))</f>
        <v/>
      </c>
      <c r="O41" s="18" t="str">
        <f aca="false">IF(N41="","",IFERROR(INDEX(アクションログ!$I$5:$I$2004,MATCH($A41&amp;"|"&amp;N41,アクションログ!$L$5:$L$2004,0)),""))</f>
        <v/>
      </c>
      <c r="P41" s="16" t="str">
        <f aca="false">IF($A41="","",COUNTIFS(アクションログ!$B$5:$B$2004,$A41,アクションログ!$A$5:$A$2004,"&gt;="&amp;設定!$C$5))</f>
        <v/>
      </c>
      <c r="Q41" s="16" t="str">
        <f aca="false">IF($A41="","",SUMIFS(月次実績!$D$5:$D$3004,月次実績!$B$5:$B$3004,$A41,月次実績!$A$5:$A$3004,"&gt;="&amp;EDATE(設定!$C$5,-(設定!$C$6-1))))</f>
        <v/>
      </c>
      <c r="R41" s="16" t="str">
        <f aca="false">IF($A41="","",SUMIFS(月次実績!$D$5:$D$3004,月次実績!$B$5:$B$3004,$A41))</f>
        <v/>
      </c>
      <c r="S41" s="16" t="str">
        <f aca="false">IF($A41="","",SUMIFS(月次実績!$F$5:$F$3004,月次実績!$B$5:$B$3004,$A41))</f>
        <v/>
      </c>
      <c r="T41" s="19" t="str">
        <f aca="false">IF(OR($A41="",R41=0),"",S41/R41)</f>
        <v/>
      </c>
      <c r="U41" s="20" t="str">
        <f aca="false">IF($A41="","",SUMIFS(月次実績!$G$5:$G$3004,月次実績!$B$5:$B$3004,$A41))</f>
        <v/>
      </c>
      <c r="V41" s="17" t="str">
        <f aca="false">IF($A41="","",IF(Q41&gt;=設定!$C$7,"稼働中",IF(Q41&gt;=1,"低稼働","休眠")))</f>
        <v/>
      </c>
      <c r="W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15"/>
      <c r="H42" s="21"/>
      <c r="I42" s="15" t="str">
        <f aca="false">IF($A42="","",IF(_xlfn.MAXIFS(アクションログ!$A$5:$A$2004,アクションログ!$B$5:$B$2004,$A42)=0,"",_xlfn.MAXIFS(アクションログ!$A$5:$A$2004,アクションログ!$B$5:$B$2004,$A42)))</f>
        <v/>
      </c>
      <c r="J42" s="16" t="str">
        <f aca="false">IF(OR($A42="",I42=""),"",設定!$C$4-I42)</f>
        <v/>
      </c>
      <c r="K42" s="16" t="str">
        <f aca="false">IF($A42="","",IFERROR(INDEX(設定!$D$14:$D$17,MATCH(F42,設定!$B$14:$B$17,0)),""))</f>
        <v/>
      </c>
      <c r="L42" s="15" t="str">
        <f aca="false">IF(OR($A42="",K42=""),"",IF(I42="",設定!$C$4,I42+K42))</f>
        <v/>
      </c>
      <c r="M42" s="17" t="str">
        <f aca="false">IF($A42="","",IF(F42="","ランク未設定",IF(I42="","未接触",IF(設定!$C$4&gt;L42,"期限超過",IF(L42-設定!$C$4&lt;=設定!$C$8,"今週連絡","OK")))))</f>
        <v/>
      </c>
      <c r="N42" s="15" t="str">
        <f aca="false">IF($A42="","",IF(_xlfn.MINIFS(アクションログ!$J$5:$J$2004,アクションログ!$B$5:$B$2004,$A42,アクションログ!$K$5:$K$2004,"&lt;&gt;済",アクションログ!$J$5:$J$2004,"&gt;0")=0,"",_xlfn.MINIFS(アクションログ!$J$5:$J$2004,アクションログ!$B$5:$B$2004,$A42,アクションログ!$K$5:$K$2004,"&lt;&gt;済",アクションログ!$J$5:$J$2004,"&gt;0")))</f>
        <v/>
      </c>
      <c r="O42" s="18" t="str">
        <f aca="false">IF(N42="","",IFERROR(INDEX(アクションログ!$I$5:$I$2004,MATCH($A42&amp;"|"&amp;N42,アクションログ!$L$5:$L$2004,0)),""))</f>
        <v/>
      </c>
      <c r="P42" s="16" t="str">
        <f aca="false">IF($A42="","",COUNTIFS(アクションログ!$B$5:$B$2004,$A42,アクションログ!$A$5:$A$2004,"&gt;="&amp;設定!$C$5))</f>
        <v/>
      </c>
      <c r="Q42" s="16" t="str">
        <f aca="false">IF($A42="","",SUMIFS(月次実績!$D$5:$D$3004,月次実績!$B$5:$B$3004,$A42,月次実績!$A$5:$A$3004,"&gt;="&amp;EDATE(設定!$C$5,-(設定!$C$6-1))))</f>
        <v/>
      </c>
      <c r="R42" s="16" t="str">
        <f aca="false">IF($A42="","",SUMIFS(月次実績!$D$5:$D$3004,月次実績!$B$5:$B$3004,$A42))</f>
        <v/>
      </c>
      <c r="S42" s="16" t="str">
        <f aca="false">IF($A42="","",SUMIFS(月次実績!$F$5:$F$3004,月次実績!$B$5:$B$3004,$A42))</f>
        <v/>
      </c>
      <c r="T42" s="19" t="str">
        <f aca="false">IF(OR($A42="",R42=0),"",S42/R42)</f>
        <v/>
      </c>
      <c r="U42" s="20" t="str">
        <f aca="false">IF($A42="","",SUMIFS(月次実績!$G$5:$G$3004,月次実績!$B$5:$B$3004,$A42))</f>
        <v/>
      </c>
      <c r="V42" s="17" t="str">
        <f aca="false">IF($A42="","",IF(Q42&gt;=設定!$C$7,"稼働中",IF(Q42&gt;=1,"低稼働","休眠")))</f>
        <v/>
      </c>
      <c r="W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15"/>
      <c r="H43" s="21"/>
      <c r="I43" s="15" t="str">
        <f aca="false">IF($A43="","",IF(_xlfn.MAXIFS(アクションログ!$A$5:$A$2004,アクションログ!$B$5:$B$2004,$A43)=0,"",_xlfn.MAXIFS(アクションログ!$A$5:$A$2004,アクションログ!$B$5:$B$2004,$A43)))</f>
        <v/>
      </c>
      <c r="J43" s="16" t="str">
        <f aca="false">IF(OR($A43="",I43=""),"",設定!$C$4-I43)</f>
        <v/>
      </c>
      <c r="K43" s="16" t="str">
        <f aca="false">IF($A43="","",IFERROR(INDEX(設定!$D$14:$D$17,MATCH(F43,設定!$B$14:$B$17,0)),""))</f>
        <v/>
      </c>
      <c r="L43" s="15" t="str">
        <f aca="false">IF(OR($A43="",K43=""),"",IF(I43="",設定!$C$4,I43+K43))</f>
        <v/>
      </c>
      <c r="M43" s="17" t="str">
        <f aca="false">IF($A43="","",IF(F43="","ランク未設定",IF(I43="","未接触",IF(設定!$C$4&gt;L43,"期限超過",IF(L43-設定!$C$4&lt;=設定!$C$8,"今週連絡","OK")))))</f>
        <v/>
      </c>
      <c r="N43" s="15" t="str">
        <f aca="false">IF($A43="","",IF(_xlfn.MINIFS(アクションログ!$J$5:$J$2004,アクションログ!$B$5:$B$2004,$A43,アクションログ!$K$5:$K$2004,"&lt;&gt;済",アクションログ!$J$5:$J$2004,"&gt;0")=0,"",_xlfn.MINIFS(アクションログ!$J$5:$J$2004,アクションログ!$B$5:$B$2004,$A43,アクションログ!$K$5:$K$2004,"&lt;&gt;済",アクションログ!$J$5:$J$2004,"&gt;0")))</f>
        <v/>
      </c>
      <c r="O43" s="18" t="str">
        <f aca="false">IF(N43="","",IFERROR(INDEX(アクションログ!$I$5:$I$2004,MATCH($A43&amp;"|"&amp;N43,アクションログ!$L$5:$L$2004,0)),""))</f>
        <v/>
      </c>
      <c r="P43" s="16" t="str">
        <f aca="false">IF($A43="","",COUNTIFS(アクションログ!$B$5:$B$2004,$A43,アクションログ!$A$5:$A$2004,"&gt;="&amp;設定!$C$5))</f>
        <v/>
      </c>
      <c r="Q43" s="16" t="str">
        <f aca="false">IF($A43="","",SUMIFS(月次実績!$D$5:$D$3004,月次実績!$B$5:$B$3004,$A43,月次実績!$A$5:$A$3004,"&gt;="&amp;EDATE(設定!$C$5,-(設定!$C$6-1))))</f>
        <v/>
      </c>
      <c r="R43" s="16" t="str">
        <f aca="false">IF($A43="","",SUMIFS(月次実績!$D$5:$D$3004,月次実績!$B$5:$B$3004,$A43))</f>
        <v/>
      </c>
      <c r="S43" s="16" t="str">
        <f aca="false">IF($A43="","",SUMIFS(月次実績!$F$5:$F$3004,月次実績!$B$5:$B$3004,$A43))</f>
        <v/>
      </c>
      <c r="T43" s="19" t="str">
        <f aca="false">IF(OR($A43="",R43=0),"",S43/R43)</f>
        <v/>
      </c>
      <c r="U43" s="20" t="str">
        <f aca="false">IF($A43="","",SUMIFS(月次実績!$G$5:$G$3004,月次実績!$B$5:$B$3004,$A43))</f>
        <v/>
      </c>
      <c r="V43" s="17" t="str">
        <f aca="false">IF($A43="","",IF(Q43&gt;=設定!$C$7,"稼働中",IF(Q43&gt;=1,"低稼働","休眠")))</f>
        <v/>
      </c>
      <c r="W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15"/>
      <c r="H44" s="21"/>
      <c r="I44" s="15" t="str">
        <f aca="false">IF($A44="","",IF(_xlfn.MAXIFS(アクションログ!$A$5:$A$2004,アクションログ!$B$5:$B$2004,$A44)=0,"",_xlfn.MAXIFS(アクションログ!$A$5:$A$2004,アクションログ!$B$5:$B$2004,$A44)))</f>
        <v/>
      </c>
      <c r="J44" s="16" t="str">
        <f aca="false">IF(OR($A44="",I44=""),"",設定!$C$4-I44)</f>
        <v/>
      </c>
      <c r="K44" s="16" t="str">
        <f aca="false">IF($A44="","",IFERROR(INDEX(設定!$D$14:$D$17,MATCH(F44,設定!$B$14:$B$17,0)),""))</f>
        <v/>
      </c>
      <c r="L44" s="15" t="str">
        <f aca="false">IF(OR($A44="",K44=""),"",IF(I44="",設定!$C$4,I44+K44))</f>
        <v/>
      </c>
      <c r="M44" s="17" t="str">
        <f aca="false">IF($A44="","",IF(F44="","ランク未設定",IF(I44="","未接触",IF(設定!$C$4&gt;L44,"期限超過",IF(L44-設定!$C$4&lt;=設定!$C$8,"今週連絡","OK")))))</f>
        <v/>
      </c>
      <c r="N44" s="15" t="str">
        <f aca="false">IF($A44="","",IF(_xlfn.MINIFS(アクションログ!$J$5:$J$2004,アクションログ!$B$5:$B$2004,$A44,アクションログ!$K$5:$K$2004,"&lt;&gt;済",アクションログ!$J$5:$J$2004,"&gt;0")=0,"",_xlfn.MINIFS(アクションログ!$J$5:$J$2004,アクションログ!$B$5:$B$2004,$A44,アクションログ!$K$5:$K$2004,"&lt;&gt;済",アクションログ!$J$5:$J$2004,"&gt;0")))</f>
        <v/>
      </c>
      <c r="O44" s="18" t="str">
        <f aca="false">IF(N44="","",IFERROR(INDEX(アクションログ!$I$5:$I$2004,MATCH($A44&amp;"|"&amp;N44,アクションログ!$L$5:$L$2004,0)),""))</f>
        <v/>
      </c>
      <c r="P44" s="16" t="str">
        <f aca="false">IF($A44="","",COUNTIFS(アクションログ!$B$5:$B$2004,$A44,アクションログ!$A$5:$A$2004,"&gt;="&amp;設定!$C$5))</f>
        <v/>
      </c>
      <c r="Q44" s="16" t="str">
        <f aca="false">IF($A44="","",SUMIFS(月次実績!$D$5:$D$3004,月次実績!$B$5:$B$3004,$A44,月次実績!$A$5:$A$3004,"&gt;="&amp;EDATE(設定!$C$5,-(設定!$C$6-1))))</f>
        <v/>
      </c>
      <c r="R44" s="16" t="str">
        <f aca="false">IF($A44="","",SUMIFS(月次実績!$D$5:$D$3004,月次実績!$B$5:$B$3004,$A44))</f>
        <v/>
      </c>
      <c r="S44" s="16" t="str">
        <f aca="false">IF($A44="","",SUMIFS(月次実績!$F$5:$F$3004,月次実績!$B$5:$B$3004,$A44))</f>
        <v/>
      </c>
      <c r="T44" s="19" t="str">
        <f aca="false">IF(OR($A44="",R44=0),"",S44/R44)</f>
        <v/>
      </c>
      <c r="U44" s="20" t="str">
        <f aca="false">IF($A44="","",SUMIFS(月次実績!$G$5:$G$3004,月次実績!$B$5:$B$3004,$A44))</f>
        <v/>
      </c>
      <c r="V44" s="17" t="str">
        <f aca="false">IF($A44="","",IF(Q44&gt;=設定!$C$7,"稼働中",IF(Q44&gt;=1,"低稼働","休眠")))</f>
        <v/>
      </c>
      <c r="W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15"/>
      <c r="H45" s="21"/>
      <c r="I45" s="15" t="str">
        <f aca="false">IF($A45="","",IF(_xlfn.MAXIFS(アクションログ!$A$5:$A$2004,アクションログ!$B$5:$B$2004,$A45)=0,"",_xlfn.MAXIFS(アクションログ!$A$5:$A$2004,アクションログ!$B$5:$B$2004,$A45)))</f>
        <v/>
      </c>
      <c r="J45" s="16" t="str">
        <f aca="false">IF(OR($A45="",I45=""),"",設定!$C$4-I45)</f>
        <v/>
      </c>
      <c r="K45" s="16" t="str">
        <f aca="false">IF($A45="","",IFERROR(INDEX(設定!$D$14:$D$17,MATCH(F45,設定!$B$14:$B$17,0)),""))</f>
        <v/>
      </c>
      <c r="L45" s="15" t="str">
        <f aca="false">IF(OR($A45="",K45=""),"",IF(I45="",設定!$C$4,I45+K45))</f>
        <v/>
      </c>
      <c r="M45" s="17" t="str">
        <f aca="false">IF($A45="","",IF(F45="","ランク未設定",IF(I45="","未接触",IF(設定!$C$4&gt;L45,"期限超過",IF(L45-設定!$C$4&lt;=設定!$C$8,"今週連絡","OK")))))</f>
        <v/>
      </c>
      <c r="N45" s="15" t="str">
        <f aca="false">IF($A45="","",IF(_xlfn.MINIFS(アクションログ!$J$5:$J$2004,アクションログ!$B$5:$B$2004,$A45,アクションログ!$K$5:$K$2004,"&lt;&gt;済",アクションログ!$J$5:$J$2004,"&gt;0")=0,"",_xlfn.MINIFS(アクションログ!$J$5:$J$2004,アクションログ!$B$5:$B$2004,$A45,アクションログ!$K$5:$K$2004,"&lt;&gt;済",アクションログ!$J$5:$J$2004,"&gt;0")))</f>
        <v/>
      </c>
      <c r="O45" s="18" t="str">
        <f aca="false">IF(N45="","",IFERROR(INDEX(アクションログ!$I$5:$I$2004,MATCH($A45&amp;"|"&amp;N45,アクションログ!$L$5:$L$2004,0)),""))</f>
        <v/>
      </c>
      <c r="P45" s="16" t="str">
        <f aca="false">IF($A45="","",COUNTIFS(アクションログ!$B$5:$B$2004,$A45,アクションログ!$A$5:$A$2004,"&gt;="&amp;設定!$C$5))</f>
        <v/>
      </c>
      <c r="Q45" s="16" t="str">
        <f aca="false">IF($A45="","",SUMIFS(月次実績!$D$5:$D$3004,月次実績!$B$5:$B$3004,$A45,月次実績!$A$5:$A$3004,"&gt;="&amp;EDATE(設定!$C$5,-(設定!$C$6-1))))</f>
        <v/>
      </c>
      <c r="R45" s="16" t="str">
        <f aca="false">IF($A45="","",SUMIFS(月次実績!$D$5:$D$3004,月次実績!$B$5:$B$3004,$A45))</f>
        <v/>
      </c>
      <c r="S45" s="16" t="str">
        <f aca="false">IF($A45="","",SUMIFS(月次実績!$F$5:$F$3004,月次実績!$B$5:$B$3004,$A45))</f>
        <v/>
      </c>
      <c r="T45" s="19" t="str">
        <f aca="false">IF(OR($A45="",R45=0),"",S45/R45)</f>
        <v/>
      </c>
      <c r="U45" s="20" t="str">
        <f aca="false">IF($A45="","",SUMIFS(月次実績!$G$5:$G$3004,月次実績!$B$5:$B$3004,$A45))</f>
        <v/>
      </c>
      <c r="V45" s="17" t="str">
        <f aca="false">IF($A45="","",IF(Q45&gt;=設定!$C$7,"稼働中",IF(Q45&gt;=1,"低稼働","休眠")))</f>
        <v/>
      </c>
      <c r="W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15"/>
      <c r="H46" s="21"/>
      <c r="I46" s="15" t="str">
        <f aca="false">IF($A46="","",IF(_xlfn.MAXIFS(アクションログ!$A$5:$A$2004,アクションログ!$B$5:$B$2004,$A46)=0,"",_xlfn.MAXIFS(アクションログ!$A$5:$A$2004,アクションログ!$B$5:$B$2004,$A46)))</f>
        <v/>
      </c>
      <c r="J46" s="16" t="str">
        <f aca="false">IF(OR($A46="",I46=""),"",設定!$C$4-I46)</f>
        <v/>
      </c>
      <c r="K46" s="16" t="str">
        <f aca="false">IF($A46="","",IFERROR(INDEX(設定!$D$14:$D$17,MATCH(F46,設定!$B$14:$B$17,0)),""))</f>
        <v/>
      </c>
      <c r="L46" s="15" t="str">
        <f aca="false">IF(OR($A46="",K46=""),"",IF(I46="",設定!$C$4,I46+K46))</f>
        <v/>
      </c>
      <c r="M46" s="17" t="str">
        <f aca="false">IF($A46="","",IF(F46="","ランク未設定",IF(I46="","未接触",IF(設定!$C$4&gt;L46,"期限超過",IF(L46-設定!$C$4&lt;=設定!$C$8,"今週連絡","OK")))))</f>
        <v/>
      </c>
      <c r="N46" s="15" t="str">
        <f aca="false">IF($A46="","",IF(_xlfn.MINIFS(アクションログ!$J$5:$J$2004,アクションログ!$B$5:$B$2004,$A46,アクションログ!$K$5:$K$2004,"&lt;&gt;済",アクションログ!$J$5:$J$2004,"&gt;0")=0,"",_xlfn.MINIFS(アクションログ!$J$5:$J$2004,アクションログ!$B$5:$B$2004,$A46,アクションログ!$K$5:$K$2004,"&lt;&gt;済",アクションログ!$J$5:$J$2004,"&gt;0")))</f>
        <v/>
      </c>
      <c r="O46" s="18" t="str">
        <f aca="false">IF(N46="","",IFERROR(INDEX(アクションログ!$I$5:$I$2004,MATCH($A46&amp;"|"&amp;N46,アクションログ!$L$5:$L$2004,0)),""))</f>
        <v/>
      </c>
      <c r="P46" s="16" t="str">
        <f aca="false">IF($A46="","",COUNTIFS(アクションログ!$B$5:$B$2004,$A46,アクションログ!$A$5:$A$2004,"&gt;="&amp;設定!$C$5))</f>
        <v/>
      </c>
      <c r="Q46" s="16" t="str">
        <f aca="false">IF($A46="","",SUMIFS(月次実績!$D$5:$D$3004,月次実績!$B$5:$B$3004,$A46,月次実績!$A$5:$A$3004,"&gt;="&amp;EDATE(設定!$C$5,-(設定!$C$6-1))))</f>
        <v/>
      </c>
      <c r="R46" s="16" t="str">
        <f aca="false">IF($A46="","",SUMIFS(月次実績!$D$5:$D$3004,月次実績!$B$5:$B$3004,$A46))</f>
        <v/>
      </c>
      <c r="S46" s="16" t="str">
        <f aca="false">IF($A46="","",SUMIFS(月次実績!$F$5:$F$3004,月次実績!$B$5:$B$3004,$A46))</f>
        <v/>
      </c>
      <c r="T46" s="19" t="str">
        <f aca="false">IF(OR($A46="",R46=0),"",S46/R46)</f>
        <v/>
      </c>
      <c r="U46" s="20" t="str">
        <f aca="false">IF($A46="","",SUMIFS(月次実績!$G$5:$G$3004,月次実績!$B$5:$B$3004,$A46))</f>
        <v/>
      </c>
      <c r="V46" s="17" t="str">
        <f aca="false">IF($A46="","",IF(Q46&gt;=設定!$C$7,"稼働中",IF(Q46&gt;=1,"低稼働","休眠")))</f>
        <v/>
      </c>
      <c r="W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15"/>
      <c r="H47" s="21"/>
      <c r="I47" s="15" t="str">
        <f aca="false">IF($A47="","",IF(_xlfn.MAXIFS(アクションログ!$A$5:$A$2004,アクションログ!$B$5:$B$2004,$A47)=0,"",_xlfn.MAXIFS(アクションログ!$A$5:$A$2004,アクションログ!$B$5:$B$2004,$A47)))</f>
        <v/>
      </c>
      <c r="J47" s="16" t="str">
        <f aca="false">IF(OR($A47="",I47=""),"",設定!$C$4-I47)</f>
        <v/>
      </c>
      <c r="K47" s="16" t="str">
        <f aca="false">IF($A47="","",IFERROR(INDEX(設定!$D$14:$D$17,MATCH(F47,設定!$B$14:$B$17,0)),""))</f>
        <v/>
      </c>
      <c r="L47" s="15" t="str">
        <f aca="false">IF(OR($A47="",K47=""),"",IF(I47="",設定!$C$4,I47+K47))</f>
        <v/>
      </c>
      <c r="M47" s="17" t="str">
        <f aca="false">IF($A47="","",IF(F47="","ランク未設定",IF(I47="","未接触",IF(設定!$C$4&gt;L47,"期限超過",IF(L47-設定!$C$4&lt;=設定!$C$8,"今週連絡","OK")))))</f>
        <v/>
      </c>
      <c r="N47" s="15" t="str">
        <f aca="false">IF($A47="","",IF(_xlfn.MINIFS(アクションログ!$J$5:$J$2004,アクションログ!$B$5:$B$2004,$A47,アクションログ!$K$5:$K$2004,"&lt;&gt;済",アクションログ!$J$5:$J$2004,"&gt;0")=0,"",_xlfn.MINIFS(アクションログ!$J$5:$J$2004,アクションログ!$B$5:$B$2004,$A47,アクションログ!$K$5:$K$2004,"&lt;&gt;済",アクションログ!$J$5:$J$2004,"&gt;0")))</f>
        <v/>
      </c>
      <c r="O47" s="18" t="str">
        <f aca="false">IF(N47="","",IFERROR(INDEX(アクションログ!$I$5:$I$2004,MATCH($A47&amp;"|"&amp;N47,アクションログ!$L$5:$L$2004,0)),""))</f>
        <v/>
      </c>
      <c r="P47" s="16" t="str">
        <f aca="false">IF($A47="","",COUNTIFS(アクションログ!$B$5:$B$2004,$A47,アクションログ!$A$5:$A$2004,"&gt;="&amp;設定!$C$5))</f>
        <v/>
      </c>
      <c r="Q47" s="16" t="str">
        <f aca="false">IF($A47="","",SUMIFS(月次実績!$D$5:$D$3004,月次実績!$B$5:$B$3004,$A47,月次実績!$A$5:$A$3004,"&gt;="&amp;EDATE(設定!$C$5,-(設定!$C$6-1))))</f>
        <v/>
      </c>
      <c r="R47" s="16" t="str">
        <f aca="false">IF($A47="","",SUMIFS(月次実績!$D$5:$D$3004,月次実績!$B$5:$B$3004,$A47))</f>
        <v/>
      </c>
      <c r="S47" s="16" t="str">
        <f aca="false">IF($A47="","",SUMIFS(月次実績!$F$5:$F$3004,月次実績!$B$5:$B$3004,$A47))</f>
        <v/>
      </c>
      <c r="T47" s="19" t="str">
        <f aca="false">IF(OR($A47="",R47=0),"",S47/R47)</f>
        <v/>
      </c>
      <c r="U47" s="20" t="str">
        <f aca="false">IF($A47="","",SUMIFS(月次実績!$G$5:$G$3004,月次実績!$B$5:$B$3004,$A47))</f>
        <v/>
      </c>
      <c r="V47" s="17" t="str">
        <f aca="false">IF($A47="","",IF(Q47&gt;=設定!$C$7,"稼働中",IF(Q47&gt;=1,"低稼働","休眠")))</f>
        <v/>
      </c>
      <c r="W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15"/>
      <c r="H48" s="21"/>
      <c r="I48" s="15" t="str">
        <f aca="false">IF($A48="","",IF(_xlfn.MAXIFS(アクションログ!$A$5:$A$2004,アクションログ!$B$5:$B$2004,$A48)=0,"",_xlfn.MAXIFS(アクションログ!$A$5:$A$2004,アクションログ!$B$5:$B$2004,$A48)))</f>
        <v/>
      </c>
      <c r="J48" s="16" t="str">
        <f aca="false">IF(OR($A48="",I48=""),"",設定!$C$4-I48)</f>
        <v/>
      </c>
      <c r="K48" s="16" t="str">
        <f aca="false">IF($A48="","",IFERROR(INDEX(設定!$D$14:$D$17,MATCH(F48,設定!$B$14:$B$17,0)),""))</f>
        <v/>
      </c>
      <c r="L48" s="15" t="str">
        <f aca="false">IF(OR($A48="",K48=""),"",IF(I48="",設定!$C$4,I48+K48))</f>
        <v/>
      </c>
      <c r="M48" s="17" t="str">
        <f aca="false">IF($A48="","",IF(F48="","ランク未設定",IF(I48="","未接触",IF(設定!$C$4&gt;L48,"期限超過",IF(L48-設定!$C$4&lt;=設定!$C$8,"今週連絡","OK")))))</f>
        <v/>
      </c>
      <c r="N48" s="15" t="str">
        <f aca="false">IF($A48="","",IF(_xlfn.MINIFS(アクションログ!$J$5:$J$2004,アクションログ!$B$5:$B$2004,$A48,アクションログ!$K$5:$K$2004,"&lt;&gt;済",アクションログ!$J$5:$J$2004,"&gt;0")=0,"",_xlfn.MINIFS(アクションログ!$J$5:$J$2004,アクションログ!$B$5:$B$2004,$A48,アクションログ!$K$5:$K$2004,"&lt;&gt;済",アクションログ!$J$5:$J$2004,"&gt;0")))</f>
        <v/>
      </c>
      <c r="O48" s="18" t="str">
        <f aca="false">IF(N48="","",IFERROR(INDEX(アクションログ!$I$5:$I$2004,MATCH($A48&amp;"|"&amp;N48,アクションログ!$L$5:$L$2004,0)),""))</f>
        <v/>
      </c>
      <c r="P48" s="16" t="str">
        <f aca="false">IF($A48="","",COUNTIFS(アクションログ!$B$5:$B$2004,$A48,アクションログ!$A$5:$A$2004,"&gt;="&amp;設定!$C$5))</f>
        <v/>
      </c>
      <c r="Q48" s="16" t="str">
        <f aca="false">IF($A48="","",SUMIFS(月次実績!$D$5:$D$3004,月次実績!$B$5:$B$3004,$A48,月次実績!$A$5:$A$3004,"&gt;="&amp;EDATE(設定!$C$5,-(設定!$C$6-1))))</f>
        <v/>
      </c>
      <c r="R48" s="16" t="str">
        <f aca="false">IF($A48="","",SUMIFS(月次実績!$D$5:$D$3004,月次実績!$B$5:$B$3004,$A48))</f>
        <v/>
      </c>
      <c r="S48" s="16" t="str">
        <f aca="false">IF($A48="","",SUMIFS(月次実績!$F$5:$F$3004,月次実績!$B$5:$B$3004,$A48))</f>
        <v/>
      </c>
      <c r="T48" s="19" t="str">
        <f aca="false">IF(OR($A48="",R48=0),"",S48/R48)</f>
        <v/>
      </c>
      <c r="U48" s="20" t="str">
        <f aca="false">IF($A48="","",SUMIFS(月次実績!$G$5:$G$3004,月次実績!$B$5:$B$3004,$A48))</f>
        <v/>
      </c>
      <c r="V48" s="17" t="str">
        <f aca="false">IF($A48="","",IF(Q48&gt;=設定!$C$7,"稼働中",IF(Q48&gt;=1,"低稼働","休眠")))</f>
        <v/>
      </c>
      <c r="W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15"/>
      <c r="H49" s="21"/>
      <c r="I49" s="15" t="str">
        <f aca="false">IF($A49="","",IF(_xlfn.MAXIFS(アクションログ!$A$5:$A$2004,アクションログ!$B$5:$B$2004,$A49)=0,"",_xlfn.MAXIFS(アクションログ!$A$5:$A$2004,アクションログ!$B$5:$B$2004,$A49)))</f>
        <v/>
      </c>
      <c r="J49" s="16" t="str">
        <f aca="false">IF(OR($A49="",I49=""),"",設定!$C$4-I49)</f>
        <v/>
      </c>
      <c r="K49" s="16" t="str">
        <f aca="false">IF($A49="","",IFERROR(INDEX(設定!$D$14:$D$17,MATCH(F49,設定!$B$14:$B$17,0)),""))</f>
        <v/>
      </c>
      <c r="L49" s="15" t="str">
        <f aca="false">IF(OR($A49="",K49=""),"",IF(I49="",設定!$C$4,I49+K49))</f>
        <v/>
      </c>
      <c r="M49" s="17" t="str">
        <f aca="false">IF($A49="","",IF(F49="","ランク未設定",IF(I49="","未接触",IF(設定!$C$4&gt;L49,"期限超過",IF(L49-設定!$C$4&lt;=設定!$C$8,"今週連絡","OK")))))</f>
        <v/>
      </c>
      <c r="N49" s="15" t="str">
        <f aca="false">IF($A49="","",IF(_xlfn.MINIFS(アクションログ!$J$5:$J$2004,アクションログ!$B$5:$B$2004,$A49,アクションログ!$K$5:$K$2004,"&lt;&gt;済",アクションログ!$J$5:$J$2004,"&gt;0")=0,"",_xlfn.MINIFS(アクションログ!$J$5:$J$2004,アクションログ!$B$5:$B$2004,$A49,アクションログ!$K$5:$K$2004,"&lt;&gt;済",アクションログ!$J$5:$J$2004,"&gt;0")))</f>
        <v/>
      </c>
      <c r="O49" s="18" t="str">
        <f aca="false">IF(N49="","",IFERROR(INDEX(アクションログ!$I$5:$I$2004,MATCH($A49&amp;"|"&amp;N49,アクションログ!$L$5:$L$2004,0)),""))</f>
        <v/>
      </c>
      <c r="P49" s="16" t="str">
        <f aca="false">IF($A49="","",COUNTIFS(アクションログ!$B$5:$B$2004,$A49,アクションログ!$A$5:$A$2004,"&gt;="&amp;設定!$C$5))</f>
        <v/>
      </c>
      <c r="Q49" s="16" t="str">
        <f aca="false">IF($A49="","",SUMIFS(月次実績!$D$5:$D$3004,月次実績!$B$5:$B$3004,$A49,月次実績!$A$5:$A$3004,"&gt;="&amp;EDATE(設定!$C$5,-(設定!$C$6-1))))</f>
        <v/>
      </c>
      <c r="R49" s="16" t="str">
        <f aca="false">IF($A49="","",SUMIFS(月次実績!$D$5:$D$3004,月次実績!$B$5:$B$3004,$A49))</f>
        <v/>
      </c>
      <c r="S49" s="16" t="str">
        <f aca="false">IF($A49="","",SUMIFS(月次実績!$F$5:$F$3004,月次実績!$B$5:$B$3004,$A49))</f>
        <v/>
      </c>
      <c r="T49" s="19" t="str">
        <f aca="false">IF(OR($A49="",R49=0),"",S49/R49)</f>
        <v/>
      </c>
      <c r="U49" s="20" t="str">
        <f aca="false">IF($A49="","",SUMIFS(月次実績!$G$5:$G$3004,月次実績!$B$5:$B$3004,$A49))</f>
        <v/>
      </c>
      <c r="V49" s="17" t="str">
        <f aca="false">IF($A49="","",IF(Q49&gt;=設定!$C$7,"稼働中",IF(Q49&gt;=1,"低稼働","休眠")))</f>
        <v/>
      </c>
      <c r="W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15"/>
      <c r="H50" s="21"/>
      <c r="I50" s="15" t="str">
        <f aca="false">IF($A50="","",IF(_xlfn.MAXIFS(アクションログ!$A$5:$A$2004,アクションログ!$B$5:$B$2004,$A50)=0,"",_xlfn.MAXIFS(アクションログ!$A$5:$A$2004,アクションログ!$B$5:$B$2004,$A50)))</f>
        <v/>
      </c>
      <c r="J50" s="16" t="str">
        <f aca="false">IF(OR($A50="",I50=""),"",設定!$C$4-I50)</f>
        <v/>
      </c>
      <c r="K50" s="16" t="str">
        <f aca="false">IF($A50="","",IFERROR(INDEX(設定!$D$14:$D$17,MATCH(F50,設定!$B$14:$B$17,0)),""))</f>
        <v/>
      </c>
      <c r="L50" s="15" t="str">
        <f aca="false">IF(OR($A50="",K50=""),"",IF(I50="",設定!$C$4,I50+K50))</f>
        <v/>
      </c>
      <c r="M50" s="17" t="str">
        <f aca="false">IF($A50="","",IF(F50="","ランク未設定",IF(I50="","未接触",IF(設定!$C$4&gt;L50,"期限超過",IF(L50-設定!$C$4&lt;=設定!$C$8,"今週連絡","OK")))))</f>
        <v/>
      </c>
      <c r="N50" s="15" t="str">
        <f aca="false">IF($A50="","",IF(_xlfn.MINIFS(アクションログ!$J$5:$J$2004,アクションログ!$B$5:$B$2004,$A50,アクションログ!$K$5:$K$2004,"&lt;&gt;済",アクションログ!$J$5:$J$2004,"&gt;0")=0,"",_xlfn.MINIFS(アクションログ!$J$5:$J$2004,アクションログ!$B$5:$B$2004,$A50,アクションログ!$K$5:$K$2004,"&lt;&gt;済",アクションログ!$J$5:$J$2004,"&gt;0")))</f>
        <v/>
      </c>
      <c r="O50" s="18" t="str">
        <f aca="false">IF(N50="","",IFERROR(INDEX(アクションログ!$I$5:$I$2004,MATCH($A50&amp;"|"&amp;N50,アクションログ!$L$5:$L$2004,0)),""))</f>
        <v/>
      </c>
      <c r="P50" s="16" t="str">
        <f aca="false">IF($A50="","",COUNTIFS(アクションログ!$B$5:$B$2004,$A50,アクションログ!$A$5:$A$2004,"&gt;="&amp;設定!$C$5))</f>
        <v/>
      </c>
      <c r="Q50" s="16" t="str">
        <f aca="false">IF($A50="","",SUMIFS(月次実績!$D$5:$D$3004,月次実績!$B$5:$B$3004,$A50,月次実績!$A$5:$A$3004,"&gt;="&amp;EDATE(設定!$C$5,-(設定!$C$6-1))))</f>
        <v/>
      </c>
      <c r="R50" s="16" t="str">
        <f aca="false">IF($A50="","",SUMIFS(月次実績!$D$5:$D$3004,月次実績!$B$5:$B$3004,$A50))</f>
        <v/>
      </c>
      <c r="S50" s="16" t="str">
        <f aca="false">IF($A50="","",SUMIFS(月次実績!$F$5:$F$3004,月次実績!$B$5:$B$3004,$A50))</f>
        <v/>
      </c>
      <c r="T50" s="19" t="str">
        <f aca="false">IF(OR($A50="",R50=0),"",S50/R50)</f>
        <v/>
      </c>
      <c r="U50" s="20" t="str">
        <f aca="false">IF($A50="","",SUMIFS(月次実績!$G$5:$G$3004,月次実績!$B$5:$B$3004,$A50))</f>
        <v/>
      </c>
      <c r="V50" s="17" t="str">
        <f aca="false">IF($A50="","",IF(Q50&gt;=設定!$C$7,"稼働中",IF(Q50&gt;=1,"低稼働","休眠")))</f>
        <v/>
      </c>
      <c r="W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15"/>
      <c r="H51" s="21"/>
      <c r="I51" s="15" t="str">
        <f aca="false">IF($A51="","",IF(_xlfn.MAXIFS(アクションログ!$A$5:$A$2004,アクションログ!$B$5:$B$2004,$A51)=0,"",_xlfn.MAXIFS(アクションログ!$A$5:$A$2004,アクションログ!$B$5:$B$2004,$A51)))</f>
        <v/>
      </c>
      <c r="J51" s="16" t="str">
        <f aca="false">IF(OR($A51="",I51=""),"",設定!$C$4-I51)</f>
        <v/>
      </c>
      <c r="K51" s="16" t="str">
        <f aca="false">IF($A51="","",IFERROR(INDEX(設定!$D$14:$D$17,MATCH(F51,設定!$B$14:$B$17,0)),""))</f>
        <v/>
      </c>
      <c r="L51" s="15" t="str">
        <f aca="false">IF(OR($A51="",K51=""),"",IF(I51="",設定!$C$4,I51+K51))</f>
        <v/>
      </c>
      <c r="M51" s="17" t="str">
        <f aca="false">IF($A51="","",IF(F51="","ランク未設定",IF(I51="","未接触",IF(設定!$C$4&gt;L51,"期限超過",IF(L51-設定!$C$4&lt;=設定!$C$8,"今週連絡","OK")))))</f>
        <v/>
      </c>
      <c r="N51" s="15" t="str">
        <f aca="false">IF($A51="","",IF(_xlfn.MINIFS(アクションログ!$J$5:$J$2004,アクションログ!$B$5:$B$2004,$A51,アクションログ!$K$5:$K$2004,"&lt;&gt;済",アクションログ!$J$5:$J$2004,"&gt;0")=0,"",_xlfn.MINIFS(アクションログ!$J$5:$J$2004,アクションログ!$B$5:$B$2004,$A51,アクションログ!$K$5:$K$2004,"&lt;&gt;済",アクションログ!$J$5:$J$2004,"&gt;0")))</f>
        <v/>
      </c>
      <c r="O51" s="18" t="str">
        <f aca="false">IF(N51="","",IFERROR(INDEX(アクションログ!$I$5:$I$2004,MATCH($A51&amp;"|"&amp;N51,アクションログ!$L$5:$L$2004,0)),""))</f>
        <v/>
      </c>
      <c r="P51" s="16" t="str">
        <f aca="false">IF($A51="","",COUNTIFS(アクションログ!$B$5:$B$2004,$A51,アクションログ!$A$5:$A$2004,"&gt;="&amp;設定!$C$5))</f>
        <v/>
      </c>
      <c r="Q51" s="16" t="str">
        <f aca="false">IF($A51="","",SUMIFS(月次実績!$D$5:$D$3004,月次実績!$B$5:$B$3004,$A51,月次実績!$A$5:$A$3004,"&gt;="&amp;EDATE(設定!$C$5,-(設定!$C$6-1))))</f>
        <v/>
      </c>
      <c r="R51" s="16" t="str">
        <f aca="false">IF($A51="","",SUMIFS(月次実績!$D$5:$D$3004,月次実績!$B$5:$B$3004,$A51))</f>
        <v/>
      </c>
      <c r="S51" s="16" t="str">
        <f aca="false">IF($A51="","",SUMIFS(月次実績!$F$5:$F$3004,月次実績!$B$5:$B$3004,$A51))</f>
        <v/>
      </c>
      <c r="T51" s="19" t="str">
        <f aca="false">IF(OR($A51="",R51=0),"",S51/R51)</f>
        <v/>
      </c>
      <c r="U51" s="20" t="str">
        <f aca="false">IF($A51="","",SUMIFS(月次実績!$G$5:$G$3004,月次実績!$B$5:$B$3004,$A51))</f>
        <v/>
      </c>
      <c r="V51" s="17" t="str">
        <f aca="false">IF($A51="","",IF(Q51&gt;=設定!$C$7,"稼働中",IF(Q51&gt;=1,"低稼働","休眠")))</f>
        <v/>
      </c>
      <c r="W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15"/>
      <c r="H52" s="21"/>
      <c r="I52" s="15" t="str">
        <f aca="false">IF($A52="","",IF(_xlfn.MAXIFS(アクションログ!$A$5:$A$2004,アクションログ!$B$5:$B$2004,$A52)=0,"",_xlfn.MAXIFS(アクションログ!$A$5:$A$2004,アクションログ!$B$5:$B$2004,$A52)))</f>
        <v/>
      </c>
      <c r="J52" s="16" t="str">
        <f aca="false">IF(OR($A52="",I52=""),"",設定!$C$4-I52)</f>
        <v/>
      </c>
      <c r="K52" s="16" t="str">
        <f aca="false">IF($A52="","",IFERROR(INDEX(設定!$D$14:$D$17,MATCH(F52,設定!$B$14:$B$17,0)),""))</f>
        <v/>
      </c>
      <c r="L52" s="15" t="str">
        <f aca="false">IF(OR($A52="",K52=""),"",IF(I52="",設定!$C$4,I52+K52))</f>
        <v/>
      </c>
      <c r="M52" s="17" t="str">
        <f aca="false">IF($A52="","",IF(F52="","ランク未設定",IF(I52="","未接触",IF(設定!$C$4&gt;L52,"期限超過",IF(L52-設定!$C$4&lt;=設定!$C$8,"今週連絡","OK")))))</f>
        <v/>
      </c>
      <c r="N52" s="15" t="str">
        <f aca="false">IF($A52="","",IF(_xlfn.MINIFS(アクションログ!$J$5:$J$2004,アクションログ!$B$5:$B$2004,$A52,アクションログ!$K$5:$K$2004,"&lt;&gt;済",アクションログ!$J$5:$J$2004,"&gt;0")=0,"",_xlfn.MINIFS(アクションログ!$J$5:$J$2004,アクションログ!$B$5:$B$2004,$A52,アクションログ!$K$5:$K$2004,"&lt;&gt;済",アクションログ!$J$5:$J$2004,"&gt;0")))</f>
        <v/>
      </c>
      <c r="O52" s="18" t="str">
        <f aca="false">IF(N52="","",IFERROR(INDEX(アクションログ!$I$5:$I$2004,MATCH($A52&amp;"|"&amp;N52,アクションログ!$L$5:$L$2004,0)),""))</f>
        <v/>
      </c>
      <c r="P52" s="16" t="str">
        <f aca="false">IF($A52="","",COUNTIFS(アクションログ!$B$5:$B$2004,$A52,アクションログ!$A$5:$A$2004,"&gt;="&amp;設定!$C$5))</f>
        <v/>
      </c>
      <c r="Q52" s="16" t="str">
        <f aca="false">IF($A52="","",SUMIFS(月次実績!$D$5:$D$3004,月次実績!$B$5:$B$3004,$A52,月次実績!$A$5:$A$3004,"&gt;="&amp;EDATE(設定!$C$5,-(設定!$C$6-1))))</f>
        <v/>
      </c>
      <c r="R52" s="16" t="str">
        <f aca="false">IF($A52="","",SUMIFS(月次実績!$D$5:$D$3004,月次実績!$B$5:$B$3004,$A52))</f>
        <v/>
      </c>
      <c r="S52" s="16" t="str">
        <f aca="false">IF($A52="","",SUMIFS(月次実績!$F$5:$F$3004,月次実績!$B$5:$B$3004,$A52))</f>
        <v/>
      </c>
      <c r="T52" s="19" t="str">
        <f aca="false">IF(OR($A52="",R52=0),"",S52/R52)</f>
        <v/>
      </c>
      <c r="U52" s="20" t="str">
        <f aca="false">IF($A52="","",SUMIFS(月次実績!$G$5:$G$3004,月次実績!$B$5:$B$3004,$A52))</f>
        <v/>
      </c>
      <c r="V52" s="17" t="str">
        <f aca="false">IF($A52="","",IF(Q52&gt;=設定!$C$7,"稼働中",IF(Q52&gt;=1,"低稼働","休眠")))</f>
        <v/>
      </c>
      <c r="W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15"/>
      <c r="H53" s="21"/>
      <c r="I53" s="15" t="str">
        <f aca="false">IF($A53="","",IF(_xlfn.MAXIFS(アクションログ!$A$5:$A$2004,アクションログ!$B$5:$B$2004,$A53)=0,"",_xlfn.MAXIFS(アクションログ!$A$5:$A$2004,アクションログ!$B$5:$B$2004,$A53)))</f>
        <v/>
      </c>
      <c r="J53" s="16" t="str">
        <f aca="false">IF(OR($A53="",I53=""),"",設定!$C$4-I53)</f>
        <v/>
      </c>
      <c r="K53" s="16" t="str">
        <f aca="false">IF($A53="","",IFERROR(INDEX(設定!$D$14:$D$17,MATCH(F53,設定!$B$14:$B$17,0)),""))</f>
        <v/>
      </c>
      <c r="L53" s="15" t="str">
        <f aca="false">IF(OR($A53="",K53=""),"",IF(I53="",設定!$C$4,I53+K53))</f>
        <v/>
      </c>
      <c r="M53" s="17" t="str">
        <f aca="false">IF($A53="","",IF(F53="","ランク未設定",IF(I53="","未接触",IF(設定!$C$4&gt;L53,"期限超過",IF(L53-設定!$C$4&lt;=設定!$C$8,"今週連絡","OK")))))</f>
        <v/>
      </c>
      <c r="N53" s="15" t="str">
        <f aca="false">IF($A53="","",IF(_xlfn.MINIFS(アクションログ!$J$5:$J$2004,アクションログ!$B$5:$B$2004,$A53,アクションログ!$K$5:$K$2004,"&lt;&gt;済",アクションログ!$J$5:$J$2004,"&gt;0")=0,"",_xlfn.MINIFS(アクションログ!$J$5:$J$2004,アクションログ!$B$5:$B$2004,$A53,アクションログ!$K$5:$K$2004,"&lt;&gt;済",アクションログ!$J$5:$J$2004,"&gt;0")))</f>
        <v/>
      </c>
      <c r="O53" s="18" t="str">
        <f aca="false">IF(N53="","",IFERROR(INDEX(アクションログ!$I$5:$I$2004,MATCH($A53&amp;"|"&amp;N53,アクションログ!$L$5:$L$2004,0)),""))</f>
        <v/>
      </c>
      <c r="P53" s="16" t="str">
        <f aca="false">IF($A53="","",COUNTIFS(アクションログ!$B$5:$B$2004,$A53,アクションログ!$A$5:$A$2004,"&gt;="&amp;設定!$C$5))</f>
        <v/>
      </c>
      <c r="Q53" s="16" t="str">
        <f aca="false">IF($A53="","",SUMIFS(月次実績!$D$5:$D$3004,月次実績!$B$5:$B$3004,$A53,月次実績!$A$5:$A$3004,"&gt;="&amp;EDATE(設定!$C$5,-(設定!$C$6-1))))</f>
        <v/>
      </c>
      <c r="R53" s="16" t="str">
        <f aca="false">IF($A53="","",SUMIFS(月次実績!$D$5:$D$3004,月次実績!$B$5:$B$3004,$A53))</f>
        <v/>
      </c>
      <c r="S53" s="16" t="str">
        <f aca="false">IF($A53="","",SUMIFS(月次実績!$F$5:$F$3004,月次実績!$B$5:$B$3004,$A53))</f>
        <v/>
      </c>
      <c r="T53" s="19" t="str">
        <f aca="false">IF(OR($A53="",R53=0),"",S53/R53)</f>
        <v/>
      </c>
      <c r="U53" s="20" t="str">
        <f aca="false">IF($A53="","",SUMIFS(月次実績!$G$5:$G$3004,月次実績!$B$5:$B$3004,$A53))</f>
        <v/>
      </c>
      <c r="V53" s="17" t="str">
        <f aca="false">IF($A53="","",IF(Q53&gt;=設定!$C$7,"稼働中",IF(Q53&gt;=1,"低稼働","休眠")))</f>
        <v/>
      </c>
      <c r="W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15"/>
      <c r="H54" s="21"/>
      <c r="I54" s="15" t="str">
        <f aca="false">IF($A54="","",IF(_xlfn.MAXIFS(アクションログ!$A$5:$A$2004,アクションログ!$B$5:$B$2004,$A54)=0,"",_xlfn.MAXIFS(アクションログ!$A$5:$A$2004,アクションログ!$B$5:$B$2004,$A54)))</f>
        <v/>
      </c>
      <c r="J54" s="16" t="str">
        <f aca="false">IF(OR($A54="",I54=""),"",設定!$C$4-I54)</f>
        <v/>
      </c>
      <c r="K54" s="16" t="str">
        <f aca="false">IF($A54="","",IFERROR(INDEX(設定!$D$14:$D$17,MATCH(F54,設定!$B$14:$B$17,0)),""))</f>
        <v/>
      </c>
      <c r="L54" s="15" t="str">
        <f aca="false">IF(OR($A54="",K54=""),"",IF(I54="",設定!$C$4,I54+K54))</f>
        <v/>
      </c>
      <c r="M54" s="17" t="str">
        <f aca="false">IF($A54="","",IF(F54="","ランク未設定",IF(I54="","未接触",IF(設定!$C$4&gt;L54,"期限超過",IF(L54-設定!$C$4&lt;=設定!$C$8,"今週連絡","OK")))))</f>
        <v/>
      </c>
      <c r="N54" s="15" t="str">
        <f aca="false">IF($A54="","",IF(_xlfn.MINIFS(アクションログ!$J$5:$J$2004,アクションログ!$B$5:$B$2004,$A54,アクションログ!$K$5:$K$2004,"&lt;&gt;済",アクションログ!$J$5:$J$2004,"&gt;0")=0,"",_xlfn.MINIFS(アクションログ!$J$5:$J$2004,アクションログ!$B$5:$B$2004,$A54,アクションログ!$K$5:$K$2004,"&lt;&gt;済",アクションログ!$J$5:$J$2004,"&gt;0")))</f>
        <v/>
      </c>
      <c r="O54" s="18" t="str">
        <f aca="false">IF(N54="","",IFERROR(INDEX(アクションログ!$I$5:$I$2004,MATCH($A54&amp;"|"&amp;N54,アクションログ!$L$5:$L$2004,0)),""))</f>
        <v/>
      </c>
      <c r="P54" s="16" t="str">
        <f aca="false">IF($A54="","",COUNTIFS(アクションログ!$B$5:$B$2004,$A54,アクションログ!$A$5:$A$2004,"&gt;="&amp;設定!$C$5))</f>
        <v/>
      </c>
      <c r="Q54" s="16" t="str">
        <f aca="false">IF($A54="","",SUMIFS(月次実績!$D$5:$D$3004,月次実績!$B$5:$B$3004,$A54,月次実績!$A$5:$A$3004,"&gt;="&amp;EDATE(設定!$C$5,-(設定!$C$6-1))))</f>
        <v/>
      </c>
      <c r="R54" s="16" t="str">
        <f aca="false">IF($A54="","",SUMIFS(月次実績!$D$5:$D$3004,月次実績!$B$5:$B$3004,$A54))</f>
        <v/>
      </c>
      <c r="S54" s="16" t="str">
        <f aca="false">IF($A54="","",SUMIFS(月次実績!$F$5:$F$3004,月次実績!$B$5:$B$3004,$A54))</f>
        <v/>
      </c>
      <c r="T54" s="19" t="str">
        <f aca="false">IF(OR($A54="",R54=0),"",S54/R54)</f>
        <v/>
      </c>
      <c r="U54" s="20" t="str">
        <f aca="false">IF($A54="","",SUMIFS(月次実績!$G$5:$G$3004,月次実績!$B$5:$B$3004,$A54))</f>
        <v/>
      </c>
      <c r="V54" s="17" t="str">
        <f aca="false">IF($A54="","",IF(Q54&gt;=設定!$C$7,"稼働中",IF(Q54&gt;=1,"低稼働","休眠")))</f>
        <v/>
      </c>
      <c r="W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15"/>
      <c r="H55" s="21"/>
      <c r="I55" s="15" t="str">
        <f aca="false">IF($A55="","",IF(_xlfn.MAXIFS(アクションログ!$A$5:$A$2004,アクションログ!$B$5:$B$2004,$A55)=0,"",_xlfn.MAXIFS(アクションログ!$A$5:$A$2004,アクションログ!$B$5:$B$2004,$A55)))</f>
        <v/>
      </c>
      <c r="J55" s="16" t="str">
        <f aca="false">IF(OR($A55="",I55=""),"",設定!$C$4-I55)</f>
        <v/>
      </c>
      <c r="K55" s="16" t="str">
        <f aca="false">IF($A55="","",IFERROR(INDEX(設定!$D$14:$D$17,MATCH(F55,設定!$B$14:$B$17,0)),""))</f>
        <v/>
      </c>
      <c r="L55" s="15" t="str">
        <f aca="false">IF(OR($A55="",K55=""),"",IF(I55="",設定!$C$4,I55+K55))</f>
        <v/>
      </c>
      <c r="M55" s="17" t="str">
        <f aca="false">IF($A55="","",IF(F55="","ランク未設定",IF(I55="","未接触",IF(設定!$C$4&gt;L55,"期限超過",IF(L55-設定!$C$4&lt;=設定!$C$8,"今週連絡","OK")))))</f>
        <v/>
      </c>
      <c r="N55" s="15" t="str">
        <f aca="false">IF($A55="","",IF(_xlfn.MINIFS(アクションログ!$J$5:$J$2004,アクションログ!$B$5:$B$2004,$A55,アクションログ!$K$5:$K$2004,"&lt;&gt;済",アクションログ!$J$5:$J$2004,"&gt;0")=0,"",_xlfn.MINIFS(アクションログ!$J$5:$J$2004,アクションログ!$B$5:$B$2004,$A55,アクションログ!$K$5:$K$2004,"&lt;&gt;済",アクションログ!$J$5:$J$2004,"&gt;0")))</f>
        <v/>
      </c>
      <c r="O55" s="18" t="str">
        <f aca="false">IF(N55="","",IFERROR(INDEX(アクションログ!$I$5:$I$2004,MATCH($A55&amp;"|"&amp;N55,アクションログ!$L$5:$L$2004,0)),""))</f>
        <v/>
      </c>
      <c r="P55" s="16" t="str">
        <f aca="false">IF($A55="","",COUNTIFS(アクションログ!$B$5:$B$2004,$A55,アクションログ!$A$5:$A$2004,"&gt;="&amp;設定!$C$5))</f>
        <v/>
      </c>
      <c r="Q55" s="16" t="str">
        <f aca="false">IF($A55="","",SUMIFS(月次実績!$D$5:$D$3004,月次実績!$B$5:$B$3004,$A55,月次実績!$A$5:$A$3004,"&gt;="&amp;EDATE(設定!$C$5,-(設定!$C$6-1))))</f>
        <v/>
      </c>
      <c r="R55" s="16" t="str">
        <f aca="false">IF($A55="","",SUMIFS(月次実績!$D$5:$D$3004,月次実績!$B$5:$B$3004,$A55))</f>
        <v/>
      </c>
      <c r="S55" s="16" t="str">
        <f aca="false">IF($A55="","",SUMIFS(月次実績!$F$5:$F$3004,月次実績!$B$5:$B$3004,$A55))</f>
        <v/>
      </c>
      <c r="T55" s="19" t="str">
        <f aca="false">IF(OR($A55="",R55=0),"",S55/R55)</f>
        <v/>
      </c>
      <c r="U55" s="20" t="str">
        <f aca="false">IF($A55="","",SUMIFS(月次実績!$G$5:$G$3004,月次実績!$B$5:$B$3004,$A55))</f>
        <v/>
      </c>
      <c r="V55" s="17" t="str">
        <f aca="false">IF($A55="","",IF(Q55&gt;=設定!$C$7,"稼働中",IF(Q55&gt;=1,"低稼働","休眠")))</f>
        <v/>
      </c>
      <c r="W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15"/>
      <c r="H56" s="21"/>
      <c r="I56" s="15" t="str">
        <f aca="false">IF($A56="","",IF(_xlfn.MAXIFS(アクションログ!$A$5:$A$2004,アクションログ!$B$5:$B$2004,$A56)=0,"",_xlfn.MAXIFS(アクションログ!$A$5:$A$2004,アクションログ!$B$5:$B$2004,$A56)))</f>
        <v/>
      </c>
      <c r="J56" s="16" t="str">
        <f aca="false">IF(OR($A56="",I56=""),"",設定!$C$4-I56)</f>
        <v/>
      </c>
      <c r="K56" s="16" t="str">
        <f aca="false">IF($A56="","",IFERROR(INDEX(設定!$D$14:$D$17,MATCH(F56,設定!$B$14:$B$17,0)),""))</f>
        <v/>
      </c>
      <c r="L56" s="15" t="str">
        <f aca="false">IF(OR($A56="",K56=""),"",IF(I56="",設定!$C$4,I56+K56))</f>
        <v/>
      </c>
      <c r="M56" s="17" t="str">
        <f aca="false">IF($A56="","",IF(F56="","ランク未設定",IF(I56="","未接触",IF(設定!$C$4&gt;L56,"期限超過",IF(L56-設定!$C$4&lt;=設定!$C$8,"今週連絡","OK")))))</f>
        <v/>
      </c>
      <c r="N56" s="15" t="str">
        <f aca="false">IF($A56="","",IF(_xlfn.MINIFS(アクションログ!$J$5:$J$2004,アクションログ!$B$5:$B$2004,$A56,アクションログ!$K$5:$K$2004,"&lt;&gt;済",アクションログ!$J$5:$J$2004,"&gt;0")=0,"",_xlfn.MINIFS(アクションログ!$J$5:$J$2004,アクションログ!$B$5:$B$2004,$A56,アクションログ!$K$5:$K$2004,"&lt;&gt;済",アクションログ!$J$5:$J$2004,"&gt;0")))</f>
        <v/>
      </c>
      <c r="O56" s="18" t="str">
        <f aca="false">IF(N56="","",IFERROR(INDEX(アクションログ!$I$5:$I$2004,MATCH($A56&amp;"|"&amp;N56,アクションログ!$L$5:$L$2004,0)),""))</f>
        <v/>
      </c>
      <c r="P56" s="16" t="str">
        <f aca="false">IF($A56="","",COUNTIFS(アクションログ!$B$5:$B$2004,$A56,アクションログ!$A$5:$A$2004,"&gt;="&amp;設定!$C$5))</f>
        <v/>
      </c>
      <c r="Q56" s="16" t="str">
        <f aca="false">IF($A56="","",SUMIFS(月次実績!$D$5:$D$3004,月次実績!$B$5:$B$3004,$A56,月次実績!$A$5:$A$3004,"&gt;="&amp;EDATE(設定!$C$5,-(設定!$C$6-1))))</f>
        <v/>
      </c>
      <c r="R56" s="16" t="str">
        <f aca="false">IF($A56="","",SUMIFS(月次実績!$D$5:$D$3004,月次実績!$B$5:$B$3004,$A56))</f>
        <v/>
      </c>
      <c r="S56" s="16" t="str">
        <f aca="false">IF($A56="","",SUMIFS(月次実績!$F$5:$F$3004,月次実績!$B$5:$B$3004,$A56))</f>
        <v/>
      </c>
      <c r="T56" s="19" t="str">
        <f aca="false">IF(OR($A56="",R56=0),"",S56/R56)</f>
        <v/>
      </c>
      <c r="U56" s="20" t="str">
        <f aca="false">IF($A56="","",SUMIFS(月次実績!$G$5:$G$3004,月次実績!$B$5:$B$3004,$A56))</f>
        <v/>
      </c>
      <c r="V56" s="17" t="str">
        <f aca="false">IF($A56="","",IF(Q56&gt;=設定!$C$7,"稼働中",IF(Q56&gt;=1,"低稼働","休眠")))</f>
        <v/>
      </c>
      <c r="W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15"/>
      <c r="H57" s="21"/>
      <c r="I57" s="15" t="str">
        <f aca="false">IF($A57="","",IF(_xlfn.MAXIFS(アクションログ!$A$5:$A$2004,アクションログ!$B$5:$B$2004,$A57)=0,"",_xlfn.MAXIFS(アクションログ!$A$5:$A$2004,アクションログ!$B$5:$B$2004,$A57)))</f>
        <v/>
      </c>
      <c r="J57" s="16" t="str">
        <f aca="false">IF(OR($A57="",I57=""),"",設定!$C$4-I57)</f>
        <v/>
      </c>
      <c r="K57" s="16" t="str">
        <f aca="false">IF($A57="","",IFERROR(INDEX(設定!$D$14:$D$17,MATCH(F57,設定!$B$14:$B$17,0)),""))</f>
        <v/>
      </c>
      <c r="L57" s="15" t="str">
        <f aca="false">IF(OR($A57="",K57=""),"",IF(I57="",設定!$C$4,I57+K57))</f>
        <v/>
      </c>
      <c r="M57" s="17" t="str">
        <f aca="false">IF($A57="","",IF(F57="","ランク未設定",IF(I57="","未接触",IF(設定!$C$4&gt;L57,"期限超過",IF(L57-設定!$C$4&lt;=設定!$C$8,"今週連絡","OK")))))</f>
        <v/>
      </c>
      <c r="N57" s="15" t="str">
        <f aca="false">IF($A57="","",IF(_xlfn.MINIFS(アクションログ!$J$5:$J$2004,アクションログ!$B$5:$B$2004,$A57,アクションログ!$K$5:$K$2004,"&lt;&gt;済",アクションログ!$J$5:$J$2004,"&gt;0")=0,"",_xlfn.MINIFS(アクションログ!$J$5:$J$2004,アクションログ!$B$5:$B$2004,$A57,アクションログ!$K$5:$K$2004,"&lt;&gt;済",アクションログ!$J$5:$J$2004,"&gt;0")))</f>
        <v/>
      </c>
      <c r="O57" s="18" t="str">
        <f aca="false">IF(N57="","",IFERROR(INDEX(アクションログ!$I$5:$I$2004,MATCH($A57&amp;"|"&amp;N57,アクションログ!$L$5:$L$2004,0)),""))</f>
        <v/>
      </c>
      <c r="P57" s="16" t="str">
        <f aca="false">IF($A57="","",COUNTIFS(アクションログ!$B$5:$B$2004,$A57,アクションログ!$A$5:$A$2004,"&gt;="&amp;設定!$C$5))</f>
        <v/>
      </c>
      <c r="Q57" s="16" t="str">
        <f aca="false">IF($A57="","",SUMIFS(月次実績!$D$5:$D$3004,月次実績!$B$5:$B$3004,$A57,月次実績!$A$5:$A$3004,"&gt;="&amp;EDATE(設定!$C$5,-(設定!$C$6-1))))</f>
        <v/>
      </c>
      <c r="R57" s="16" t="str">
        <f aca="false">IF($A57="","",SUMIFS(月次実績!$D$5:$D$3004,月次実績!$B$5:$B$3004,$A57))</f>
        <v/>
      </c>
      <c r="S57" s="16" t="str">
        <f aca="false">IF($A57="","",SUMIFS(月次実績!$F$5:$F$3004,月次実績!$B$5:$B$3004,$A57))</f>
        <v/>
      </c>
      <c r="T57" s="19" t="str">
        <f aca="false">IF(OR($A57="",R57=0),"",S57/R57)</f>
        <v/>
      </c>
      <c r="U57" s="20" t="str">
        <f aca="false">IF($A57="","",SUMIFS(月次実績!$G$5:$G$3004,月次実績!$B$5:$B$3004,$A57))</f>
        <v/>
      </c>
      <c r="V57" s="17" t="str">
        <f aca="false">IF($A57="","",IF(Q57&gt;=設定!$C$7,"稼働中",IF(Q57&gt;=1,"低稼働","休眠")))</f>
        <v/>
      </c>
      <c r="W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15"/>
      <c r="H58" s="21"/>
      <c r="I58" s="15" t="str">
        <f aca="false">IF($A58="","",IF(_xlfn.MAXIFS(アクションログ!$A$5:$A$2004,アクションログ!$B$5:$B$2004,$A58)=0,"",_xlfn.MAXIFS(アクションログ!$A$5:$A$2004,アクションログ!$B$5:$B$2004,$A58)))</f>
        <v/>
      </c>
      <c r="J58" s="16" t="str">
        <f aca="false">IF(OR($A58="",I58=""),"",設定!$C$4-I58)</f>
        <v/>
      </c>
      <c r="K58" s="16" t="str">
        <f aca="false">IF($A58="","",IFERROR(INDEX(設定!$D$14:$D$17,MATCH(F58,設定!$B$14:$B$17,0)),""))</f>
        <v/>
      </c>
      <c r="L58" s="15" t="str">
        <f aca="false">IF(OR($A58="",K58=""),"",IF(I58="",設定!$C$4,I58+K58))</f>
        <v/>
      </c>
      <c r="M58" s="17" t="str">
        <f aca="false">IF($A58="","",IF(F58="","ランク未設定",IF(I58="","未接触",IF(設定!$C$4&gt;L58,"期限超過",IF(L58-設定!$C$4&lt;=設定!$C$8,"今週連絡","OK")))))</f>
        <v/>
      </c>
      <c r="N58" s="15" t="str">
        <f aca="false">IF($A58="","",IF(_xlfn.MINIFS(アクションログ!$J$5:$J$2004,アクションログ!$B$5:$B$2004,$A58,アクションログ!$K$5:$K$2004,"&lt;&gt;済",アクションログ!$J$5:$J$2004,"&gt;0")=0,"",_xlfn.MINIFS(アクションログ!$J$5:$J$2004,アクションログ!$B$5:$B$2004,$A58,アクションログ!$K$5:$K$2004,"&lt;&gt;済",アクションログ!$J$5:$J$2004,"&gt;0")))</f>
        <v/>
      </c>
      <c r="O58" s="18" t="str">
        <f aca="false">IF(N58="","",IFERROR(INDEX(アクションログ!$I$5:$I$2004,MATCH($A58&amp;"|"&amp;N58,アクションログ!$L$5:$L$2004,0)),""))</f>
        <v/>
      </c>
      <c r="P58" s="16" t="str">
        <f aca="false">IF($A58="","",COUNTIFS(アクションログ!$B$5:$B$2004,$A58,アクションログ!$A$5:$A$2004,"&gt;="&amp;設定!$C$5))</f>
        <v/>
      </c>
      <c r="Q58" s="16" t="str">
        <f aca="false">IF($A58="","",SUMIFS(月次実績!$D$5:$D$3004,月次実績!$B$5:$B$3004,$A58,月次実績!$A$5:$A$3004,"&gt;="&amp;EDATE(設定!$C$5,-(設定!$C$6-1))))</f>
        <v/>
      </c>
      <c r="R58" s="16" t="str">
        <f aca="false">IF($A58="","",SUMIFS(月次実績!$D$5:$D$3004,月次実績!$B$5:$B$3004,$A58))</f>
        <v/>
      </c>
      <c r="S58" s="16" t="str">
        <f aca="false">IF($A58="","",SUMIFS(月次実績!$F$5:$F$3004,月次実績!$B$5:$B$3004,$A58))</f>
        <v/>
      </c>
      <c r="T58" s="19" t="str">
        <f aca="false">IF(OR($A58="",R58=0),"",S58/R58)</f>
        <v/>
      </c>
      <c r="U58" s="20" t="str">
        <f aca="false">IF($A58="","",SUMIFS(月次実績!$G$5:$G$3004,月次実績!$B$5:$B$3004,$A58))</f>
        <v/>
      </c>
      <c r="V58" s="17" t="str">
        <f aca="false">IF($A58="","",IF(Q58&gt;=設定!$C$7,"稼働中",IF(Q58&gt;=1,"低稼働","休眠")))</f>
        <v/>
      </c>
      <c r="W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15"/>
      <c r="H59" s="21"/>
      <c r="I59" s="15" t="str">
        <f aca="false">IF($A59="","",IF(_xlfn.MAXIFS(アクションログ!$A$5:$A$2004,アクションログ!$B$5:$B$2004,$A59)=0,"",_xlfn.MAXIFS(アクションログ!$A$5:$A$2004,アクションログ!$B$5:$B$2004,$A59)))</f>
        <v/>
      </c>
      <c r="J59" s="16" t="str">
        <f aca="false">IF(OR($A59="",I59=""),"",設定!$C$4-I59)</f>
        <v/>
      </c>
      <c r="K59" s="16" t="str">
        <f aca="false">IF($A59="","",IFERROR(INDEX(設定!$D$14:$D$17,MATCH(F59,設定!$B$14:$B$17,0)),""))</f>
        <v/>
      </c>
      <c r="L59" s="15" t="str">
        <f aca="false">IF(OR($A59="",K59=""),"",IF(I59="",設定!$C$4,I59+K59))</f>
        <v/>
      </c>
      <c r="M59" s="17" t="str">
        <f aca="false">IF($A59="","",IF(F59="","ランク未設定",IF(I59="","未接触",IF(設定!$C$4&gt;L59,"期限超過",IF(L59-設定!$C$4&lt;=設定!$C$8,"今週連絡","OK")))))</f>
        <v/>
      </c>
      <c r="N59" s="15" t="str">
        <f aca="false">IF($A59="","",IF(_xlfn.MINIFS(アクションログ!$J$5:$J$2004,アクションログ!$B$5:$B$2004,$A59,アクションログ!$K$5:$K$2004,"&lt;&gt;済",アクションログ!$J$5:$J$2004,"&gt;0")=0,"",_xlfn.MINIFS(アクションログ!$J$5:$J$2004,アクションログ!$B$5:$B$2004,$A59,アクションログ!$K$5:$K$2004,"&lt;&gt;済",アクションログ!$J$5:$J$2004,"&gt;0")))</f>
        <v/>
      </c>
      <c r="O59" s="18" t="str">
        <f aca="false">IF(N59="","",IFERROR(INDEX(アクションログ!$I$5:$I$2004,MATCH($A59&amp;"|"&amp;N59,アクションログ!$L$5:$L$2004,0)),""))</f>
        <v/>
      </c>
      <c r="P59" s="16" t="str">
        <f aca="false">IF($A59="","",COUNTIFS(アクションログ!$B$5:$B$2004,$A59,アクションログ!$A$5:$A$2004,"&gt;="&amp;設定!$C$5))</f>
        <v/>
      </c>
      <c r="Q59" s="16" t="str">
        <f aca="false">IF($A59="","",SUMIFS(月次実績!$D$5:$D$3004,月次実績!$B$5:$B$3004,$A59,月次実績!$A$5:$A$3004,"&gt;="&amp;EDATE(設定!$C$5,-(設定!$C$6-1))))</f>
        <v/>
      </c>
      <c r="R59" s="16" t="str">
        <f aca="false">IF($A59="","",SUMIFS(月次実績!$D$5:$D$3004,月次実績!$B$5:$B$3004,$A59))</f>
        <v/>
      </c>
      <c r="S59" s="16" t="str">
        <f aca="false">IF($A59="","",SUMIFS(月次実績!$F$5:$F$3004,月次実績!$B$5:$B$3004,$A59))</f>
        <v/>
      </c>
      <c r="T59" s="19" t="str">
        <f aca="false">IF(OR($A59="",R59=0),"",S59/R59)</f>
        <v/>
      </c>
      <c r="U59" s="20" t="str">
        <f aca="false">IF($A59="","",SUMIFS(月次実績!$G$5:$G$3004,月次実績!$B$5:$B$3004,$A59))</f>
        <v/>
      </c>
      <c r="V59" s="17" t="str">
        <f aca="false">IF($A59="","",IF(Q59&gt;=設定!$C$7,"稼働中",IF(Q59&gt;=1,"低稼働","休眠")))</f>
        <v/>
      </c>
      <c r="W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15"/>
      <c r="H60" s="21"/>
      <c r="I60" s="15" t="str">
        <f aca="false">IF($A60="","",IF(_xlfn.MAXIFS(アクションログ!$A$5:$A$2004,アクションログ!$B$5:$B$2004,$A60)=0,"",_xlfn.MAXIFS(アクションログ!$A$5:$A$2004,アクションログ!$B$5:$B$2004,$A60)))</f>
        <v/>
      </c>
      <c r="J60" s="16" t="str">
        <f aca="false">IF(OR($A60="",I60=""),"",設定!$C$4-I60)</f>
        <v/>
      </c>
      <c r="K60" s="16" t="str">
        <f aca="false">IF($A60="","",IFERROR(INDEX(設定!$D$14:$D$17,MATCH(F60,設定!$B$14:$B$17,0)),""))</f>
        <v/>
      </c>
      <c r="L60" s="15" t="str">
        <f aca="false">IF(OR($A60="",K60=""),"",IF(I60="",設定!$C$4,I60+K60))</f>
        <v/>
      </c>
      <c r="M60" s="17" t="str">
        <f aca="false">IF($A60="","",IF(F60="","ランク未設定",IF(I60="","未接触",IF(設定!$C$4&gt;L60,"期限超過",IF(L60-設定!$C$4&lt;=設定!$C$8,"今週連絡","OK")))))</f>
        <v/>
      </c>
      <c r="N60" s="15" t="str">
        <f aca="false">IF($A60="","",IF(_xlfn.MINIFS(アクションログ!$J$5:$J$2004,アクションログ!$B$5:$B$2004,$A60,アクションログ!$K$5:$K$2004,"&lt;&gt;済",アクションログ!$J$5:$J$2004,"&gt;0")=0,"",_xlfn.MINIFS(アクションログ!$J$5:$J$2004,アクションログ!$B$5:$B$2004,$A60,アクションログ!$K$5:$K$2004,"&lt;&gt;済",アクションログ!$J$5:$J$2004,"&gt;0")))</f>
        <v/>
      </c>
      <c r="O60" s="18" t="str">
        <f aca="false">IF(N60="","",IFERROR(INDEX(アクションログ!$I$5:$I$2004,MATCH($A60&amp;"|"&amp;N60,アクションログ!$L$5:$L$2004,0)),""))</f>
        <v/>
      </c>
      <c r="P60" s="16" t="str">
        <f aca="false">IF($A60="","",COUNTIFS(アクションログ!$B$5:$B$2004,$A60,アクションログ!$A$5:$A$2004,"&gt;="&amp;設定!$C$5))</f>
        <v/>
      </c>
      <c r="Q60" s="16" t="str">
        <f aca="false">IF($A60="","",SUMIFS(月次実績!$D$5:$D$3004,月次実績!$B$5:$B$3004,$A60,月次実績!$A$5:$A$3004,"&gt;="&amp;EDATE(設定!$C$5,-(設定!$C$6-1))))</f>
        <v/>
      </c>
      <c r="R60" s="16" t="str">
        <f aca="false">IF($A60="","",SUMIFS(月次実績!$D$5:$D$3004,月次実績!$B$5:$B$3004,$A60))</f>
        <v/>
      </c>
      <c r="S60" s="16" t="str">
        <f aca="false">IF($A60="","",SUMIFS(月次実績!$F$5:$F$3004,月次実績!$B$5:$B$3004,$A60))</f>
        <v/>
      </c>
      <c r="T60" s="19" t="str">
        <f aca="false">IF(OR($A60="",R60=0),"",S60/R60)</f>
        <v/>
      </c>
      <c r="U60" s="20" t="str">
        <f aca="false">IF($A60="","",SUMIFS(月次実績!$G$5:$G$3004,月次実績!$B$5:$B$3004,$A60))</f>
        <v/>
      </c>
      <c r="V60" s="17" t="str">
        <f aca="false">IF($A60="","",IF(Q60&gt;=設定!$C$7,"稼働中",IF(Q60&gt;=1,"低稼働","休眠")))</f>
        <v/>
      </c>
      <c r="W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15"/>
      <c r="H61" s="21"/>
      <c r="I61" s="15" t="str">
        <f aca="false">IF($A61="","",IF(_xlfn.MAXIFS(アクションログ!$A$5:$A$2004,アクションログ!$B$5:$B$2004,$A61)=0,"",_xlfn.MAXIFS(アクションログ!$A$5:$A$2004,アクションログ!$B$5:$B$2004,$A61)))</f>
        <v/>
      </c>
      <c r="J61" s="16" t="str">
        <f aca="false">IF(OR($A61="",I61=""),"",設定!$C$4-I61)</f>
        <v/>
      </c>
      <c r="K61" s="16" t="str">
        <f aca="false">IF($A61="","",IFERROR(INDEX(設定!$D$14:$D$17,MATCH(F61,設定!$B$14:$B$17,0)),""))</f>
        <v/>
      </c>
      <c r="L61" s="15" t="str">
        <f aca="false">IF(OR($A61="",K61=""),"",IF(I61="",設定!$C$4,I61+K61))</f>
        <v/>
      </c>
      <c r="M61" s="17" t="str">
        <f aca="false">IF($A61="","",IF(F61="","ランク未設定",IF(I61="","未接触",IF(設定!$C$4&gt;L61,"期限超過",IF(L61-設定!$C$4&lt;=設定!$C$8,"今週連絡","OK")))))</f>
        <v/>
      </c>
      <c r="N61" s="15" t="str">
        <f aca="false">IF($A61="","",IF(_xlfn.MINIFS(アクションログ!$J$5:$J$2004,アクションログ!$B$5:$B$2004,$A61,アクションログ!$K$5:$K$2004,"&lt;&gt;済",アクションログ!$J$5:$J$2004,"&gt;0")=0,"",_xlfn.MINIFS(アクションログ!$J$5:$J$2004,アクションログ!$B$5:$B$2004,$A61,アクションログ!$K$5:$K$2004,"&lt;&gt;済",アクションログ!$J$5:$J$2004,"&gt;0")))</f>
        <v/>
      </c>
      <c r="O61" s="18" t="str">
        <f aca="false">IF(N61="","",IFERROR(INDEX(アクションログ!$I$5:$I$2004,MATCH($A61&amp;"|"&amp;N61,アクションログ!$L$5:$L$2004,0)),""))</f>
        <v/>
      </c>
      <c r="P61" s="16" t="str">
        <f aca="false">IF($A61="","",COUNTIFS(アクションログ!$B$5:$B$2004,$A61,アクションログ!$A$5:$A$2004,"&gt;="&amp;設定!$C$5))</f>
        <v/>
      </c>
      <c r="Q61" s="16" t="str">
        <f aca="false">IF($A61="","",SUMIFS(月次実績!$D$5:$D$3004,月次実績!$B$5:$B$3004,$A61,月次実績!$A$5:$A$3004,"&gt;="&amp;EDATE(設定!$C$5,-(設定!$C$6-1))))</f>
        <v/>
      </c>
      <c r="R61" s="16" t="str">
        <f aca="false">IF($A61="","",SUMIFS(月次実績!$D$5:$D$3004,月次実績!$B$5:$B$3004,$A61))</f>
        <v/>
      </c>
      <c r="S61" s="16" t="str">
        <f aca="false">IF($A61="","",SUMIFS(月次実績!$F$5:$F$3004,月次実績!$B$5:$B$3004,$A61))</f>
        <v/>
      </c>
      <c r="T61" s="19" t="str">
        <f aca="false">IF(OR($A61="",R61=0),"",S61/R61)</f>
        <v/>
      </c>
      <c r="U61" s="20" t="str">
        <f aca="false">IF($A61="","",SUMIFS(月次実績!$G$5:$G$3004,月次実績!$B$5:$B$3004,$A61))</f>
        <v/>
      </c>
      <c r="V61" s="17" t="str">
        <f aca="false">IF($A61="","",IF(Q61&gt;=設定!$C$7,"稼働中",IF(Q61&gt;=1,"低稼働","休眠")))</f>
        <v/>
      </c>
      <c r="W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15"/>
      <c r="H62" s="21"/>
      <c r="I62" s="15" t="str">
        <f aca="false">IF($A62="","",IF(_xlfn.MAXIFS(アクションログ!$A$5:$A$2004,アクションログ!$B$5:$B$2004,$A62)=0,"",_xlfn.MAXIFS(アクションログ!$A$5:$A$2004,アクションログ!$B$5:$B$2004,$A62)))</f>
        <v/>
      </c>
      <c r="J62" s="16" t="str">
        <f aca="false">IF(OR($A62="",I62=""),"",設定!$C$4-I62)</f>
        <v/>
      </c>
      <c r="K62" s="16" t="str">
        <f aca="false">IF($A62="","",IFERROR(INDEX(設定!$D$14:$D$17,MATCH(F62,設定!$B$14:$B$17,0)),""))</f>
        <v/>
      </c>
      <c r="L62" s="15" t="str">
        <f aca="false">IF(OR($A62="",K62=""),"",IF(I62="",設定!$C$4,I62+K62))</f>
        <v/>
      </c>
      <c r="M62" s="17" t="str">
        <f aca="false">IF($A62="","",IF(F62="","ランク未設定",IF(I62="","未接触",IF(設定!$C$4&gt;L62,"期限超過",IF(L62-設定!$C$4&lt;=設定!$C$8,"今週連絡","OK")))))</f>
        <v/>
      </c>
      <c r="N62" s="15" t="str">
        <f aca="false">IF($A62="","",IF(_xlfn.MINIFS(アクションログ!$J$5:$J$2004,アクションログ!$B$5:$B$2004,$A62,アクションログ!$K$5:$K$2004,"&lt;&gt;済",アクションログ!$J$5:$J$2004,"&gt;0")=0,"",_xlfn.MINIFS(アクションログ!$J$5:$J$2004,アクションログ!$B$5:$B$2004,$A62,アクションログ!$K$5:$K$2004,"&lt;&gt;済",アクションログ!$J$5:$J$2004,"&gt;0")))</f>
        <v/>
      </c>
      <c r="O62" s="18" t="str">
        <f aca="false">IF(N62="","",IFERROR(INDEX(アクションログ!$I$5:$I$2004,MATCH($A62&amp;"|"&amp;N62,アクションログ!$L$5:$L$2004,0)),""))</f>
        <v/>
      </c>
      <c r="P62" s="16" t="str">
        <f aca="false">IF($A62="","",COUNTIFS(アクションログ!$B$5:$B$2004,$A62,アクションログ!$A$5:$A$2004,"&gt;="&amp;設定!$C$5))</f>
        <v/>
      </c>
      <c r="Q62" s="16" t="str">
        <f aca="false">IF($A62="","",SUMIFS(月次実績!$D$5:$D$3004,月次実績!$B$5:$B$3004,$A62,月次実績!$A$5:$A$3004,"&gt;="&amp;EDATE(設定!$C$5,-(設定!$C$6-1))))</f>
        <v/>
      </c>
      <c r="R62" s="16" t="str">
        <f aca="false">IF($A62="","",SUMIFS(月次実績!$D$5:$D$3004,月次実績!$B$5:$B$3004,$A62))</f>
        <v/>
      </c>
      <c r="S62" s="16" t="str">
        <f aca="false">IF($A62="","",SUMIFS(月次実績!$F$5:$F$3004,月次実績!$B$5:$B$3004,$A62))</f>
        <v/>
      </c>
      <c r="T62" s="19" t="str">
        <f aca="false">IF(OR($A62="",R62=0),"",S62/R62)</f>
        <v/>
      </c>
      <c r="U62" s="20" t="str">
        <f aca="false">IF($A62="","",SUMIFS(月次実績!$G$5:$G$3004,月次実績!$B$5:$B$3004,$A62))</f>
        <v/>
      </c>
      <c r="V62" s="17" t="str">
        <f aca="false">IF($A62="","",IF(Q62&gt;=設定!$C$7,"稼働中",IF(Q62&gt;=1,"低稼働","休眠")))</f>
        <v/>
      </c>
      <c r="W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15"/>
      <c r="H63" s="21"/>
      <c r="I63" s="15" t="str">
        <f aca="false">IF($A63="","",IF(_xlfn.MAXIFS(アクションログ!$A$5:$A$2004,アクションログ!$B$5:$B$2004,$A63)=0,"",_xlfn.MAXIFS(アクションログ!$A$5:$A$2004,アクションログ!$B$5:$B$2004,$A63)))</f>
        <v/>
      </c>
      <c r="J63" s="16" t="str">
        <f aca="false">IF(OR($A63="",I63=""),"",設定!$C$4-I63)</f>
        <v/>
      </c>
      <c r="K63" s="16" t="str">
        <f aca="false">IF($A63="","",IFERROR(INDEX(設定!$D$14:$D$17,MATCH(F63,設定!$B$14:$B$17,0)),""))</f>
        <v/>
      </c>
      <c r="L63" s="15" t="str">
        <f aca="false">IF(OR($A63="",K63=""),"",IF(I63="",設定!$C$4,I63+K63))</f>
        <v/>
      </c>
      <c r="M63" s="17" t="str">
        <f aca="false">IF($A63="","",IF(F63="","ランク未設定",IF(I63="","未接触",IF(設定!$C$4&gt;L63,"期限超過",IF(L63-設定!$C$4&lt;=設定!$C$8,"今週連絡","OK")))))</f>
        <v/>
      </c>
      <c r="N63" s="15" t="str">
        <f aca="false">IF($A63="","",IF(_xlfn.MINIFS(アクションログ!$J$5:$J$2004,アクションログ!$B$5:$B$2004,$A63,アクションログ!$K$5:$K$2004,"&lt;&gt;済",アクションログ!$J$5:$J$2004,"&gt;0")=0,"",_xlfn.MINIFS(アクションログ!$J$5:$J$2004,アクションログ!$B$5:$B$2004,$A63,アクションログ!$K$5:$K$2004,"&lt;&gt;済",アクションログ!$J$5:$J$2004,"&gt;0")))</f>
        <v/>
      </c>
      <c r="O63" s="18" t="str">
        <f aca="false">IF(N63="","",IFERROR(INDEX(アクションログ!$I$5:$I$2004,MATCH($A63&amp;"|"&amp;N63,アクションログ!$L$5:$L$2004,0)),""))</f>
        <v/>
      </c>
      <c r="P63" s="16" t="str">
        <f aca="false">IF($A63="","",COUNTIFS(アクションログ!$B$5:$B$2004,$A63,アクションログ!$A$5:$A$2004,"&gt;="&amp;設定!$C$5))</f>
        <v/>
      </c>
      <c r="Q63" s="16" t="str">
        <f aca="false">IF($A63="","",SUMIFS(月次実績!$D$5:$D$3004,月次実績!$B$5:$B$3004,$A63,月次実績!$A$5:$A$3004,"&gt;="&amp;EDATE(設定!$C$5,-(設定!$C$6-1))))</f>
        <v/>
      </c>
      <c r="R63" s="16" t="str">
        <f aca="false">IF($A63="","",SUMIFS(月次実績!$D$5:$D$3004,月次実績!$B$5:$B$3004,$A63))</f>
        <v/>
      </c>
      <c r="S63" s="16" t="str">
        <f aca="false">IF($A63="","",SUMIFS(月次実績!$F$5:$F$3004,月次実績!$B$5:$B$3004,$A63))</f>
        <v/>
      </c>
      <c r="T63" s="19" t="str">
        <f aca="false">IF(OR($A63="",R63=0),"",S63/R63)</f>
        <v/>
      </c>
      <c r="U63" s="20" t="str">
        <f aca="false">IF($A63="","",SUMIFS(月次実績!$G$5:$G$3004,月次実績!$B$5:$B$3004,$A63))</f>
        <v/>
      </c>
      <c r="V63" s="17" t="str">
        <f aca="false">IF($A63="","",IF(Q63&gt;=設定!$C$7,"稼働中",IF(Q63&gt;=1,"低稼働","休眠")))</f>
        <v/>
      </c>
      <c r="W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15"/>
      <c r="H64" s="21"/>
      <c r="I64" s="15" t="str">
        <f aca="false">IF($A64="","",IF(_xlfn.MAXIFS(アクションログ!$A$5:$A$2004,アクションログ!$B$5:$B$2004,$A64)=0,"",_xlfn.MAXIFS(アクションログ!$A$5:$A$2004,アクションログ!$B$5:$B$2004,$A64)))</f>
        <v/>
      </c>
      <c r="J64" s="16" t="str">
        <f aca="false">IF(OR($A64="",I64=""),"",設定!$C$4-I64)</f>
        <v/>
      </c>
      <c r="K64" s="16" t="str">
        <f aca="false">IF($A64="","",IFERROR(INDEX(設定!$D$14:$D$17,MATCH(F64,設定!$B$14:$B$17,0)),""))</f>
        <v/>
      </c>
      <c r="L64" s="15" t="str">
        <f aca="false">IF(OR($A64="",K64=""),"",IF(I64="",設定!$C$4,I64+K64))</f>
        <v/>
      </c>
      <c r="M64" s="17" t="str">
        <f aca="false">IF($A64="","",IF(F64="","ランク未設定",IF(I64="","未接触",IF(設定!$C$4&gt;L64,"期限超過",IF(L64-設定!$C$4&lt;=設定!$C$8,"今週連絡","OK")))))</f>
        <v/>
      </c>
      <c r="N64" s="15" t="str">
        <f aca="false">IF($A64="","",IF(_xlfn.MINIFS(アクションログ!$J$5:$J$2004,アクションログ!$B$5:$B$2004,$A64,アクションログ!$K$5:$K$2004,"&lt;&gt;済",アクションログ!$J$5:$J$2004,"&gt;0")=0,"",_xlfn.MINIFS(アクションログ!$J$5:$J$2004,アクションログ!$B$5:$B$2004,$A64,アクションログ!$K$5:$K$2004,"&lt;&gt;済",アクションログ!$J$5:$J$2004,"&gt;0")))</f>
        <v/>
      </c>
      <c r="O64" s="18" t="str">
        <f aca="false">IF(N64="","",IFERROR(INDEX(アクションログ!$I$5:$I$2004,MATCH($A64&amp;"|"&amp;N64,アクションログ!$L$5:$L$2004,0)),""))</f>
        <v/>
      </c>
      <c r="P64" s="16" t="str">
        <f aca="false">IF($A64="","",COUNTIFS(アクションログ!$B$5:$B$2004,$A64,アクションログ!$A$5:$A$2004,"&gt;="&amp;設定!$C$5))</f>
        <v/>
      </c>
      <c r="Q64" s="16" t="str">
        <f aca="false">IF($A64="","",SUMIFS(月次実績!$D$5:$D$3004,月次実績!$B$5:$B$3004,$A64,月次実績!$A$5:$A$3004,"&gt;="&amp;EDATE(設定!$C$5,-(設定!$C$6-1))))</f>
        <v/>
      </c>
      <c r="R64" s="16" t="str">
        <f aca="false">IF($A64="","",SUMIFS(月次実績!$D$5:$D$3004,月次実績!$B$5:$B$3004,$A64))</f>
        <v/>
      </c>
      <c r="S64" s="16" t="str">
        <f aca="false">IF($A64="","",SUMIFS(月次実績!$F$5:$F$3004,月次実績!$B$5:$B$3004,$A64))</f>
        <v/>
      </c>
      <c r="T64" s="19" t="str">
        <f aca="false">IF(OR($A64="",R64=0),"",S64/R64)</f>
        <v/>
      </c>
      <c r="U64" s="20" t="str">
        <f aca="false">IF($A64="","",SUMIFS(月次実績!$G$5:$G$3004,月次実績!$B$5:$B$3004,$A64))</f>
        <v/>
      </c>
      <c r="V64" s="17" t="str">
        <f aca="false">IF($A64="","",IF(Q64&gt;=設定!$C$7,"稼働中",IF(Q64&gt;=1,"低稼働","休眠")))</f>
        <v/>
      </c>
      <c r="W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15"/>
      <c r="H65" s="21"/>
      <c r="I65" s="15" t="str">
        <f aca="false">IF($A65="","",IF(_xlfn.MAXIFS(アクションログ!$A$5:$A$2004,アクションログ!$B$5:$B$2004,$A65)=0,"",_xlfn.MAXIFS(アクションログ!$A$5:$A$2004,アクションログ!$B$5:$B$2004,$A65)))</f>
        <v/>
      </c>
      <c r="J65" s="16" t="str">
        <f aca="false">IF(OR($A65="",I65=""),"",設定!$C$4-I65)</f>
        <v/>
      </c>
      <c r="K65" s="16" t="str">
        <f aca="false">IF($A65="","",IFERROR(INDEX(設定!$D$14:$D$17,MATCH(F65,設定!$B$14:$B$17,0)),""))</f>
        <v/>
      </c>
      <c r="L65" s="15" t="str">
        <f aca="false">IF(OR($A65="",K65=""),"",IF(I65="",設定!$C$4,I65+K65))</f>
        <v/>
      </c>
      <c r="M65" s="17" t="str">
        <f aca="false">IF($A65="","",IF(F65="","ランク未設定",IF(I65="","未接触",IF(設定!$C$4&gt;L65,"期限超過",IF(L65-設定!$C$4&lt;=設定!$C$8,"今週連絡","OK")))))</f>
        <v/>
      </c>
      <c r="N65" s="15" t="str">
        <f aca="false">IF($A65="","",IF(_xlfn.MINIFS(アクションログ!$J$5:$J$2004,アクションログ!$B$5:$B$2004,$A65,アクションログ!$K$5:$K$2004,"&lt;&gt;済",アクションログ!$J$5:$J$2004,"&gt;0")=0,"",_xlfn.MINIFS(アクションログ!$J$5:$J$2004,アクションログ!$B$5:$B$2004,$A65,アクションログ!$K$5:$K$2004,"&lt;&gt;済",アクションログ!$J$5:$J$2004,"&gt;0")))</f>
        <v/>
      </c>
      <c r="O65" s="18" t="str">
        <f aca="false">IF(N65="","",IFERROR(INDEX(アクションログ!$I$5:$I$2004,MATCH($A65&amp;"|"&amp;N65,アクションログ!$L$5:$L$2004,0)),""))</f>
        <v/>
      </c>
      <c r="P65" s="16" t="str">
        <f aca="false">IF($A65="","",COUNTIFS(アクションログ!$B$5:$B$2004,$A65,アクションログ!$A$5:$A$2004,"&gt;="&amp;設定!$C$5))</f>
        <v/>
      </c>
      <c r="Q65" s="16" t="str">
        <f aca="false">IF($A65="","",SUMIFS(月次実績!$D$5:$D$3004,月次実績!$B$5:$B$3004,$A65,月次実績!$A$5:$A$3004,"&gt;="&amp;EDATE(設定!$C$5,-(設定!$C$6-1))))</f>
        <v/>
      </c>
      <c r="R65" s="16" t="str">
        <f aca="false">IF($A65="","",SUMIFS(月次実績!$D$5:$D$3004,月次実績!$B$5:$B$3004,$A65))</f>
        <v/>
      </c>
      <c r="S65" s="16" t="str">
        <f aca="false">IF($A65="","",SUMIFS(月次実績!$F$5:$F$3004,月次実績!$B$5:$B$3004,$A65))</f>
        <v/>
      </c>
      <c r="T65" s="19" t="str">
        <f aca="false">IF(OR($A65="",R65=0),"",S65/R65)</f>
        <v/>
      </c>
      <c r="U65" s="20" t="str">
        <f aca="false">IF($A65="","",SUMIFS(月次実績!$G$5:$G$3004,月次実績!$B$5:$B$3004,$A65))</f>
        <v/>
      </c>
      <c r="V65" s="17" t="str">
        <f aca="false">IF($A65="","",IF(Q65&gt;=設定!$C$7,"稼働中",IF(Q65&gt;=1,"低稼働","休眠")))</f>
        <v/>
      </c>
      <c r="W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15"/>
      <c r="H66" s="21"/>
      <c r="I66" s="15" t="str">
        <f aca="false">IF($A66="","",IF(_xlfn.MAXIFS(アクションログ!$A$5:$A$2004,アクションログ!$B$5:$B$2004,$A66)=0,"",_xlfn.MAXIFS(アクションログ!$A$5:$A$2004,アクションログ!$B$5:$B$2004,$A66)))</f>
        <v/>
      </c>
      <c r="J66" s="16" t="str">
        <f aca="false">IF(OR($A66="",I66=""),"",設定!$C$4-I66)</f>
        <v/>
      </c>
      <c r="K66" s="16" t="str">
        <f aca="false">IF($A66="","",IFERROR(INDEX(設定!$D$14:$D$17,MATCH(F66,設定!$B$14:$B$17,0)),""))</f>
        <v/>
      </c>
      <c r="L66" s="15" t="str">
        <f aca="false">IF(OR($A66="",K66=""),"",IF(I66="",設定!$C$4,I66+K66))</f>
        <v/>
      </c>
      <c r="M66" s="17" t="str">
        <f aca="false">IF($A66="","",IF(F66="","ランク未設定",IF(I66="","未接触",IF(設定!$C$4&gt;L66,"期限超過",IF(L66-設定!$C$4&lt;=設定!$C$8,"今週連絡","OK")))))</f>
        <v/>
      </c>
      <c r="N66" s="15" t="str">
        <f aca="false">IF($A66="","",IF(_xlfn.MINIFS(アクションログ!$J$5:$J$2004,アクションログ!$B$5:$B$2004,$A66,アクションログ!$K$5:$K$2004,"&lt;&gt;済",アクションログ!$J$5:$J$2004,"&gt;0")=0,"",_xlfn.MINIFS(アクションログ!$J$5:$J$2004,アクションログ!$B$5:$B$2004,$A66,アクションログ!$K$5:$K$2004,"&lt;&gt;済",アクションログ!$J$5:$J$2004,"&gt;0")))</f>
        <v/>
      </c>
      <c r="O66" s="18" t="str">
        <f aca="false">IF(N66="","",IFERROR(INDEX(アクションログ!$I$5:$I$2004,MATCH($A66&amp;"|"&amp;N66,アクションログ!$L$5:$L$2004,0)),""))</f>
        <v/>
      </c>
      <c r="P66" s="16" t="str">
        <f aca="false">IF($A66="","",COUNTIFS(アクションログ!$B$5:$B$2004,$A66,アクションログ!$A$5:$A$2004,"&gt;="&amp;設定!$C$5))</f>
        <v/>
      </c>
      <c r="Q66" s="16" t="str">
        <f aca="false">IF($A66="","",SUMIFS(月次実績!$D$5:$D$3004,月次実績!$B$5:$B$3004,$A66,月次実績!$A$5:$A$3004,"&gt;="&amp;EDATE(設定!$C$5,-(設定!$C$6-1))))</f>
        <v/>
      </c>
      <c r="R66" s="16" t="str">
        <f aca="false">IF($A66="","",SUMIFS(月次実績!$D$5:$D$3004,月次実績!$B$5:$B$3004,$A66))</f>
        <v/>
      </c>
      <c r="S66" s="16" t="str">
        <f aca="false">IF($A66="","",SUMIFS(月次実績!$F$5:$F$3004,月次実績!$B$5:$B$3004,$A66))</f>
        <v/>
      </c>
      <c r="T66" s="19" t="str">
        <f aca="false">IF(OR($A66="",R66=0),"",S66/R66)</f>
        <v/>
      </c>
      <c r="U66" s="20" t="str">
        <f aca="false">IF($A66="","",SUMIFS(月次実績!$G$5:$G$3004,月次実績!$B$5:$B$3004,$A66))</f>
        <v/>
      </c>
      <c r="V66" s="17" t="str">
        <f aca="false">IF($A66="","",IF(Q66&gt;=設定!$C$7,"稼働中",IF(Q66&gt;=1,"低稼働","休眠")))</f>
        <v/>
      </c>
      <c r="W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15"/>
      <c r="H67" s="21"/>
      <c r="I67" s="15" t="str">
        <f aca="false">IF($A67="","",IF(_xlfn.MAXIFS(アクションログ!$A$5:$A$2004,アクションログ!$B$5:$B$2004,$A67)=0,"",_xlfn.MAXIFS(アクションログ!$A$5:$A$2004,アクションログ!$B$5:$B$2004,$A67)))</f>
        <v/>
      </c>
      <c r="J67" s="16" t="str">
        <f aca="false">IF(OR($A67="",I67=""),"",設定!$C$4-I67)</f>
        <v/>
      </c>
      <c r="K67" s="16" t="str">
        <f aca="false">IF($A67="","",IFERROR(INDEX(設定!$D$14:$D$17,MATCH(F67,設定!$B$14:$B$17,0)),""))</f>
        <v/>
      </c>
      <c r="L67" s="15" t="str">
        <f aca="false">IF(OR($A67="",K67=""),"",IF(I67="",設定!$C$4,I67+K67))</f>
        <v/>
      </c>
      <c r="M67" s="17" t="str">
        <f aca="false">IF($A67="","",IF(F67="","ランク未設定",IF(I67="","未接触",IF(設定!$C$4&gt;L67,"期限超過",IF(L67-設定!$C$4&lt;=設定!$C$8,"今週連絡","OK")))))</f>
        <v/>
      </c>
      <c r="N67" s="15" t="str">
        <f aca="false">IF($A67="","",IF(_xlfn.MINIFS(アクションログ!$J$5:$J$2004,アクションログ!$B$5:$B$2004,$A67,アクションログ!$K$5:$K$2004,"&lt;&gt;済",アクションログ!$J$5:$J$2004,"&gt;0")=0,"",_xlfn.MINIFS(アクションログ!$J$5:$J$2004,アクションログ!$B$5:$B$2004,$A67,アクションログ!$K$5:$K$2004,"&lt;&gt;済",アクションログ!$J$5:$J$2004,"&gt;0")))</f>
        <v/>
      </c>
      <c r="O67" s="18" t="str">
        <f aca="false">IF(N67="","",IFERROR(INDEX(アクションログ!$I$5:$I$2004,MATCH($A67&amp;"|"&amp;N67,アクションログ!$L$5:$L$2004,0)),""))</f>
        <v/>
      </c>
      <c r="P67" s="16" t="str">
        <f aca="false">IF($A67="","",COUNTIFS(アクションログ!$B$5:$B$2004,$A67,アクションログ!$A$5:$A$2004,"&gt;="&amp;設定!$C$5))</f>
        <v/>
      </c>
      <c r="Q67" s="16" t="str">
        <f aca="false">IF($A67="","",SUMIFS(月次実績!$D$5:$D$3004,月次実績!$B$5:$B$3004,$A67,月次実績!$A$5:$A$3004,"&gt;="&amp;EDATE(設定!$C$5,-(設定!$C$6-1))))</f>
        <v/>
      </c>
      <c r="R67" s="16" t="str">
        <f aca="false">IF($A67="","",SUMIFS(月次実績!$D$5:$D$3004,月次実績!$B$5:$B$3004,$A67))</f>
        <v/>
      </c>
      <c r="S67" s="16" t="str">
        <f aca="false">IF($A67="","",SUMIFS(月次実績!$F$5:$F$3004,月次実績!$B$5:$B$3004,$A67))</f>
        <v/>
      </c>
      <c r="T67" s="19" t="str">
        <f aca="false">IF(OR($A67="",R67=0),"",S67/R67)</f>
        <v/>
      </c>
      <c r="U67" s="20" t="str">
        <f aca="false">IF($A67="","",SUMIFS(月次実績!$G$5:$G$3004,月次実績!$B$5:$B$3004,$A67))</f>
        <v/>
      </c>
      <c r="V67" s="17" t="str">
        <f aca="false">IF($A67="","",IF(Q67&gt;=設定!$C$7,"稼働中",IF(Q67&gt;=1,"低稼働","休眠")))</f>
        <v/>
      </c>
      <c r="W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15"/>
      <c r="H68" s="21"/>
      <c r="I68" s="15" t="str">
        <f aca="false">IF($A68="","",IF(_xlfn.MAXIFS(アクションログ!$A$5:$A$2004,アクションログ!$B$5:$B$2004,$A68)=0,"",_xlfn.MAXIFS(アクションログ!$A$5:$A$2004,アクションログ!$B$5:$B$2004,$A68)))</f>
        <v/>
      </c>
      <c r="J68" s="16" t="str">
        <f aca="false">IF(OR($A68="",I68=""),"",設定!$C$4-I68)</f>
        <v/>
      </c>
      <c r="K68" s="16" t="str">
        <f aca="false">IF($A68="","",IFERROR(INDEX(設定!$D$14:$D$17,MATCH(F68,設定!$B$14:$B$17,0)),""))</f>
        <v/>
      </c>
      <c r="L68" s="15" t="str">
        <f aca="false">IF(OR($A68="",K68=""),"",IF(I68="",設定!$C$4,I68+K68))</f>
        <v/>
      </c>
      <c r="M68" s="17" t="str">
        <f aca="false">IF($A68="","",IF(F68="","ランク未設定",IF(I68="","未接触",IF(設定!$C$4&gt;L68,"期限超過",IF(L68-設定!$C$4&lt;=設定!$C$8,"今週連絡","OK")))))</f>
        <v/>
      </c>
      <c r="N68" s="15" t="str">
        <f aca="false">IF($A68="","",IF(_xlfn.MINIFS(アクションログ!$J$5:$J$2004,アクションログ!$B$5:$B$2004,$A68,アクションログ!$K$5:$K$2004,"&lt;&gt;済",アクションログ!$J$5:$J$2004,"&gt;0")=0,"",_xlfn.MINIFS(アクションログ!$J$5:$J$2004,アクションログ!$B$5:$B$2004,$A68,アクションログ!$K$5:$K$2004,"&lt;&gt;済",アクションログ!$J$5:$J$2004,"&gt;0")))</f>
        <v/>
      </c>
      <c r="O68" s="18" t="str">
        <f aca="false">IF(N68="","",IFERROR(INDEX(アクションログ!$I$5:$I$2004,MATCH($A68&amp;"|"&amp;N68,アクションログ!$L$5:$L$2004,0)),""))</f>
        <v/>
      </c>
      <c r="P68" s="16" t="str">
        <f aca="false">IF($A68="","",COUNTIFS(アクションログ!$B$5:$B$2004,$A68,アクションログ!$A$5:$A$2004,"&gt;="&amp;設定!$C$5))</f>
        <v/>
      </c>
      <c r="Q68" s="16" t="str">
        <f aca="false">IF($A68="","",SUMIFS(月次実績!$D$5:$D$3004,月次実績!$B$5:$B$3004,$A68,月次実績!$A$5:$A$3004,"&gt;="&amp;EDATE(設定!$C$5,-(設定!$C$6-1))))</f>
        <v/>
      </c>
      <c r="R68" s="16" t="str">
        <f aca="false">IF($A68="","",SUMIFS(月次実績!$D$5:$D$3004,月次実績!$B$5:$B$3004,$A68))</f>
        <v/>
      </c>
      <c r="S68" s="16" t="str">
        <f aca="false">IF($A68="","",SUMIFS(月次実績!$F$5:$F$3004,月次実績!$B$5:$B$3004,$A68))</f>
        <v/>
      </c>
      <c r="T68" s="19" t="str">
        <f aca="false">IF(OR($A68="",R68=0),"",S68/R68)</f>
        <v/>
      </c>
      <c r="U68" s="20" t="str">
        <f aca="false">IF($A68="","",SUMIFS(月次実績!$G$5:$G$3004,月次実績!$B$5:$B$3004,$A68))</f>
        <v/>
      </c>
      <c r="V68" s="17" t="str">
        <f aca="false">IF($A68="","",IF(Q68&gt;=設定!$C$7,"稼働中",IF(Q68&gt;=1,"低稼働","休眠")))</f>
        <v/>
      </c>
      <c r="W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15"/>
      <c r="H69" s="21"/>
      <c r="I69" s="15" t="str">
        <f aca="false">IF($A69="","",IF(_xlfn.MAXIFS(アクションログ!$A$5:$A$2004,アクションログ!$B$5:$B$2004,$A69)=0,"",_xlfn.MAXIFS(アクションログ!$A$5:$A$2004,アクションログ!$B$5:$B$2004,$A69)))</f>
        <v/>
      </c>
      <c r="J69" s="16" t="str">
        <f aca="false">IF(OR($A69="",I69=""),"",設定!$C$4-I69)</f>
        <v/>
      </c>
      <c r="K69" s="16" t="str">
        <f aca="false">IF($A69="","",IFERROR(INDEX(設定!$D$14:$D$17,MATCH(F69,設定!$B$14:$B$17,0)),""))</f>
        <v/>
      </c>
      <c r="L69" s="15" t="str">
        <f aca="false">IF(OR($A69="",K69=""),"",IF(I69="",設定!$C$4,I69+K69))</f>
        <v/>
      </c>
      <c r="M69" s="17" t="str">
        <f aca="false">IF($A69="","",IF(F69="","ランク未設定",IF(I69="","未接触",IF(設定!$C$4&gt;L69,"期限超過",IF(L69-設定!$C$4&lt;=設定!$C$8,"今週連絡","OK")))))</f>
        <v/>
      </c>
      <c r="N69" s="15" t="str">
        <f aca="false">IF($A69="","",IF(_xlfn.MINIFS(アクションログ!$J$5:$J$2004,アクションログ!$B$5:$B$2004,$A69,アクションログ!$K$5:$K$2004,"&lt;&gt;済",アクションログ!$J$5:$J$2004,"&gt;0")=0,"",_xlfn.MINIFS(アクションログ!$J$5:$J$2004,アクションログ!$B$5:$B$2004,$A69,アクションログ!$K$5:$K$2004,"&lt;&gt;済",アクションログ!$J$5:$J$2004,"&gt;0")))</f>
        <v/>
      </c>
      <c r="O69" s="18" t="str">
        <f aca="false">IF(N69="","",IFERROR(INDEX(アクションログ!$I$5:$I$2004,MATCH($A69&amp;"|"&amp;N69,アクションログ!$L$5:$L$2004,0)),""))</f>
        <v/>
      </c>
      <c r="P69" s="16" t="str">
        <f aca="false">IF($A69="","",COUNTIFS(アクションログ!$B$5:$B$2004,$A69,アクションログ!$A$5:$A$2004,"&gt;="&amp;設定!$C$5))</f>
        <v/>
      </c>
      <c r="Q69" s="16" t="str">
        <f aca="false">IF($A69="","",SUMIFS(月次実績!$D$5:$D$3004,月次実績!$B$5:$B$3004,$A69,月次実績!$A$5:$A$3004,"&gt;="&amp;EDATE(設定!$C$5,-(設定!$C$6-1))))</f>
        <v/>
      </c>
      <c r="R69" s="16" t="str">
        <f aca="false">IF($A69="","",SUMIFS(月次実績!$D$5:$D$3004,月次実績!$B$5:$B$3004,$A69))</f>
        <v/>
      </c>
      <c r="S69" s="16" t="str">
        <f aca="false">IF($A69="","",SUMIFS(月次実績!$F$5:$F$3004,月次実績!$B$5:$B$3004,$A69))</f>
        <v/>
      </c>
      <c r="T69" s="19" t="str">
        <f aca="false">IF(OR($A69="",R69=0),"",S69/R69)</f>
        <v/>
      </c>
      <c r="U69" s="20" t="str">
        <f aca="false">IF($A69="","",SUMIFS(月次実績!$G$5:$G$3004,月次実績!$B$5:$B$3004,$A69))</f>
        <v/>
      </c>
      <c r="V69" s="17" t="str">
        <f aca="false">IF($A69="","",IF(Q69&gt;=設定!$C$7,"稼働中",IF(Q69&gt;=1,"低稼働","休眠")))</f>
        <v/>
      </c>
      <c r="W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15"/>
      <c r="H70" s="21"/>
      <c r="I70" s="15" t="str">
        <f aca="false">IF($A70="","",IF(_xlfn.MAXIFS(アクションログ!$A$5:$A$2004,アクションログ!$B$5:$B$2004,$A70)=0,"",_xlfn.MAXIFS(アクションログ!$A$5:$A$2004,アクションログ!$B$5:$B$2004,$A70)))</f>
        <v/>
      </c>
      <c r="J70" s="16" t="str">
        <f aca="false">IF(OR($A70="",I70=""),"",設定!$C$4-I70)</f>
        <v/>
      </c>
      <c r="K70" s="16" t="str">
        <f aca="false">IF($A70="","",IFERROR(INDEX(設定!$D$14:$D$17,MATCH(F70,設定!$B$14:$B$17,0)),""))</f>
        <v/>
      </c>
      <c r="L70" s="15" t="str">
        <f aca="false">IF(OR($A70="",K70=""),"",IF(I70="",設定!$C$4,I70+K70))</f>
        <v/>
      </c>
      <c r="M70" s="17" t="str">
        <f aca="false">IF($A70="","",IF(F70="","ランク未設定",IF(I70="","未接触",IF(設定!$C$4&gt;L70,"期限超過",IF(L70-設定!$C$4&lt;=設定!$C$8,"今週連絡","OK")))))</f>
        <v/>
      </c>
      <c r="N70" s="15" t="str">
        <f aca="false">IF($A70="","",IF(_xlfn.MINIFS(アクションログ!$J$5:$J$2004,アクションログ!$B$5:$B$2004,$A70,アクションログ!$K$5:$K$2004,"&lt;&gt;済",アクションログ!$J$5:$J$2004,"&gt;0")=0,"",_xlfn.MINIFS(アクションログ!$J$5:$J$2004,アクションログ!$B$5:$B$2004,$A70,アクションログ!$K$5:$K$2004,"&lt;&gt;済",アクションログ!$J$5:$J$2004,"&gt;0")))</f>
        <v/>
      </c>
      <c r="O70" s="18" t="str">
        <f aca="false">IF(N70="","",IFERROR(INDEX(アクションログ!$I$5:$I$2004,MATCH($A70&amp;"|"&amp;N70,アクションログ!$L$5:$L$2004,0)),""))</f>
        <v/>
      </c>
      <c r="P70" s="16" t="str">
        <f aca="false">IF($A70="","",COUNTIFS(アクションログ!$B$5:$B$2004,$A70,アクションログ!$A$5:$A$2004,"&gt;="&amp;設定!$C$5))</f>
        <v/>
      </c>
      <c r="Q70" s="16" t="str">
        <f aca="false">IF($A70="","",SUMIFS(月次実績!$D$5:$D$3004,月次実績!$B$5:$B$3004,$A70,月次実績!$A$5:$A$3004,"&gt;="&amp;EDATE(設定!$C$5,-(設定!$C$6-1))))</f>
        <v/>
      </c>
      <c r="R70" s="16" t="str">
        <f aca="false">IF($A70="","",SUMIFS(月次実績!$D$5:$D$3004,月次実績!$B$5:$B$3004,$A70))</f>
        <v/>
      </c>
      <c r="S70" s="16" t="str">
        <f aca="false">IF($A70="","",SUMIFS(月次実績!$F$5:$F$3004,月次実績!$B$5:$B$3004,$A70))</f>
        <v/>
      </c>
      <c r="T70" s="19" t="str">
        <f aca="false">IF(OR($A70="",R70=0),"",S70/R70)</f>
        <v/>
      </c>
      <c r="U70" s="20" t="str">
        <f aca="false">IF($A70="","",SUMIFS(月次実績!$G$5:$G$3004,月次実績!$B$5:$B$3004,$A70))</f>
        <v/>
      </c>
      <c r="V70" s="17" t="str">
        <f aca="false">IF($A70="","",IF(Q70&gt;=設定!$C$7,"稼働中",IF(Q70&gt;=1,"低稼働","休眠")))</f>
        <v/>
      </c>
      <c r="W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15"/>
      <c r="H71" s="21"/>
      <c r="I71" s="15" t="str">
        <f aca="false">IF($A71="","",IF(_xlfn.MAXIFS(アクションログ!$A$5:$A$2004,アクションログ!$B$5:$B$2004,$A71)=0,"",_xlfn.MAXIFS(アクションログ!$A$5:$A$2004,アクションログ!$B$5:$B$2004,$A71)))</f>
        <v/>
      </c>
      <c r="J71" s="16" t="str">
        <f aca="false">IF(OR($A71="",I71=""),"",設定!$C$4-I71)</f>
        <v/>
      </c>
      <c r="K71" s="16" t="str">
        <f aca="false">IF($A71="","",IFERROR(INDEX(設定!$D$14:$D$17,MATCH(F71,設定!$B$14:$B$17,0)),""))</f>
        <v/>
      </c>
      <c r="L71" s="15" t="str">
        <f aca="false">IF(OR($A71="",K71=""),"",IF(I71="",設定!$C$4,I71+K71))</f>
        <v/>
      </c>
      <c r="M71" s="17" t="str">
        <f aca="false">IF($A71="","",IF(F71="","ランク未設定",IF(I71="","未接触",IF(設定!$C$4&gt;L71,"期限超過",IF(L71-設定!$C$4&lt;=設定!$C$8,"今週連絡","OK")))))</f>
        <v/>
      </c>
      <c r="N71" s="15" t="str">
        <f aca="false">IF($A71="","",IF(_xlfn.MINIFS(アクションログ!$J$5:$J$2004,アクションログ!$B$5:$B$2004,$A71,アクションログ!$K$5:$K$2004,"&lt;&gt;済",アクションログ!$J$5:$J$2004,"&gt;0")=0,"",_xlfn.MINIFS(アクションログ!$J$5:$J$2004,アクションログ!$B$5:$B$2004,$A71,アクションログ!$K$5:$K$2004,"&lt;&gt;済",アクションログ!$J$5:$J$2004,"&gt;0")))</f>
        <v/>
      </c>
      <c r="O71" s="18" t="str">
        <f aca="false">IF(N71="","",IFERROR(INDEX(アクションログ!$I$5:$I$2004,MATCH($A71&amp;"|"&amp;N71,アクションログ!$L$5:$L$2004,0)),""))</f>
        <v/>
      </c>
      <c r="P71" s="16" t="str">
        <f aca="false">IF($A71="","",COUNTIFS(アクションログ!$B$5:$B$2004,$A71,アクションログ!$A$5:$A$2004,"&gt;="&amp;設定!$C$5))</f>
        <v/>
      </c>
      <c r="Q71" s="16" t="str">
        <f aca="false">IF($A71="","",SUMIFS(月次実績!$D$5:$D$3004,月次実績!$B$5:$B$3004,$A71,月次実績!$A$5:$A$3004,"&gt;="&amp;EDATE(設定!$C$5,-(設定!$C$6-1))))</f>
        <v/>
      </c>
      <c r="R71" s="16" t="str">
        <f aca="false">IF($A71="","",SUMIFS(月次実績!$D$5:$D$3004,月次実績!$B$5:$B$3004,$A71))</f>
        <v/>
      </c>
      <c r="S71" s="16" t="str">
        <f aca="false">IF($A71="","",SUMIFS(月次実績!$F$5:$F$3004,月次実績!$B$5:$B$3004,$A71))</f>
        <v/>
      </c>
      <c r="T71" s="19" t="str">
        <f aca="false">IF(OR($A71="",R71=0),"",S71/R71)</f>
        <v/>
      </c>
      <c r="U71" s="20" t="str">
        <f aca="false">IF($A71="","",SUMIFS(月次実績!$G$5:$G$3004,月次実績!$B$5:$B$3004,$A71))</f>
        <v/>
      </c>
      <c r="V71" s="17" t="str">
        <f aca="false">IF($A71="","",IF(Q71&gt;=設定!$C$7,"稼働中",IF(Q71&gt;=1,"低稼働","休眠")))</f>
        <v/>
      </c>
      <c r="W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15"/>
      <c r="H72" s="21"/>
      <c r="I72" s="15" t="str">
        <f aca="false">IF($A72="","",IF(_xlfn.MAXIFS(アクションログ!$A$5:$A$2004,アクションログ!$B$5:$B$2004,$A72)=0,"",_xlfn.MAXIFS(アクションログ!$A$5:$A$2004,アクションログ!$B$5:$B$2004,$A72)))</f>
        <v/>
      </c>
      <c r="J72" s="16" t="str">
        <f aca="false">IF(OR($A72="",I72=""),"",設定!$C$4-I72)</f>
        <v/>
      </c>
      <c r="K72" s="16" t="str">
        <f aca="false">IF($A72="","",IFERROR(INDEX(設定!$D$14:$D$17,MATCH(F72,設定!$B$14:$B$17,0)),""))</f>
        <v/>
      </c>
      <c r="L72" s="15" t="str">
        <f aca="false">IF(OR($A72="",K72=""),"",IF(I72="",設定!$C$4,I72+K72))</f>
        <v/>
      </c>
      <c r="M72" s="17" t="str">
        <f aca="false">IF($A72="","",IF(F72="","ランク未設定",IF(I72="","未接触",IF(設定!$C$4&gt;L72,"期限超過",IF(L72-設定!$C$4&lt;=設定!$C$8,"今週連絡","OK")))))</f>
        <v/>
      </c>
      <c r="N72" s="15" t="str">
        <f aca="false">IF($A72="","",IF(_xlfn.MINIFS(アクションログ!$J$5:$J$2004,アクションログ!$B$5:$B$2004,$A72,アクションログ!$K$5:$K$2004,"&lt;&gt;済",アクションログ!$J$5:$J$2004,"&gt;0")=0,"",_xlfn.MINIFS(アクションログ!$J$5:$J$2004,アクションログ!$B$5:$B$2004,$A72,アクションログ!$K$5:$K$2004,"&lt;&gt;済",アクションログ!$J$5:$J$2004,"&gt;0")))</f>
        <v/>
      </c>
      <c r="O72" s="18" t="str">
        <f aca="false">IF(N72="","",IFERROR(INDEX(アクションログ!$I$5:$I$2004,MATCH($A72&amp;"|"&amp;N72,アクションログ!$L$5:$L$2004,0)),""))</f>
        <v/>
      </c>
      <c r="P72" s="16" t="str">
        <f aca="false">IF($A72="","",COUNTIFS(アクションログ!$B$5:$B$2004,$A72,アクションログ!$A$5:$A$2004,"&gt;="&amp;設定!$C$5))</f>
        <v/>
      </c>
      <c r="Q72" s="16" t="str">
        <f aca="false">IF($A72="","",SUMIFS(月次実績!$D$5:$D$3004,月次実績!$B$5:$B$3004,$A72,月次実績!$A$5:$A$3004,"&gt;="&amp;EDATE(設定!$C$5,-(設定!$C$6-1))))</f>
        <v/>
      </c>
      <c r="R72" s="16" t="str">
        <f aca="false">IF($A72="","",SUMIFS(月次実績!$D$5:$D$3004,月次実績!$B$5:$B$3004,$A72))</f>
        <v/>
      </c>
      <c r="S72" s="16" t="str">
        <f aca="false">IF($A72="","",SUMIFS(月次実績!$F$5:$F$3004,月次実績!$B$5:$B$3004,$A72))</f>
        <v/>
      </c>
      <c r="T72" s="19" t="str">
        <f aca="false">IF(OR($A72="",R72=0),"",S72/R72)</f>
        <v/>
      </c>
      <c r="U72" s="20" t="str">
        <f aca="false">IF($A72="","",SUMIFS(月次実績!$G$5:$G$3004,月次実績!$B$5:$B$3004,$A72))</f>
        <v/>
      </c>
      <c r="V72" s="17" t="str">
        <f aca="false">IF($A72="","",IF(Q72&gt;=設定!$C$7,"稼働中",IF(Q72&gt;=1,"低稼働","休眠")))</f>
        <v/>
      </c>
      <c r="W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15"/>
      <c r="H73" s="21"/>
      <c r="I73" s="15" t="str">
        <f aca="false">IF($A73="","",IF(_xlfn.MAXIFS(アクションログ!$A$5:$A$2004,アクションログ!$B$5:$B$2004,$A73)=0,"",_xlfn.MAXIFS(アクションログ!$A$5:$A$2004,アクションログ!$B$5:$B$2004,$A73)))</f>
        <v/>
      </c>
      <c r="J73" s="16" t="str">
        <f aca="false">IF(OR($A73="",I73=""),"",設定!$C$4-I73)</f>
        <v/>
      </c>
      <c r="K73" s="16" t="str">
        <f aca="false">IF($A73="","",IFERROR(INDEX(設定!$D$14:$D$17,MATCH(F73,設定!$B$14:$B$17,0)),""))</f>
        <v/>
      </c>
      <c r="L73" s="15" t="str">
        <f aca="false">IF(OR($A73="",K73=""),"",IF(I73="",設定!$C$4,I73+K73))</f>
        <v/>
      </c>
      <c r="M73" s="17" t="str">
        <f aca="false">IF($A73="","",IF(F73="","ランク未設定",IF(I73="","未接触",IF(設定!$C$4&gt;L73,"期限超過",IF(L73-設定!$C$4&lt;=設定!$C$8,"今週連絡","OK")))))</f>
        <v/>
      </c>
      <c r="N73" s="15" t="str">
        <f aca="false">IF($A73="","",IF(_xlfn.MINIFS(アクションログ!$J$5:$J$2004,アクションログ!$B$5:$B$2004,$A73,アクションログ!$K$5:$K$2004,"&lt;&gt;済",アクションログ!$J$5:$J$2004,"&gt;0")=0,"",_xlfn.MINIFS(アクションログ!$J$5:$J$2004,アクションログ!$B$5:$B$2004,$A73,アクションログ!$K$5:$K$2004,"&lt;&gt;済",アクションログ!$J$5:$J$2004,"&gt;0")))</f>
        <v/>
      </c>
      <c r="O73" s="18" t="str">
        <f aca="false">IF(N73="","",IFERROR(INDEX(アクションログ!$I$5:$I$2004,MATCH($A73&amp;"|"&amp;N73,アクションログ!$L$5:$L$2004,0)),""))</f>
        <v/>
      </c>
      <c r="P73" s="16" t="str">
        <f aca="false">IF($A73="","",COUNTIFS(アクションログ!$B$5:$B$2004,$A73,アクションログ!$A$5:$A$2004,"&gt;="&amp;設定!$C$5))</f>
        <v/>
      </c>
      <c r="Q73" s="16" t="str">
        <f aca="false">IF($A73="","",SUMIFS(月次実績!$D$5:$D$3004,月次実績!$B$5:$B$3004,$A73,月次実績!$A$5:$A$3004,"&gt;="&amp;EDATE(設定!$C$5,-(設定!$C$6-1))))</f>
        <v/>
      </c>
      <c r="R73" s="16" t="str">
        <f aca="false">IF($A73="","",SUMIFS(月次実績!$D$5:$D$3004,月次実績!$B$5:$B$3004,$A73))</f>
        <v/>
      </c>
      <c r="S73" s="16" t="str">
        <f aca="false">IF($A73="","",SUMIFS(月次実績!$F$5:$F$3004,月次実績!$B$5:$B$3004,$A73))</f>
        <v/>
      </c>
      <c r="T73" s="19" t="str">
        <f aca="false">IF(OR($A73="",R73=0),"",S73/R73)</f>
        <v/>
      </c>
      <c r="U73" s="20" t="str">
        <f aca="false">IF($A73="","",SUMIFS(月次実績!$G$5:$G$3004,月次実績!$B$5:$B$3004,$A73))</f>
        <v/>
      </c>
      <c r="V73" s="17" t="str">
        <f aca="false">IF($A73="","",IF(Q73&gt;=設定!$C$7,"稼働中",IF(Q73&gt;=1,"低稼働","休眠")))</f>
        <v/>
      </c>
      <c r="W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15"/>
      <c r="H74" s="21"/>
      <c r="I74" s="15" t="str">
        <f aca="false">IF($A74="","",IF(_xlfn.MAXIFS(アクションログ!$A$5:$A$2004,アクションログ!$B$5:$B$2004,$A74)=0,"",_xlfn.MAXIFS(アクションログ!$A$5:$A$2004,アクションログ!$B$5:$B$2004,$A74)))</f>
        <v/>
      </c>
      <c r="J74" s="16" t="str">
        <f aca="false">IF(OR($A74="",I74=""),"",設定!$C$4-I74)</f>
        <v/>
      </c>
      <c r="K74" s="16" t="str">
        <f aca="false">IF($A74="","",IFERROR(INDEX(設定!$D$14:$D$17,MATCH(F74,設定!$B$14:$B$17,0)),""))</f>
        <v/>
      </c>
      <c r="L74" s="15" t="str">
        <f aca="false">IF(OR($A74="",K74=""),"",IF(I74="",設定!$C$4,I74+K74))</f>
        <v/>
      </c>
      <c r="M74" s="17" t="str">
        <f aca="false">IF($A74="","",IF(F74="","ランク未設定",IF(I74="","未接触",IF(設定!$C$4&gt;L74,"期限超過",IF(L74-設定!$C$4&lt;=設定!$C$8,"今週連絡","OK")))))</f>
        <v/>
      </c>
      <c r="N74" s="15" t="str">
        <f aca="false">IF($A74="","",IF(_xlfn.MINIFS(アクションログ!$J$5:$J$2004,アクションログ!$B$5:$B$2004,$A74,アクションログ!$K$5:$K$2004,"&lt;&gt;済",アクションログ!$J$5:$J$2004,"&gt;0")=0,"",_xlfn.MINIFS(アクションログ!$J$5:$J$2004,アクションログ!$B$5:$B$2004,$A74,アクションログ!$K$5:$K$2004,"&lt;&gt;済",アクションログ!$J$5:$J$2004,"&gt;0")))</f>
        <v/>
      </c>
      <c r="O74" s="18" t="str">
        <f aca="false">IF(N74="","",IFERROR(INDEX(アクションログ!$I$5:$I$2004,MATCH($A74&amp;"|"&amp;N74,アクションログ!$L$5:$L$2004,0)),""))</f>
        <v/>
      </c>
      <c r="P74" s="16" t="str">
        <f aca="false">IF($A74="","",COUNTIFS(アクションログ!$B$5:$B$2004,$A74,アクションログ!$A$5:$A$2004,"&gt;="&amp;設定!$C$5))</f>
        <v/>
      </c>
      <c r="Q74" s="16" t="str">
        <f aca="false">IF($A74="","",SUMIFS(月次実績!$D$5:$D$3004,月次実績!$B$5:$B$3004,$A74,月次実績!$A$5:$A$3004,"&gt;="&amp;EDATE(設定!$C$5,-(設定!$C$6-1))))</f>
        <v/>
      </c>
      <c r="R74" s="16" t="str">
        <f aca="false">IF($A74="","",SUMIFS(月次実績!$D$5:$D$3004,月次実績!$B$5:$B$3004,$A74))</f>
        <v/>
      </c>
      <c r="S74" s="16" t="str">
        <f aca="false">IF($A74="","",SUMIFS(月次実績!$F$5:$F$3004,月次実績!$B$5:$B$3004,$A74))</f>
        <v/>
      </c>
      <c r="T74" s="19" t="str">
        <f aca="false">IF(OR($A74="",R74=0),"",S74/R74)</f>
        <v/>
      </c>
      <c r="U74" s="20" t="str">
        <f aca="false">IF($A74="","",SUMIFS(月次実績!$G$5:$G$3004,月次実績!$B$5:$B$3004,$A74))</f>
        <v/>
      </c>
      <c r="V74" s="17" t="str">
        <f aca="false">IF($A74="","",IF(Q74&gt;=設定!$C$7,"稼働中",IF(Q74&gt;=1,"低稼働","休眠")))</f>
        <v/>
      </c>
      <c r="W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15"/>
      <c r="H75" s="21"/>
      <c r="I75" s="15" t="str">
        <f aca="false">IF($A75="","",IF(_xlfn.MAXIFS(アクションログ!$A$5:$A$2004,アクションログ!$B$5:$B$2004,$A75)=0,"",_xlfn.MAXIFS(アクションログ!$A$5:$A$2004,アクションログ!$B$5:$B$2004,$A75)))</f>
        <v/>
      </c>
      <c r="J75" s="16" t="str">
        <f aca="false">IF(OR($A75="",I75=""),"",設定!$C$4-I75)</f>
        <v/>
      </c>
      <c r="K75" s="16" t="str">
        <f aca="false">IF($A75="","",IFERROR(INDEX(設定!$D$14:$D$17,MATCH(F75,設定!$B$14:$B$17,0)),""))</f>
        <v/>
      </c>
      <c r="L75" s="15" t="str">
        <f aca="false">IF(OR($A75="",K75=""),"",IF(I75="",設定!$C$4,I75+K75))</f>
        <v/>
      </c>
      <c r="M75" s="17" t="str">
        <f aca="false">IF($A75="","",IF(F75="","ランク未設定",IF(I75="","未接触",IF(設定!$C$4&gt;L75,"期限超過",IF(L75-設定!$C$4&lt;=設定!$C$8,"今週連絡","OK")))))</f>
        <v/>
      </c>
      <c r="N75" s="15" t="str">
        <f aca="false">IF($A75="","",IF(_xlfn.MINIFS(アクションログ!$J$5:$J$2004,アクションログ!$B$5:$B$2004,$A75,アクションログ!$K$5:$K$2004,"&lt;&gt;済",アクションログ!$J$5:$J$2004,"&gt;0")=0,"",_xlfn.MINIFS(アクションログ!$J$5:$J$2004,アクションログ!$B$5:$B$2004,$A75,アクションログ!$K$5:$K$2004,"&lt;&gt;済",アクションログ!$J$5:$J$2004,"&gt;0")))</f>
        <v/>
      </c>
      <c r="O75" s="18" t="str">
        <f aca="false">IF(N75="","",IFERROR(INDEX(アクションログ!$I$5:$I$2004,MATCH($A75&amp;"|"&amp;N75,アクションログ!$L$5:$L$2004,0)),""))</f>
        <v/>
      </c>
      <c r="P75" s="16" t="str">
        <f aca="false">IF($A75="","",COUNTIFS(アクションログ!$B$5:$B$2004,$A75,アクションログ!$A$5:$A$2004,"&gt;="&amp;設定!$C$5))</f>
        <v/>
      </c>
      <c r="Q75" s="16" t="str">
        <f aca="false">IF($A75="","",SUMIFS(月次実績!$D$5:$D$3004,月次実績!$B$5:$B$3004,$A75,月次実績!$A$5:$A$3004,"&gt;="&amp;EDATE(設定!$C$5,-(設定!$C$6-1))))</f>
        <v/>
      </c>
      <c r="R75" s="16" t="str">
        <f aca="false">IF($A75="","",SUMIFS(月次実績!$D$5:$D$3004,月次実績!$B$5:$B$3004,$A75))</f>
        <v/>
      </c>
      <c r="S75" s="16" t="str">
        <f aca="false">IF($A75="","",SUMIFS(月次実績!$F$5:$F$3004,月次実績!$B$5:$B$3004,$A75))</f>
        <v/>
      </c>
      <c r="T75" s="19" t="str">
        <f aca="false">IF(OR($A75="",R75=0),"",S75/R75)</f>
        <v/>
      </c>
      <c r="U75" s="20" t="str">
        <f aca="false">IF($A75="","",SUMIFS(月次実績!$G$5:$G$3004,月次実績!$B$5:$B$3004,$A75))</f>
        <v/>
      </c>
      <c r="V75" s="17" t="str">
        <f aca="false">IF($A75="","",IF(Q75&gt;=設定!$C$7,"稼働中",IF(Q75&gt;=1,"低稼働","休眠")))</f>
        <v/>
      </c>
      <c r="W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15"/>
      <c r="H76" s="21"/>
      <c r="I76" s="15" t="str">
        <f aca="false">IF($A76="","",IF(_xlfn.MAXIFS(アクションログ!$A$5:$A$2004,アクションログ!$B$5:$B$2004,$A76)=0,"",_xlfn.MAXIFS(アクションログ!$A$5:$A$2004,アクションログ!$B$5:$B$2004,$A76)))</f>
        <v/>
      </c>
      <c r="J76" s="16" t="str">
        <f aca="false">IF(OR($A76="",I76=""),"",設定!$C$4-I76)</f>
        <v/>
      </c>
      <c r="K76" s="16" t="str">
        <f aca="false">IF($A76="","",IFERROR(INDEX(設定!$D$14:$D$17,MATCH(F76,設定!$B$14:$B$17,0)),""))</f>
        <v/>
      </c>
      <c r="L76" s="15" t="str">
        <f aca="false">IF(OR($A76="",K76=""),"",IF(I76="",設定!$C$4,I76+K76))</f>
        <v/>
      </c>
      <c r="M76" s="17" t="str">
        <f aca="false">IF($A76="","",IF(F76="","ランク未設定",IF(I76="","未接触",IF(設定!$C$4&gt;L76,"期限超過",IF(L76-設定!$C$4&lt;=設定!$C$8,"今週連絡","OK")))))</f>
        <v/>
      </c>
      <c r="N76" s="15" t="str">
        <f aca="false">IF($A76="","",IF(_xlfn.MINIFS(アクションログ!$J$5:$J$2004,アクションログ!$B$5:$B$2004,$A76,アクションログ!$K$5:$K$2004,"&lt;&gt;済",アクションログ!$J$5:$J$2004,"&gt;0")=0,"",_xlfn.MINIFS(アクションログ!$J$5:$J$2004,アクションログ!$B$5:$B$2004,$A76,アクションログ!$K$5:$K$2004,"&lt;&gt;済",アクションログ!$J$5:$J$2004,"&gt;0")))</f>
        <v/>
      </c>
      <c r="O76" s="18" t="str">
        <f aca="false">IF(N76="","",IFERROR(INDEX(アクションログ!$I$5:$I$2004,MATCH($A76&amp;"|"&amp;N76,アクションログ!$L$5:$L$2004,0)),""))</f>
        <v/>
      </c>
      <c r="P76" s="16" t="str">
        <f aca="false">IF($A76="","",COUNTIFS(アクションログ!$B$5:$B$2004,$A76,アクションログ!$A$5:$A$2004,"&gt;="&amp;設定!$C$5))</f>
        <v/>
      </c>
      <c r="Q76" s="16" t="str">
        <f aca="false">IF($A76="","",SUMIFS(月次実績!$D$5:$D$3004,月次実績!$B$5:$B$3004,$A76,月次実績!$A$5:$A$3004,"&gt;="&amp;EDATE(設定!$C$5,-(設定!$C$6-1))))</f>
        <v/>
      </c>
      <c r="R76" s="16" t="str">
        <f aca="false">IF($A76="","",SUMIFS(月次実績!$D$5:$D$3004,月次実績!$B$5:$B$3004,$A76))</f>
        <v/>
      </c>
      <c r="S76" s="16" t="str">
        <f aca="false">IF($A76="","",SUMIFS(月次実績!$F$5:$F$3004,月次実績!$B$5:$B$3004,$A76))</f>
        <v/>
      </c>
      <c r="T76" s="19" t="str">
        <f aca="false">IF(OR($A76="",R76=0),"",S76/R76)</f>
        <v/>
      </c>
      <c r="U76" s="20" t="str">
        <f aca="false">IF($A76="","",SUMIFS(月次実績!$G$5:$G$3004,月次実績!$B$5:$B$3004,$A76))</f>
        <v/>
      </c>
      <c r="V76" s="17" t="str">
        <f aca="false">IF($A76="","",IF(Q76&gt;=設定!$C$7,"稼働中",IF(Q76&gt;=1,"低稼働","休眠")))</f>
        <v/>
      </c>
      <c r="W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15"/>
      <c r="H77" s="21"/>
      <c r="I77" s="15" t="str">
        <f aca="false">IF($A77="","",IF(_xlfn.MAXIFS(アクションログ!$A$5:$A$2004,アクションログ!$B$5:$B$2004,$A77)=0,"",_xlfn.MAXIFS(アクションログ!$A$5:$A$2004,アクションログ!$B$5:$B$2004,$A77)))</f>
        <v/>
      </c>
      <c r="J77" s="16" t="str">
        <f aca="false">IF(OR($A77="",I77=""),"",設定!$C$4-I77)</f>
        <v/>
      </c>
      <c r="K77" s="16" t="str">
        <f aca="false">IF($A77="","",IFERROR(INDEX(設定!$D$14:$D$17,MATCH(F77,設定!$B$14:$B$17,0)),""))</f>
        <v/>
      </c>
      <c r="L77" s="15" t="str">
        <f aca="false">IF(OR($A77="",K77=""),"",IF(I77="",設定!$C$4,I77+K77))</f>
        <v/>
      </c>
      <c r="M77" s="17" t="str">
        <f aca="false">IF($A77="","",IF(F77="","ランク未設定",IF(I77="","未接触",IF(設定!$C$4&gt;L77,"期限超過",IF(L77-設定!$C$4&lt;=設定!$C$8,"今週連絡","OK")))))</f>
        <v/>
      </c>
      <c r="N77" s="15" t="str">
        <f aca="false">IF($A77="","",IF(_xlfn.MINIFS(アクションログ!$J$5:$J$2004,アクションログ!$B$5:$B$2004,$A77,アクションログ!$K$5:$K$2004,"&lt;&gt;済",アクションログ!$J$5:$J$2004,"&gt;0")=0,"",_xlfn.MINIFS(アクションログ!$J$5:$J$2004,アクションログ!$B$5:$B$2004,$A77,アクションログ!$K$5:$K$2004,"&lt;&gt;済",アクションログ!$J$5:$J$2004,"&gt;0")))</f>
        <v/>
      </c>
      <c r="O77" s="18" t="str">
        <f aca="false">IF(N77="","",IFERROR(INDEX(アクションログ!$I$5:$I$2004,MATCH($A77&amp;"|"&amp;N77,アクションログ!$L$5:$L$2004,0)),""))</f>
        <v/>
      </c>
      <c r="P77" s="16" t="str">
        <f aca="false">IF($A77="","",COUNTIFS(アクションログ!$B$5:$B$2004,$A77,アクションログ!$A$5:$A$2004,"&gt;="&amp;設定!$C$5))</f>
        <v/>
      </c>
      <c r="Q77" s="16" t="str">
        <f aca="false">IF($A77="","",SUMIFS(月次実績!$D$5:$D$3004,月次実績!$B$5:$B$3004,$A77,月次実績!$A$5:$A$3004,"&gt;="&amp;EDATE(設定!$C$5,-(設定!$C$6-1))))</f>
        <v/>
      </c>
      <c r="R77" s="16" t="str">
        <f aca="false">IF($A77="","",SUMIFS(月次実績!$D$5:$D$3004,月次実績!$B$5:$B$3004,$A77))</f>
        <v/>
      </c>
      <c r="S77" s="16" t="str">
        <f aca="false">IF($A77="","",SUMIFS(月次実績!$F$5:$F$3004,月次実績!$B$5:$B$3004,$A77))</f>
        <v/>
      </c>
      <c r="T77" s="19" t="str">
        <f aca="false">IF(OR($A77="",R77=0),"",S77/R77)</f>
        <v/>
      </c>
      <c r="U77" s="20" t="str">
        <f aca="false">IF($A77="","",SUMIFS(月次実績!$G$5:$G$3004,月次実績!$B$5:$B$3004,$A77))</f>
        <v/>
      </c>
      <c r="V77" s="17" t="str">
        <f aca="false">IF($A77="","",IF(Q77&gt;=設定!$C$7,"稼働中",IF(Q77&gt;=1,"低稼働","休眠")))</f>
        <v/>
      </c>
      <c r="W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15"/>
      <c r="H78" s="21"/>
      <c r="I78" s="15" t="str">
        <f aca="false">IF($A78="","",IF(_xlfn.MAXIFS(アクションログ!$A$5:$A$2004,アクションログ!$B$5:$B$2004,$A78)=0,"",_xlfn.MAXIFS(アクションログ!$A$5:$A$2004,アクションログ!$B$5:$B$2004,$A78)))</f>
        <v/>
      </c>
      <c r="J78" s="16" t="str">
        <f aca="false">IF(OR($A78="",I78=""),"",設定!$C$4-I78)</f>
        <v/>
      </c>
      <c r="K78" s="16" t="str">
        <f aca="false">IF($A78="","",IFERROR(INDEX(設定!$D$14:$D$17,MATCH(F78,設定!$B$14:$B$17,0)),""))</f>
        <v/>
      </c>
      <c r="L78" s="15" t="str">
        <f aca="false">IF(OR($A78="",K78=""),"",IF(I78="",設定!$C$4,I78+K78))</f>
        <v/>
      </c>
      <c r="M78" s="17" t="str">
        <f aca="false">IF($A78="","",IF(F78="","ランク未設定",IF(I78="","未接触",IF(設定!$C$4&gt;L78,"期限超過",IF(L78-設定!$C$4&lt;=設定!$C$8,"今週連絡","OK")))))</f>
        <v/>
      </c>
      <c r="N78" s="15" t="str">
        <f aca="false">IF($A78="","",IF(_xlfn.MINIFS(アクションログ!$J$5:$J$2004,アクションログ!$B$5:$B$2004,$A78,アクションログ!$K$5:$K$2004,"&lt;&gt;済",アクションログ!$J$5:$J$2004,"&gt;0")=0,"",_xlfn.MINIFS(アクションログ!$J$5:$J$2004,アクションログ!$B$5:$B$2004,$A78,アクションログ!$K$5:$K$2004,"&lt;&gt;済",アクションログ!$J$5:$J$2004,"&gt;0")))</f>
        <v/>
      </c>
      <c r="O78" s="18" t="str">
        <f aca="false">IF(N78="","",IFERROR(INDEX(アクションログ!$I$5:$I$2004,MATCH($A78&amp;"|"&amp;N78,アクションログ!$L$5:$L$2004,0)),""))</f>
        <v/>
      </c>
      <c r="P78" s="16" t="str">
        <f aca="false">IF($A78="","",COUNTIFS(アクションログ!$B$5:$B$2004,$A78,アクションログ!$A$5:$A$2004,"&gt;="&amp;設定!$C$5))</f>
        <v/>
      </c>
      <c r="Q78" s="16" t="str">
        <f aca="false">IF($A78="","",SUMIFS(月次実績!$D$5:$D$3004,月次実績!$B$5:$B$3004,$A78,月次実績!$A$5:$A$3004,"&gt;="&amp;EDATE(設定!$C$5,-(設定!$C$6-1))))</f>
        <v/>
      </c>
      <c r="R78" s="16" t="str">
        <f aca="false">IF($A78="","",SUMIFS(月次実績!$D$5:$D$3004,月次実績!$B$5:$B$3004,$A78))</f>
        <v/>
      </c>
      <c r="S78" s="16" t="str">
        <f aca="false">IF($A78="","",SUMIFS(月次実績!$F$5:$F$3004,月次実績!$B$5:$B$3004,$A78))</f>
        <v/>
      </c>
      <c r="T78" s="19" t="str">
        <f aca="false">IF(OR($A78="",R78=0),"",S78/R78)</f>
        <v/>
      </c>
      <c r="U78" s="20" t="str">
        <f aca="false">IF($A78="","",SUMIFS(月次実績!$G$5:$G$3004,月次実績!$B$5:$B$3004,$A78))</f>
        <v/>
      </c>
      <c r="V78" s="17" t="str">
        <f aca="false">IF($A78="","",IF(Q78&gt;=設定!$C$7,"稼働中",IF(Q78&gt;=1,"低稼働","休眠")))</f>
        <v/>
      </c>
      <c r="W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15"/>
      <c r="H79" s="21"/>
      <c r="I79" s="15" t="str">
        <f aca="false">IF($A79="","",IF(_xlfn.MAXIFS(アクションログ!$A$5:$A$2004,アクションログ!$B$5:$B$2004,$A79)=0,"",_xlfn.MAXIFS(アクションログ!$A$5:$A$2004,アクションログ!$B$5:$B$2004,$A79)))</f>
        <v/>
      </c>
      <c r="J79" s="16" t="str">
        <f aca="false">IF(OR($A79="",I79=""),"",設定!$C$4-I79)</f>
        <v/>
      </c>
      <c r="K79" s="16" t="str">
        <f aca="false">IF($A79="","",IFERROR(INDEX(設定!$D$14:$D$17,MATCH(F79,設定!$B$14:$B$17,0)),""))</f>
        <v/>
      </c>
      <c r="L79" s="15" t="str">
        <f aca="false">IF(OR($A79="",K79=""),"",IF(I79="",設定!$C$4,I79+K79))</f>
        <v/>
      </c>
      <c r="M79" s="17" t="str">
        <f aca="false">IF($A79="","",IF(F79="","ランク未設定",IF(I79="","未接触",IF(設定!$C$4&gt;L79,"期限超過",IF(L79-設定!$C$4&lt;=設定!$C$8,"今週連絡","OK")))))</f>
        <v/>
      </c>
      <c r="N79" s="15" t="str">
        <f aca="false">IF($A79="","",IF(_xlfn.MINIFS(アクションログ!$J$5:$J$2004,アクションログ!$B$5:$B$2004,$A79,アクションログ!$K$5:$K$2004,"&lt;&gt;済",アクションログ!$J$5:$J$2004,"&gt;0")=0,"",_xlfn.MINIFS(アクションログ!$J$5:$J$2004,アクションログ!$B$5:$B$2004,$A79,アクションログ!$K$5:$K$2004,"&lt;&gt;済",アクションログ!$J$5:$J$2004,"&gt;0")))</f>
        <v/>
      </c>
      <c r="O79" s="18" t="str">
        <f aca="false">IF(N79="","",IFERROR(INDEX(アクションログ!$I$5:$I$2004,MATCH($A79&amp;"|"&amp;N79,アクションログ!$L$5:$L$2004,0)),""))</f>
        <v/>
      </c>
      <c r="P79" s="16" t="str">
        <f aca="false">IF($A79="","",COUNTIFS(アクションログ!$B$5:$B$2004,$A79,アクションログ!$A$5:$A$2004,"&gt;="&amp;設定!$C$5))</f>
        <v/>
      </c>
      <c r="Q79" s="16" t="str">
        <f aca="false">IF($A79="","",SUMIFS(月次実績!$D$5:$D$3004,月次実績!$B$5:$B$3004,$A79,月次実績!$A$5:$A$3004,"&gt;="&amp;EDATE(設定!$C$5,-(設定!$C$6-1))))</f>
        <v/>
      </c>
      <c r="R79" s="16" t="str">
        <f aca="false">IF($A79="","",SUMIFS(月次実績!$D$5:$D$3004,月次実績!$B$5:$B$3004,$A79))</f>
        <v/>
      </c>
      <c r="S79" s="16" t="str">
        <f aca="false">IF($A79="","",SUMIFS(月次実績!$F$5:$F$3004,月次実績!$B$5:$B$3004,$A79))</f>
        <v/>
      </c>
      <c r="T79" s="19" t="str">
        <f aca="false">IF(OR($A79="",R79=0),"",S79/R79)</f>
        <v/>
      </c>
      <c r="U79" s="20" t="str">
        <f aca="false">IF($A79="","",SUMIFS(月次実績!$G$5:$G$3004,月次実績!$B$5:$B$3004,$A79))</f>
        <v/>
      </c>
      <c r="V79" s="17" t="str">
        <f aca="false">IF($A79="","",IF(Q79&gt;=設定!$C$7,"稼働中",IF(Q79&gt;=1,"低稼働","休眠")))</f>
        <v/>
      </c>
      <c r="W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15"/>
      <c r="H80" s="21"/>
      <c r="I80" s="15" t="str">
        <f aca="false">IF($A80="","",IF(_xlfn.MAXIFS(アクションログ!$A$5:$A$2004,アクションログ!$B$5:$B$2004,$A80)=0,"",_xlfn.MAXIFS(アクションログ!$A$5:$A$2004,アクションログ!$B$5:$B$2004,$A80)))</f>
        <v/>
      </c>
      <c r="J80" s="16" t="str">
        <f aca="false">IF(OR($A80="",I80=""),"",設定!$C$4-I80)</f>
        <v/>
      </c>
      <c r="K80" s="16" t="str">
        <f aca="false">IF($A80="","",IFERROR(INDEX(設定!$D$14:$D$17,MATCH(F80,設定!$B$14:$B$17,0)),""))</f>
        <v/>
      </c>
      <c r="L80" s="15" t="str">
        <f aca="false">IF(OR($A80="",K80=""),"",IF(I80="",設定!$C$4,I80+K80))</f>
        <v/>
      </c>
      <c r="M80" s="17" t="str">
        <f aca="false">IF($A80="","",IF(F80="","ランク未設定",IF(I80="","未接触",IF(設定!$C$4&gt;L80,"期限超過",IF(L80-設定!$C$4&lt;=設定!$C$8,"今週連絡","OK")))))</f>
        <v/>
      </c>
      <c r="N80" s="15" t="str">
        <f aca="false">IF($A80="","",IF(_xlfn.MINIFS(アクションログ!$J$5:$J$2004,アクションログ!$B$5:$B$2004,$A80,アクションログ!$K$5:$K$2004,"&lt;&gt;済",アクションログ!$J$5:$J$2004,"&gt;0")=0,"",_xlfn.MINIFS(アクションログ!$J$5:$J$2004,アクションログ!$B$5:$B$2004,$A80,アクションログ!$K$5:$K$2004,"&lt;&gt;済",アクションログ!$J$5:$J$2004,"&gt;0")))</f>
        <v/>
      </c>
      <c r="O80" s="18" t="str">
        <f aca="false">IF(N80="","",IFERROR(INDEX(アクションログ!$I$5:$I$2004,MATCH($A80&amp;"|"&amp;N80,アクションログ!$L$5:$L$2004,0)),""))</f>
        <v/>
      </c>
      <c r="P80" s="16" t="str">
        <f aca="false">IF($A80="","",COUNTIFS(アクションログ!$B$5:$B$2004,$A80,アクションログ!$A$5:$A$2004,"&gt;="&amp;設定!$C$5))</f>
        <v/>
      </c>
      <c r="Q80" s="16" t="str">
        <f aca="false">IF($A80="","",SUMIFS(月次実績!$D$5:$D$3004,月次実績!$B$5:$B$3004,$A80,月次実績!$A$5:$A$3004,"&gt;="&amp;EDATE(設定!$C$5,-(設定!$C$6-1))))</f>
        <v/>
      </c>
      <c r="R80" s="16" t="str">
        <f aca="false">IF($A80="","",SUMIFS(月次実績!$D$5:$D$3004,月次実績!$B$5:$B$3004,$A80))</f>
        <v/>
      </c>
      <c r="S80" s="16" t="str">
        <f aca="false">IF($A80="","",SUMIFS(月次実績!$F$5:$F$3004,月次実績!$B$5:$B$3004,$A80))</f>
        <v/>
      </c>
      <c r="T80" s="19" t="str">
        <f aca="false">IF(OR($A80="",R80=0),"",S80/R80)</f>
        <v/>
      </c>
      <c r="U80" s="20" t="str">
        <f aca="false">IF($A80="","",SUMIFS(月次実績!$G$5:$G$3004,月次実績!$B$5:$B$3004,$A80))</f>
        <v/>
      </c>
      <c r="V80" s="17" t="str">
        <f aca="false">IF($A80="","",IF(Q80&gt;=設定!$C$7,"稼働中",IF(Q80&gt;=1,"低稼働","休眠")))</f>
        <v/>
      </c>
      <c r="W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15"/>
      <c r="H81" s="21"/>
      <c r="I81" s="15" t="str">
        <f aca="false">IF($A81="","",IF(_xlfn.MAXIFS(アクションログ!$A$5:$A$2004,アクションログ!$B$5:$B$2004,$A81)=0,"",_xlfn.MAXIFS(アクションログ!$A$5:$A$2004,アクションログ!$B$5:$B$2004,$A81)))</f>
        <v/>
      </c>
      <c r="J81" s="16" t="str">
        <f aca="false">IF(OR($A81="",I81=""),"",設定!$C$4-I81)</f>
        <v/>
      </c>
      <c r="K81" s="16" t="str">
        <f aca="false">IF($A81="","",IFERROR(INDEX(設定!$D$14:$D$17,MATCH(F81,設定!$B$14:$B$17,0)),""))</f>
        <v/>
      </c>
      <c r="L81" s="15" t="str">
        <f aca="false">IF(OR($A81="",K81=""),"",IF(I81="",設定!$C$4,I81+K81))</f>
        <v/>
      </c>
      <c r="M81" s="17" t="str">
        <f aca="false">IF($A81="","",IF(F81="","ランク未設定",IF(I81="","未接触",IF(設定!$C$4&gt;L81,"期限超過",IF(L81-設定!$C$4&lt;=設定!$C$8,"今週連絡","OK")))))</f>
        <v/>
      </c>
      <c r="N81" s="15" t="str">
        <f aca="false">IF($A81="","",IF(_xlfn.MINIFS(アクションログ!$J$5:$J$2004,アクションログ!$B$5:$B$2004,$A81,アクションログ!$K$5:$K$2004,"&lt;&gt;済",アクションログ!$J$5:$J$2004,"&gt;0")=0,"",_xlfn.MINIFS(アクションログ!$J$5:$J$2004,アクションログ!$B$5:$B$2004,$A81,アクションログ!$K$5:$K$2004,"&lt;&gt;済",アクションログ!$J$5:$J$2004,"&gt;0")))</f>
        <v/>
      </c>
      <c r="O81" s="18" t="str">
        <f aca="false">IF(N81="","",IFERROR(INDEX(アクションログ!$I$5:$I$2004,MATCH($A81&amp;"|"&amp;N81,アクションログ!$L$5:$L$2004,0)),""))</f>
        <v/>
      </c>
      <c r="P81" s="16" t="str">
        <f aca="false">IF($A81="","",COUNTIFS(アクションログ!$B$5:$B$2004,$A81,アクションログ!$A$5:$A$2004,"&gt;="&amp;設定!$C$5))</f>
        <v/>
      </c>
      <c r="Q81" s="16" t="str">
        <f aca="false">IF($A81="","",SUMIFS(月次実績!$D$5:$D$3004,月次実績!$B$5:$B$3004,$A81,月次実績!$A$5:$A$3004,"&gt;="&amp;EDATE(設定!$C$5,-(設定!$C$6-1))))</f>
        <v/>
      </c>
      <c r="R81" s="16" t="str">
        <f aca="false">IF($A81="","",SUMIFS(月次実績!$D$5:$D$3004,月次実績!$B$5:$B$3004,$A81))</f>
        <v/>
      </c>
      <c r="S81" s="16" t="str">
        <f aca="false">IF($A81="","",SUMIFS(月次実績!$F$5:$F$3004,月次実績!$B$5:$B$3004,$A81))</f>
        <v/>
      </c>
      <c r="T81" s="19" t="str">
        <f aca="false">IF(OR($A81="",R81=0),"",S81/R81)</f>
        <v/>
      </c>
      <c r="U81" s="20" t="str">
        <f aca="false">IF($A81="","",SUMIFS(月次実績!$G$5:$G$3004,月次実績!$B$5:$B$3004,$A81))</f>
        <v/>
      </c>
      <c r="V81" s="17" t="str">
        <f aca="false">IF($A81="","",IF(Q81&gt;=設定!$C$7,"稼働中",IF(Q81&gt;=1,"低稼働","休眠")))</f>
        <v/>
      </c>
      <c r="W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15"/>
      <c r="H82" s="21"/>
      <c r="I82" s="15" t="str">
        <f aca="false">IF($A82="","",IF(_xlfn.MAXIFS(アクションログ!$A$5:$A$2004,アクションログ!$B$5:$B$2004,$A82)=0,"",_xlfn.MAXIFS(アクションログ!$A$5:$A$2004,アクションログ!$B$5:$B$2004,$A82)))</f>
        <v/>
      </c>
      <c r="J82" s="16" t="str">
        <f aca="false">IF(OR($A82="",I82=""),"",設定!$C$4-I82)</f>
        <v/>
      </c>
      <c r="K82" s="16" t="str">
        <f aca="false">IF($A82="","",IFERROR(INDEX(設定!$D$14:$D$17,MATCH(F82,設定!$B$14:$B$17,0)),""))</f>
        <v/>
      </c>
      <c r="L82" s="15" t="str">
        <f aca="false">IF(OR($A82="",K82=""),"",IF(I82="",設定!$C$4,I82+K82))</f>
        <v/>
      </c>
      <c r="M82" s="17" t="str">
        <f aca="false">IF($A82="","",IF(F82="","ランク未設定",IF(I82="","未接触",IF(設定!$C$4&gt;L82,"期限超過",IF(L82-設定!$C$4&lt;=設定!$C$8,"今週連絡","OK")))))</f>
        <v/>
      </c>
      <c r="N82" s="15" t="str">
        <f aca="false">IF($A82="","",IF(_xlfn.MINIFS(アクションログ!$J$5:$J$2004,アクションログ!$B$5:$B$2004,$A82,アクションログ!$K$5:$K$2004,"&lt;&gt;済",アクションログ!$J$5:$J$2004,"&gt;0")=0,"",_xlfn.MINIFS(アクションログ!$J$5:$J$2004,アクションログ!$B$5:$B$2004,$A82,アクションログ!$K$5:$K$2004,"&lt;&gt;済",アクションログ!$J$5:$J$2004,"&gt;0")))</f>
        <v/>
      </c>
      <c r="O82" s="18" t="str">
        <f aca="false">IF(N82="","",IFERROR(INDEX(アクションログ!$I$5:$I$2004,MATCH($A82&amp;"|"&amp;N82,アクションログ!$L$5:$L$2004,0)),""))</f>
        <v/>
      </c>
      <c r="P82" s="16" t="str">
        <f aca="false">IF($A82="","",COUNTIFS(アクションログ!$B$5:$B$2004,$A82,アクションログ!$A$5:$A$2004,"&gt;="&amp;設定!$C$5))</f>
        <v/>
      </c>
      <c r="Q82" s="16" t="str">
        <f aca="false">IF($A82="","",SUMIFS(月次実績!$D$5:$D$3004,月次実績!$B$5:$B$3004,$A82,月次実績!$A$5:$A$3004,"&gt;="&amp;EDATE(設定!$C$5,-(設定!$C$6-1))))</f>
        <v/>
      </c>
      <c r="R82" s="16" t="str">
        <f aca="false">IF($A82="","",SUMIFS(月次実績!$D$5:$D$3004,月次実績!$B$5:$B$3004,$A82))</f>
        <v/>
      </c>
      <c r="S82" s="16" t="str">
        <f aca="false">IF($A82="","",SUMIFS(月次実績!$F$5:$F$3004,月次実績!$B$5:$B$3004,$A82))</f>
        <v/>
      </c>
      <c r="T82" s="19" t="str">
        <f aca="false">IF(OR($A82="",R82=0),"",S82/R82)</f>
        <v/>
      </c>
      <c r="U82" s="20" t="str">
        <f aca="false">IF($A82="","",SUMIFS(月次実績!$G$5:$G$3004,月次実績!$B$5:$B$3004,$A82))</f>
        <v/>
      </c>
      <c r="V82" s="17" t="str">
        <f aca="false">IF($A82="","",IF(Q82&gt;=設定!$C$7,"稼働中",IF(Q82&gt;=1,"低稼働","休眠")))</f>
        <v/>
      </c>
      <c r="W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15"/>
      <c r="H83" s="21"/>
      <c r="I83" s="15" t="str">
        <f aca="false">IF($A83="","",IF(_xlfn.MAXIFS(アクションログ!$A$5:$A$2004,アクションログ!$B$5:$B$2004,$A83)=0,"",_xlfn.MAXIFS(アクションログ!$A$5:$A$2004,アクションログ!$B$5:$B$2004,$A83)))</f>
        <v/>
      </c>
      <c r="J83" s="16" t="str">
        <f aca="false">IF(OR($A83="",I83=""),"",設定!$C$4-I83)</f>
        <v/>
      </c>
      <c r="K83" s="16" t="str">
        <f aca="false">IF($A83="","",IFERROR(INDEX(設定!$D$14:$D$17,MATCH(F83,設定!$B$14:$B$17,0)),""))</f>
        <v/>
      </c>
      <c r="L83" s="15" t="str">
        <f aca="false">IF(OR($A83="",K83=""),"",IF(I83="",設定!$C$4,I83+K83))</f>
        <v/>
      </c>
      <c r="M83" s="17" t="str">
        <f aca="false">IF($A83="","",IF(F83="","ランク未設定",IF(I83="","未接触",IF(設定!$C$4&gt;L83,"期限超過",IF(L83-設定!$C$4&lt;=設定!$C$8,"今週連絡","OK")))))</f>
        <v/>
      </c>
      <c r="N83" s="15" t="str">
        <f aca="false">IF($A83="","",IF(_xlfn.MINIFS(アクションログ!$J$5:$J$2004,アクションログ!$B$5:$B$2004,$A83,アクションログ!$K$5:$K$2004,"&lt;&gt;済",アクションログ!$J$5:$J$2004,"&gt;0")=0,"",_xlfn.MINIFS(アクションログ!$J$5:$J$2004,アクションログ!$B$5:$B$2004,$A83,アクションログ!$K$5:$K$2004,"&lt;&gt;済",アクションログ!$J$5:$J$2004,"&gt;0")))</f>
        <v/>
      </c>
      <c r="O83" s="18" t="str">
        <f aca="false">IF(N83="","",IFERROR(INDEX(アクションログ!$I$5:$I$2004,MATCH($A83&amp;"|"&amp;N83,アクションログ!$L$5:$L$2004,0)),""))</f>
        <v/>
      </c>
      <c r="P83" s="16" t="str">
        <f aca="false">IF($A83="","",COUNTIFS(アクションログ!$B$5:$B$2004,$A83,アクションログ!$A$5:$A$2004,"&gt;="&amp;設定!$C$5))</f>
        <v/>
      </c>
      <c r="Q83" s="16" t="str">
        <f aca="false">IF($A83="","",SUMIFS(月次実績!$D$5:$D$3004,月次実績!$B$5:$B$3004,$A83,月次実績!$A$5:$A$3004,"&gt;="&amp;EDATE(設定!$C$5,-(設定!$C$6-1))))</f>
        <v/>
      </c>
      <c r="R83" s="16" t="str">
        <f aca="false">IF($A83="","",SUMIFS(月次実績!$D$5:$D$3004,月次実績!$B$5:$B$3004,$A83))</f>
        <v/>
      </c>
      <c r="S83" s="16" t="str">
        <f aca="false">IF($A83="","",SUMIFS(月次実績!$F$5:$F$3004,月次実績!$B$5:$B$3004,$A83))</f>
        <v/>
      </c>
      <c r="T83" s="19" t="str">
        <f aca="false">IF(OR($A83="",R83=0),"",S83/R83)</f>
        <v/>
      </c>
      <c r="U83" s="20" t="str">
        <f aca="false">IF($A83="","",SUMIFS(月次実績!$G$5:$G$3004,月次実績!$B$5:$B$3004,$A83))</f>
        <v/>
      </c>
      <c r="V83" s="17" t="str">
        <f aca="false">IF($A83="","",IF(Q83&gt;=設定!$C$7,"稼働中",IF(Q83&gt;=1,"低稼働","休眠")))</f>
        <v/>
      </c>
      <c r="W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15"/>
      <c r="H84" s="21"/>
      <c r="I84" s="15" t="str">
        <f aca="false">IF($A84="","",IF(_xlfn.MAXIFS(アクションログ!$A$5:$A$2004,アクションログ!$B$5:$B$2004,$A84)=0,"",_xlfn.MAXIFS(アクションログ!$A$5:$A$2004,アクションログ!$B$5:$B$2004,$A84)))</f>
        <v/>
      </c>
      <c r="J84" s="16" t="str">
        <f aca="false">IF(OR($A84="",I84=""),"",設定!$C$4-I84)</f>
        <v/>
      </c>
      <c r="K84" s="16" t="str">
        <f aca="false">IF($A84="","",IFERROR(INDEX(設定!$D$14:$D$17,MATCH(F84,設定!$B$14:$B$17,0)),""))</f>
        <v/>
      </c>
      <c r="L84" s="15" t="str">
        <f aca="false">IF(OR($A84="",K84=""),"",IF(I84="",設定!$C$4,I84+K84))</f>
        <v/>
      </c>
      <c r="M84" s="17" t="str">
        <f aca="false">IF($A84="","",IF(F84="","ランク未設定",IF(I84="","未接触",IF(設定!$C$4&gt;L84,"期限超過",IF(L84-設定!$C$4&lt;=設定!$C$8,"今週連絡","OK")))))</f>
        <v/>
      </c>
      <c r="N84" s="15" t="str">
        <f aca="false">IF($A84="","",IF(_xlfn.MINIFS(アクションログ!$J$5:$J$2004,アクションログ!$B$5:$B$2004,$A84,アクションログ!$K$5:$K$2004,"&lt;&gt;済",アクションログ!$J$5:$J$2004,"&gt;0")=0,"",_xlfn.MINIFS(アクションログ!$J$5:$J$2004,アクションログ!$B$5:$B$2004,$A84,アクションログ!$K$5:$K$2004,"&lt;&gt;済",アクションログ!$J$5:$J$2004,"&gt;0")))</f>
        <v/>
      </c>
      <c r="O84" s="18" t="str">
        <f aca="false">IF(N84="","",IFERROR(INDEX(アクションログ!$I$5:$I$2004,MATCH($A84&amp;"|"&amp;N84,アクションログ!$L$5:$L$2004,0)),""))</f>
        <v/>
      </c>
      <c r="P84" s="16" t="str">
        <f aca="false">IF($A84="","",COUNTIFS(アクションログ!$B$5:$B$2004,$A84,アクションログ!$A$5:$A$2004,"&gt;="&amp;設定!$C$5))</f>
        <v/>
      </c>
      <c r="Q84" s="16" t="str">
        <f aca="false">IF($A84="","",SUMIFS(月次実績!$D$5:$D$3004,月次実績!$B$5:$B$3004,$A84,月次実績!$A$5:$A$3004,"&gt;="&amp;EDATE(設定!$C$5,-(設定!$C$6-1))))</f>
        <v/>
      </c>
      <c r="R84" s="16" t="str">
        <f aca="false">IF($A84="","",SUMIFS(月次実績!$D$5:$D$3004,月次実績!$B$5:$B$3004,$A84))</f>
        <v/>
      </c>
      <c r="S84" s="16" t="str">
        <f aca="false">IF($A84="","",SUMIFS(月次実績!$F$5:$F$3004,月次実績!$B$5:$B$3004,$A84))</f>
        <v/>
      </c>
      <c r="T84" s="19" t="str">
        <f aca="false">IF(OR($A84="",R84=0),"",S84/R84)</f>
        <v/>
      </c>
      <c r="U84" s="20" t="str">
        <f aca="false">IF($A84="","",SUMIFS(月次実績!$G$5:$G$3004,月次実績!$B$5:$B$3004,$A84))</f>
        <v/>
      </c>
      <c r="V84" s="17" t="str">
        <f aca="false">IF($A84="","",IF(Q84&gt;=設定!$C$7,"稼働中",IF(Q84&gt;=1,"低稼働","休眠")))</f>
        <v/>
      </c>
      <c r="W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15"/>
      <c r="H85" s="21"/>
      <c r="I85" s="15" t="str">
        <f aca="false">IF($A85="","",IF(_xlfn.MAXIFS(アクションログ!$A$5:$A$2004,アクションログ!$B$5:$B$2004,$A85)=0,"",_xlfn.MAXIFS(アクションログ!$A$5:$A$2004,アクションログ!$B$5:$B$2004,$A85)))</f>
        <v/>
      </c>
      <c r="J85" s="16" t="str">
        <f aca="false">IF(OR($A85="",I85=""),"",設定!$C$4-I85)</f>
        <v/>
      </c>
      <c r="K85" s="16" t="str">
        <f aca="false">IF($A85="","",IFERROR(INDEX(設定!$D$14:$D$17,MATCH(F85,設定!$B$14:$B$17,0)),""))</f>
        <v/>
      </c>
      <c r="L85" s="15" t="str">
        <f aca="false">IF(OR($A85="",K85=""),"",IF(I85="",設定!$C$4,I85+K85))</f>
        <v/>
      </c>
      <c r="M85" s="17" t="str">
        <f aca="false">IF($A85="","",IF(F85="","ランク未設定",IF(I85="","未接触",IF(設定!$C$4&gt;L85,"期限超過",IF(L85-設定!$C$4&lt;=設定!$C$8,"今週連絡","OK")))))</f>
        <v/>
      </c>
      <c r="N85" s="15" t="str">
        <f aca="false">IF($A85="","",IF(_xlfn.MINIFS(アクションログ!$J$5:$J$2004,アクションログ!$B$5:$B$2004,$A85,アクションログ!$K$5:$K$2004,"&lt;&gt;済",アクションログ!$J$5:$J$2004,"&gt;0")=0,"",_xlfn.MINIFS(アクションログ!$J$5:$J$2004,アクションログ!$B$5:$B$2004,$A85,アクションログ!$K$5:$K$2004,"&lt;&gt;済",アクションログ!$J$5:$J$2004,"&gt;0")))</f>
        <v/>
      </c>
      <c r="O85" s="18" t="str">
        <f aca="false">IF(N85="","",IFERROR(INDEX(アクションログ!$I$5:$I$2004,MATCH($A85&amp;"|"&amp;N85,アクションログ!$L$5:$L$2004,0)),""))</f>
        <v/>
      </c>
      <c r="P85" s="16" t="str">
        <f aca="false">IF($A85="","",COUNTIFS(アクションログ!$B$5:$B$2004,$A85,アクションログ!$A$5:$A$2004,"&gt;="&amp;設定!$C$5))</f>
        <v/>
      </c>
      <c r="Q85" s="16" t="str">
        <f aca="false">IF($A85="","",SUMIFS(月次実績!$D$5:$D$3004,月次実績!$B$5:$B$3004,$A85,月次実績!$A$5:$A$3004,"&gt;="&amp;EDATE(設定!$C$5,-(設定!$C$6-1))))</f>
        <v/>
      </c>
      <c r="R85" s="16" t="str">
        <f aca="false">IF($A85="","",SUMIFS(月次実績!$D$5:$D$3004,月次実績!$B$5:$B$3004,$A85))</f>
        <v/>
      </c>
      <c r="S85" s="16" t="str">
        <f aca="false">IF($A85="","",SUMIFS(月次実績!$F$5:$F$3004,月次実績!$B$5:$B$3004,$A85))</f>
        <v/>
      </c>
      <c r="T85" s="19" t="str">
        <f aca="false">IF(OR($A85="",R85=0),"",S85/R85)</f>
        <v/>
      </c>
      <c r="U85" s="20" t="str">
        <f aca="false">IF($A85="","",SUMIFS(月次実績!$G$5:$G$3004,月次実績!$B$5:$B$3004,$A85))</f>
        <v/>
      </c>
      <c r="V85" s="17" t="str">
        <f aca="false">IF($A85="","",IF(Q85&gt;=設定!$C$7,"稼働中",IF(Q85&gt;=1,"低稼働","休眠")))</f>
        <v/>
      </c>
      <c r="W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15"/>
      <c r="H86" s="21"/>
      <c r="I86" s="15" t="str">
        <f aca="false">IF($A86="","",IF(_xlfn.MAXIFS(アクションログ!$A$5:$A$2004,アクションログ!$B$5:$B$2004,$A86)=0,"",_xlfn.MAXIFS(アクションログ!$A$5:$A$2004,アクションログ!$B$5:$B$2004,$A86)))</f>
        <v/>
      </c>
      <c r="J86" s="16" t="str">
        <f aca="false">IF(OR($A86="",I86=""),"",設定!$C$4-I86)</f>
        <v/>
      </c>
      <c r="K86" s="16" t="str">
        <f aca="false">IF($A86="","",IFERROR(INDEX(設定!$D$14:$D$17,MATCH(F86,設定!$B$14:$B$17,0)),""))</f>
        <v/>
      </c>
      <c r="L86" s="15" t="str">
        <f aca="false">IF(OR($A86="",K86=""),"",IF(I86="",設定!$C$4,I86+K86))</f>
        <v/>
      </c>
      <c r="M86" s="17" t="str">
        <f aca="false">IF($A86="","",IF(F86="","ランク未設定",IF(I86="","未接触",IF(設定!$C$4&gt;L86,"期限超過",IF(L86-設定!$C$4&lt;=設定!$C$8,"今週連絡","OK")))))</f>
        <v/>
      </c>
      <c r="N86" s="15" t="str">
        <f aca="false">IF($A86="","",IF(_xlfn.MINIFS(アクションログ!$J$5:$J$2004,アクションログ!$B$5:$B$2004,$A86,アクションログ!$K$5:$K$2004,"&lt;&gt;済",アクションログ!$J$5:$J$2004,"&gt;0")=0,"",_xlfn.MINIFS(アクションログ!$J$5:$J$2004,アクションログ!$B$5:$B$2004,$A86,アクションログ!$K$5:$K$2004,"&lt;&gt;済",アクションログ!$J$5:$J$2004,"&gt;0")))</f>
        <v/>
      </c>
      <c r="O86" s="18" t="str">
        <f aca="false">IF(N86="","",IFERROR(INDEX(アクションログ!$I$5:$I$2004,MATCH($A86&amp;"|"&amp;N86,アクションログ!$L$5:$L$2004,0)),""))</f>
        <v/>
      </c>
      <c r="P86" s="16" t="str">
        <f aca="false">IF($A86="","",COUNTIFS(アクションログ!$B$5:$B$2004,$A86,アクションログ!$A$5:$A$2004,"&gt;="&amp;設定!$C$5))</f>
        <v/>
      </c>
      <c r="Q86" s="16" t="str">
        <f aca="false">IF($A86="","",SUMIFS(月次実績!$D$5:$D$3004,月次実績!$B$5:$B$3004,$A86,月次実績!$A$5:$A$3004,"&gt;="&amp;EDATE(設定!$C$5,-(設定!$C$6-1))))</f>
        <v/>
      </c>
      <c r="R86" s="16" t="str">
        <f aca="false">IF($A86="","",SUMIFS(月次実績!$D$5:$D$3004,月次実績!$B$5:$B$3004,$A86))</f>
        <v/>
      </c>
      <c r="S86" s="16" t="str">
        <f aca="false">IF($A86="","",SUMIFS(月次実績!$F$5:$F$3004,月次実績!$B$5:$B$3004,$A86))</f>
        <v/>
      </c>
      <c r="T86" s="19" t="str">
        <f aca="false">IF(OR($A86="",R86=0),"",S86/R86)</f>
        <v/>
      </c>
      <c r="U86" s="20" t="str">
        <f aca="false">IF($A86="","",SUMIFS(月次実績!$G$5:$G$3004,月次実績!$B$5:$B$3004,$A86))</f>
        <v/>
      </c>
      <c r="V86" s="17" t="str">
        <f aca="false">IF($A86="","",IF(Q86&gt;=設定!$C$7,"稼働中",IF(Q86&gt;=1,"低稼働","休眠")))</f>
        <v/>
      </c>
      <c r="W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15"/>
      <c r="H87" s="21"/>
      <c r="I87" s="15" t="str">
        <f aca="false">IF($A87="","",IF(_xlfn.MAXIFS(アクションログ!$A$5:$A$2004,アクションログ!$B$5:$B$2004,$A87)=0,"",_xlfn.MAXIFS(アクションログ!$A$5:$A$2004,アクションログ!$B$5:$B$2004,$A87)))</f>
        <v/>
      </c>
      <c r="J87" s="16" t="str">
        <f aca="false">IF(OR($A87="",I87=""),"",設定!$C$4-I87)</f>
        <v/>
      </c>
      <c r="K87" s="16" t="str">
        <f aca="false">IF($A87="","",IFERROR(INDEX(設定!$D$14:$D$17,MATCH(F87,設定!$B$14:$B$17,0)),""))</f>
        <v/>
      </c>
      <c r="L87" s="15" t="str">
        <f aca="false">IF(OR($A87="",K87=""),"",IF(I87="",設定!$C$4,I87+K87))</f>
        <v/>
      </c>
      <c r="M87" s="17" t="str">
        <f aca="false">IF($A87="","",IF(F87="","ランク未設定",IF(I87="","未接触",IF(設定!$C$4&gt;L87,"期限超過",IF(L87-設定!$C$4&lt;=設定!$C$8,"今週連絡","OK")))))</f>
        <v/>
      </c>
      <c r="N87" s="15" t="str">
        <f aca="false">IF($A87="","",IF(_xlfn.MINIFS(アクションログ!$J$5:$J$2004,アクションログ!$B$5:$B$2004,$A87,アクションログ!$K$5:$K$2004,"&lt;&gt;済",アクションログ!$J$5:$J$2004,"&gt;0")=0,"",_xlfn.MINIFS(アクションログ!$J$5:$J$2004,アクションログ!$B$5:$B$2004,$A87,アクションログ!$K$5:$K$2004,"&lt;&gt;済",アクションログ!$J$5:$J$2004,"&gt;0")))</f>
        <v/>
      </c>
      <c r="O87" s="18" t="str">
        <f aca="false">IF(N87="","",IFERROR(INDEX(アクションログ!$I$5:$I$2004,MATCH($A87&amp;"|"&amp;N87,アクションログ!$L$5:$L$2004,0)),""))</f>
        <v/>
      </c>
      <c r="P87" s="16" t="str">
        <f aca="false">IF($A87="","",COUNTIFS(アクションログ!$B$5:$B$2004,$A87,アクションログ!$A$5:$A$2004,"&gt;="&amp;設定!$C$5))</f>
        <v/>
      </c>
      <c r="Q87" s="16" t="str">
        <f aca="false">IF($A87="","",SUMIFS(月次実績!$D$5:$D$3004,月次実績!$B$5:$B$3004,$A87,月次実績!$A$5:$A$3004,"&gt;="&amp;EDATE(設定!$C$5,-(設定!$C$6-1))))</f>
        <v/>
      </c>
      <c r="R87" s="16" t="str">
        <f aca="false">IF($A87="","",SUMIFS(月次実績!$D$5:$D$3004,月次実績!$B$5:$B$3004,$A87))</f>
        <v/>
      </c>
      <c r="S87" s="16" t="str">
        <f aca="false">IF($A87="","",SUMIFS(月次実績!$F$5:$F$3004,月次実績!$B$5:$B$3004,$A87))</f>
        <v/>
      </c>
      <c r="T87" s="19" t="str">
        <f aca="false">IF(OR($A87="",R87=0),"",S87/R87)</f>
        <v/>
      </c>
      <c r="U87" s="20" t="str">
        <f aca="false">IF($A87="","",SUMIFS(月次実績!$G$5:$G$3004,月次実績!$B$5:$B$3004,$A87))</f>
        <v/>
      </c>
      <c r="V87" s="17" t="str">
        <f aca="false">IF($A87="","",IF(Q87&gt;=設定!$C$7,"稼働中",IF(Q87&gt;=1,"低稼働","休眠")))</f>
        <v/>
      </c>
      <c r="W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15"/>
      <c r="H88" s="21"/>
      <c r="I88" s="15" t="str">
        <f aca="false">IF($A88="","",IF(_xlfn.MAXIFS(アクションログ!$A$5:$A$2004,アクションログ!$B$5:$B$2004,$A88)=0,"",_xlfn.MAXIFS(アクションログ!$A$5:$A$2004,アクションログ!$B$5:$B$2004,$A88)))</f>
        <v/>
      </c>
      <c r="J88" s="16" t="str">
        <f aca="false">IF(OR($A88="",I88=""),"",設定!$C$4-I88)</f>
        <v/>
      </c>
      <c r="K88" s="16" t="str">
        <f aca="false">IF($A88="","",IFERROR(INDEX(設定!$D$14:$D$17,MATCH(F88,設定!$B$14:$B$17,0)),""))</f>
        <v/>
      </c>
      <c r="L88" s="15" t="str">
        <f aca="false">IF(OR($A88="",K88=""),"",IF(I88="",設定!$C$4,I88+K88))</f>
        <v/>
      </c>
      <c r="M88" s="17" t="str">
        <f aca="false">IF($A88="","",IF(F88="","ランク未設定",IF(I88="","未接触",IF(設定!$C$4&gt;L88,"期限超過",IF(L88-設定!$C$4&lt;=設定!$C$8,"今週連絡","OK")))))</f>
        <v/>
      </c>
      <c r="N88" s="15" t="str">
        <f aca="false">IF($A88="","",IF(_xlfn.MINIFS(アクションログ!$J$5:$J$2004,アクションログ!$B$5:$B$2004,$A88,アクションログ!$K$5:$K$2004,"&lt;&gt;済",アクションログ!$J$5:$J$2004,"&gt;0")=0,"",_xlfn.MINIFS(アクションログ!$J$5:$J$2004,アクションログ!$B$5:$B$2004,$A88,アクションログ!$K$5:$K$2004,"&lt;&gt;済",アクションログ!$J$5:$J$2004,"&gt;0")))</f>
        <v/>
      </c>
      <c r="O88" s="18" t="str">
        <f aca="false">IF(N88="","",IFERROR(INDEX(アクションログ!$I$5:$I$2004,MATCH($A88&amp;"|"&amp;N88,アクションログ!$L$5:$L$2004,0)),""))</f>
        <v/>
      </c>
      <c r="P88" s="16" t="str">
        <f aca="false">IF($A88="","",COUNTIFS(アクションログ!$B$5:$B$2004,$A88,アクションログ!$A$5:$A$2004,"&gt;="&amp;設定!$C$5))</f>
        <v/>
      </c>
      <c r="Q88" s="16" t="str">
        <f aca="false">IF($A88="","",SUMIFS(月次実績!$D$5:$D$3004,月次実績!$B$5:$B$3004,$A88,月次実績!$A$5:$A$3004,"&gt;="&amp;EDATE(設定!$C$5,-(設定!$C$6-1))))</f>
        <v/>
      </c>
      <c r="R88" s="16" t="str">
        <f aca="false">IF($A88="","",SUMIFS(月次実績!$D$5:$D$3004,月次実績!$B$5:$B$3004,$A88))</f>
        <v/>
      </c>
      <c r="S88" s="16" t="str">
        <f aca="false">IF($A88="","",SUMIFS(月次実績!$F$5:$F$3004,月次実績!$B$5:$B$3004,$A88))</f>
        <v/>
      </c>
      <c r="T88" s="19" t="str">
        <f aca="false">IF(OR($A88="",R88=0),"",S88/R88)</f>
        <v/>
      </c>
      <c r="U88" s="20" t="str">
        <f aca="false">IF($A88="","",SUMIFS(月次実績!$G$5:$G$3004,月次実績!$B$5:$B$3004,$A88))</f>
        <v/>
      </c>
      <c r="V88" s="17" t="str">
        <f aca="false">IF($A88="","",IF(Q88&gt;=設定!$C$7,"稼働中",IF(Q88&gt;=1,"低稼働","休眠")))</f>
        <v/>
      </c>
      <c r="W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15"/>
      <c r="H89" s="21"/>
      <c r="I89" s="15" t="str">
        <f aca="false">IF($A89="","",IF(_xlfn.MAXIFS(アクションログ!$A$5:$A$2004,アクションログ!$B$5:$B$2004,$A89)=0,"",_xlfn.MAXIFS(アクションログ!$A$5:$A$2004,アクションログ!$B$5:$B$2004,$A89)))</f>
        <v/>
      </c>
      <c r="J89" s="16" t="str">
        <f aca="false">IF(OR($A89="",I89=""),"",設定!$C$4-I89)</f>
        <v/>
      </c>
      <c r="K89" s="16" t="str">
        <f aca="false">IF($A89="","",IFERROR(INDEX(設定!$D$14:$D$17,MATCH(F89,設定!$B$14:$B$17,0)),""))</f>
        <v/>
      </c>
      <c r="L89" s="15" t="str">
        <f aca="false">IF(OR($A89="",K89=""),"",IF(I89="",設定!$C$4,I89+K89))</f>
        <v/>
      </c>
      <c r="M89" s="17" t="str">
        <f aca="false">IF($A89="","",IF(F89="","ランク未設定",IF(I89="","未接触",IF(設定!$C$4&gt;L89,"期限超過",IF(L89-設定!$C$4&lt;=設定!$C$8,"今週連絡","OK")))))</f>
        <v/>
      </c>
      <c r="N89" s="15" t="str">
        <f aca="false">IF($A89="","",IF(_xlfn.MINIFS(アクションログ!$J$5:$J$2004,アクションログ!$B$5:$B$2004,$A89,アクションログ!$K$5:$K$2004,"&lt;&gt;済",アクションログ!$J$5:$J$2004,"&gt;0")=0,"",_xlfn.MINIFS(アクションログ!$J$5:$J$2004,アクションログ!$B$5:$B$2004,$A89,アクションログ!$K$5:$K$2004,"&lt;&gt;済",アクションログ!$J$5:$J$2004,"&gt;0")))</f>
        <v/>
      </c>
      <c r="O89" s="18" t="str">
        <f aca="false">IF(N89="","",IFERROR(INDEX(アクションログ!$I$5:$I$2004,MATCH($A89&amp;"|"&amp;N89,アクションログ!$L$5:$L$2004,0)),""))</f>
        <v/>
      </c>
      <c r="P89" s="16" t="str">
        <f aca="false">IF($A89="","",COUNTIFS(アクションログ!$B$5:$B$2004,$A89,アクションログ!$A$5:$A$2004,"&gt;="&amp;設定!$C$5))</f>
        <v/>
      </c>
      <c r="Q89" s="16" t="str">
        <f aca="false">IF($A89="","",SUMIFS(月次実績!$D$5:$D$3004,月次実績!$B$5:$B$3004,$A89,月次実績!$A$5:$A$3004,"&gt;="&amp;EDATE(設定!$C$5,-(設定!$C$6-1))))</f>
        <v/>
      </c>
      <c r="R89" s="16" t="str">
        <f aca="false">IF($A89="","",SUMIFS(月次実績!$D$5:$D$3004,月次実績!$B$5:$B$3004,$A89))</f>
        <v/>
      </c>
      <c r="S89" s="16" t="str">
        <f aca="false">IF($A89="","",SUMIFS(月次実績!$F$5:$F$3004,月次実績!$B$5:$B$3004,$A89))</f>
        <v/>
      </c>
      <c r="T89" s="19" t="str">
        <f aca="false">IF(OR($A89="",R89=0),"",S89/R89)</f>
        <v/>
      </c>
      <c r="U89" s="20" t="str">
        <f aca="false">IF($A89="","",SUMIFS(月次実績!$G$5:$G$3004,月次実績!$B$5:$B$3004,$A89))</f>
        <v/>
      </c>
      <c r="V89" s="17" t="str">
        <f aca="false">IF($A89="","",IF(Q89&gt;=設定!$C$7,"稼働中",IF(Q89&gt;=1,"低稼働","休眠")))</f>
        <v/>
      </c>
      <c r="W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15"/>
      <c r="H90" s="21"/>
      <c r="I90" s="15" t="str">
        <f aca="false">IF($A90="","",IF(_xlfn.MAXIFS(アクションログ!$A$5:$A$2004,アクションログ!$B$5:$B$2004,$A90)=0,"",_xlfn.MAXIFS(アクションログ!$A$5:$A$2004,アクションログ!$B$5:$B$2004,$A90)))</f>
        <v/>
      </c>
      <c r="J90" s="16" t="str">
        <f aca="false">IF(OR($A90="",I90=""),"",設定!$C$4-I90)</f>
        <v/>
      </c>
      <c r="K90" s="16" t="str">
        <f aca="false">IF($A90="","",IFERROR(INDEX(設定!$D$14:$D$17,MATCH(F90,設定!$B$14:$B$17,0)),""))</f>
        <v/>
      </c>
      <c r="L90" s="15" t="str">
        <f aca="false">IF(OR($A90="",K90=""),"",IF(I90="",設定!$C$4,I90+K90))</f>
        <v/>
      </c>
      <c r="M90" s="17" t="str">
        <f aca="false">IF($A90="","",IF(F90="","ランク未設定",IF(I90="","未接触",IF(設定!$C$4&gt;L90,"期限超過",IF(L90-設定!$C$4&lt;=設定!$C$8,"今週連絡","OK")))))</f>
        <v/>
      </c>
      <c r="N90" s="15" t="str">
        <f aca="false">IF($A90="","",IF(_xlfn.MINIFS(アクションログ!$J$5:$J$2004,アクションログ!$B$5:$B$2004,$A90,アクションログ!$K$5:$K$2004,"&lt;&gt;済",アクションログ!$J$5:$J$2004,"&gt;0")=0,"",_xlfn.MINIFS(アクションログ!$J$5:$J$2004,アクションログ!$B$5:$B$2004,$A90,アクションログ!$K$5:$K$2004,"&lt;&gt;済",アクションログ!$J$5:$J$2004,"&gt;0")))</f>
        <v/>
      </c>
      <c r="O90" s="18" t="str">
        <f aca="false">IF(N90="","",IFERROR(INDEX(アクションログ!$I$5:$I$2004,MATCH($A90&amp;"|"&amp;N90,アクションログ!$L$5:$L$2004,0)),""))</f>
        <v/>
      </c>
      <c r="P90" s="16" t="str">
        <f aca="false">IF($A90="","",COUNTIFS(アクションログ!$B$5:$B$2004,$A90,アクションログ!$A$5:$A$2004,"&gt;="&amp;設定!$C$5))</f>
        <v/>
      </c>
      <c r="Q90" s="16" t="str">
        <f aca="false">IF($A90="","",SUMIFS(月次実績!$D$5:$D$3004,月次実績!$B$5:$B$3004,$A90,月次実績!$A$5:$A$3004,"&gt;="&amp;EDATE(設定!$C$5,-(設定!$C$6-1))))</f>
        <v/>
      </c>
      <c r="R90" s="16" t="str">
        <f aca="false">IF($A90="","",SUMIFS(月次実績!$D$5:$D$3004,月次実績!$B$5:$B$3004,$A90))</f>
        <v/>
      </c>
      <c r="S90" s="16" t="str">
        <f aca="false">IF($A90="","",SUMIFS(月次実績!$F$5:$F$3004,月次実績!$B$5:$B$3004,$A90))</f>
        <v/>
      </c>
      <c r="T90" s="19" t="str">
        <f aca="false">IF(OR($A90="",R90=0),"",S90/R90)</f>
        <v/>
      </c>
      <c r="U90" s="20" t="str">
        <f aca="false">IF($A90="","",SUMIFS(月次実績!$G$5:$G$3004,月次実績!$B$5:$B$3004,$A90))</f>
        <v/>
      </c>
      <c r="V90" s="17" t="str">
        <f aca="false">IF($A90="","",IF(Q90&gt;=設定!$C$7,"稼働中",IF(Q90&gt;=1,"低稼働","休眠")))</f>
        <v/>
      </c>
      <c r="W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15"/>
      <c r="H91" s="21"/>
      <c r="I91" s="15" t="str">
        <f aca="false">IF($A91="","",IF(_xlfn.MAXIFS(アクションログ!$A$5:$A$2004,アクションログ!$B$5:$B$2004,$A91)=0,"",_xlfn.MAXIFS(アクションログ!$A$5:$A$2004,アクションログ!$B$5:$B$2004,$A91)))</f>
        <v/>
      </c>
      <c r="J91" s="16" t="str">
        <f aca="false">IF(OR($A91="",I91=""),"",設定!$C$4-I91)</f>
        <v/>
      </c>
      <c r="K91" s="16" t="str">
        <f aca="false">IF($A91="","",IFERROR(INDEX(設定!$D$14:$D$17,MATCH(F91,設定!$B$14:$B$17,0)),""))</f>
        <v/>
      </c>
      <c r="L91" s="15" t="str">
        <f aca="false">IF(OR($A91="",K91=""),"",IF(I91="",設定!$C$4,I91+K91))</f>
        <v/>
      </c>
      <c r="M91" s="17" t="str">
        <f aca="false">IF($A91="","",IF(F91="","ランク未設定",IF(I91="","未接触",IF(設定!$C$4&gt;L91,"期限超過",IF(L91-設定!$C$4&lt;=設定!$C$8,"今週連絡","OK")))))</f>
        <v/>
      </c>
      <c r="N91" s="15" t="str">
        <f aca="false">IF($A91="","",IF(_xlfn.MINIFS(アクションログ!$J$5:$J$2004,アクションログ!$B$5:$B$2004,$A91,アクションログ!$K$5:$K$2004,"&lt;&gt;済",アクションログ!$J$5:$J$2004,"&gt;0")=0,"",_xlfn.MINIFS(アクションログ!$J$5:$J$2004,アクションログ!$B$5:$B$2004,$A91,アクションログ!$K$5:$K$2004,"&lt;&gt;済",アクションログ!$J$5:$J$2004,"&gt;0")))</f>
        <v/>
      </c>
      <c r="O91" s="18" t="str">
        <f aca="false">IF(N91="","",IFERROR(INDEX(アクションログ!$I$5:$I$2004,MATCH($A91&amp;"|"&amp;N91,アクションログ!$L$5:$L$2004,0)),""))</f>
        <v/>
      </c>
      <c r="P91" s="16" t="str">
        <f aca="false">IF($A91="","",COUNTIFS(アクションログ!$B$5:$B$2004,$A91,アクションログ!$A$5:$A$2004,"&gt;="&amp;設定!$C$5))</f>
        <v/>
      </c>
      <c r="Q91" s="16" t="str">
        <f aca="false">IF($A91="","",SUMIFS(月次実績!$D$5:$D$3004,月次実績!$B$5:$B$3004,$A91,月次実績!$A$5:$A$3004,"&gt;="&amp;EDATE(設定!$C$5,-(設定!$C$6-1))))</f>
        <v/>
      </c>
      <c r="R91" s="16" t="str">
        <f aca="false">IF($A91="","",SUMIFS(月次実績!$D$5:$D$3004,月次実績!$B$5:$B$3004,$A91))</f>
        <v/>
      </c>
      <c r="S91" s="16" t="str">
        <f aca="false">IF($A91="","",SUMIFS(月次実績!$F$5:$F$3004,月次実績!$B$5:$B$3004,$A91))</f>
        <v/>
      </c>
      <c r="T91" s="19" t="str">
        <f aca="false">IF(OR($A91="",R91=0),"",S91/R91)</f>
        <v/>
      </c>
      <c r="U91" s="20" t="str">
        <f aca="false">IF($A91="","",SUMIFS(月次実績!$G$5:$G$3004,月次実績!$B$5:$B$3004,$A91))</f>
        <v/>
      </c>
      <c r="V91" s="17" t="str">
        <f aca="false">IF($A91="","",IF(Q91&gt;=設定!$C$7,"稼働中",IF(Q91&gt;=1,"低稼働","休眠")))</f>
        <v/>
      </c>
      <c r="W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15"/>
      <c r="H92" s="21"/>
      <c r="I92" s="15" t="str">
        <f aca="false">IF($A92="","",IF(_xlfn.MAXIFS(アクションログ!$A$5:$A$2004,アクションログ!$B$5:$B$2004,$A92)=0,"",_xlfn.MAXIFS(アクションログ!$A$5:$A$2004,アクションログ!$B$5:$B$2004,$A92)))</f>
        <v/>
      </c>
      <c r="J92" s="16" t="str">
        <f aca="false">IF(OR($A92="",I92=""),"",設定!$C$4-I92)</f>
        <v/>
      </c>
      <c r="K92" s="16" t="str">
        <f aca="false">IF($A92="","",IFERROR(INDEX(設定!$D$14:$D$17,MATCH(F92,設定!$B$14:$B$17,0)),""))</f>
        <v/>
      </c>
      <c r="L92" s="15" t="str">
        <f aca="false">IF(OR($A92="",K92=""),"",IF(I92="",設定!$C$4,I92+K92))</f>
        <v/>
      </c>
      <c r="M92" s="17" t="str">
        <f aca="false">IF($A92="","",IF(F92="","ランク未設定",IF(I92="","未接触",IF(設定!$C$4&gt;L92,"期限超過",IF(L92-設定!$C$4&lt;=設定!$C$8,"今週連絡","OK")))))</f>
        <v/>
      </c>
      <c r="N92" s="15" t="str">
        <f aca="false">IF($A92="","",IF(_xlfn.MINIFS(アクションログ!$J$5:$J$2004,アクションログ!$B$5:$B$2004,$A92,アクションログ!$K$5:$K$2004,"&lt;&gt;済",アクションログ!$J$5:$J$2004,"&gt;0")=0,"",_xlfn.MINIFS(アクションログ!$J$5:$J$2004,アクションログ!$B$5:$B$2004,$A92,アクションログ!$K$5:$K$2004,"&lt;&gt;済",アクションログ!$J$5:$J$2004,"&gt;0")))</f>
        <v/>
      </c>
      <c r="O92" s="18" t="str">
        <f aca="false">IF(N92="","",IFERROR(INDEX(アクションログ!$I$5:$I$2004,MATCH($A92&amp;"|"&amp;N92,アクションログ!$L$5:$L$2004,0)),""))</f>
        <v/>
      </c>
      <c r="P92" s="16" t="str">
        <f aca="false">IF($A92="","",COUNTIFS(アクションログ!$B$5:$B$2004,$A92,アクションログ!$A$5:$A$2004,"&gt;="&amp;設定!$C$5))</f>
        <v/>
      </c>
      <c r="Q92" s="16" t="str">
        <f aca="false">IF($A92="","",SUMIFS(月次実績!$D$5:$D$3004,月次実績!$B$5:$B$3004,$A92,月次実績!$A$5:$A$3004,"&gt;="&amp;EDATE(設定!$C$5,-(設定!$C$6-1))))</f>
        <v/>
      </c>
      <c r="R92" s="16" t="str">
        <f aca="false">IF($A92="","",SUMIFS(月次実績!$D$5:$D$3004,月次実績!$B$5:$B$3004,$A92))</f>
        <v/>
      </c>
      <c r="S92" s="16" t="str">
        <f aca="false">IF($A92="","",SUMIFS(月次実績!$F$5:$F$3004,月次実績!$B$5:$B$3004,$A92))</f>
        <v/>
      </c>
      <c r="T92" s="19" t="str">
        <f aca="false">IF(OR($A92="",R92=0),"",S92/R92)</f>
        <v/>
      </c>
      <c r="U92" s="20" t="str">
        <f aca="false">IF($A92="","",SUMIFS(月次実績!$G$5:$G$3004,月次実績!$B$5:$B$3004,$A92))</f>
        <v/>
      </c>
      <c r="V92" s="17" t="str">
        <f aca="false">IF($A92="","",IF(Q92&gt;=設定!$C$7,"稼働中",IF(Q92&gt;=1,"低稼働","休眠")))</f>
        <v/>
      </c>
      <c r="W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15"/>
      <c r="H93" s="21"/>
      <c r="I93" s="15" t="str">
        <f aca="false">IF($A93="","",IF(_xlfn.MAXIFS(アクションログ!$A$5:$A$2004,アクションログ!$B$5:$B$2004,$A93)=0,"",_xlfn.MAXIFS(アクションログ!$A$5:$A$2004,アクションログ!$B$5:$B$2004,$A93)))</f>
        <v/>
      </c>
      <c r="J93" s="16" t="str">
        <f aca="false">IF(OR($A93="",I93=""),"",設定!$C$4-I93)</f>
        <v/>
      </c>
      <c r="K93" s="16" t="str">
        <f aca="false">IF($A93="","",IFERROR(INDEX(設定!$D$14:$D$17,MATCH(F93,設定!$B$14:$B$17,0)),""))</f>
        <v/>
      </c>
      <c r="L93" s="15" t="str">
        <f aca="false">IF(OR($A93="",K93=""),"",IF(I93="",設定!$C$4,I93+K93))</f>
        <v/>
      </c>
      <c r="M93" s="17" t="str">
        <f aca="false">IF($A93="","",IF(F93="","ランク未設定",IF(I93="","未接触",IF(設定!$C$4&gt;L93,"期限超過",IF(L93-設定!$C$4&lt;=設定!$C$8,"今週連絡","OK")))))</f>
        <v/>
      </c>
      <c r="N93" s="15" t="str">
        <f aca="false">IF($A93="","",IF(_xlfn.MINIFS(アクションログ!$J$5:$J$2004,アクションログ!$B$5:$B$2004,$A93,アクションログ!$K$5:$K$2004,"&lt;&gt;済",アクションログ!$J$5:$J$2004,"&gt;0")=0,"",_xlfn.MINIFS(アクションログ!$J$5:$J$2004,アクションログ!$B$5:$B$2004,$A93,アクションログ!$K$5:$K$2004,"&lt;&gt;済",アクションログ!$J$5:$J$2004,"&gt;0")))</f>
        <v/>
      </c>
      <c r="O93" s="18" t="str">
        <f aca="false">IF(N93="","",IFERROR(INDEX(アクションログ!$I$5:$I$2004,MATCH($A93&amp;"|"&amp;N93,アクションログ!$L$5:$L$2004,0)),""))</f>
        <v/>
      </c>
      <c r="P93" s="16" t="str">
        <f aca="false">IF($A93="","",COUNTIFS(アクションログ!$B$5:$B$2004,$A93,アクションログ!$A$5:$A$2004,"&gt;="&amp;設定!$C$5))</f>
        <v/>
      </c>
      <c r="Q93" s="16" t="str">
        <f aca="false">IF($A93="","",SUMIFS(月次実績!$D$5:$D$3004,月次実績!$B$5:$B$3004,$A93,月次実績!$A$5:$A$3004,"&gt;="&amp;EDATE(設定!$C$5,-(設定!$C$6-1))))</f>
        <v/>
      </c>
      <c r="R93" s="16" t="str">
        <f aca="false">IF($A93="","",SUMIFS(月次実績!$D$5:$D$3004,月次実績!$B$5:$B$3004,$A93))</f>
        <v/>
      </c>
      <c r="S93" s="16" t="str">
        <f aca="false">IF($A93="","",SUMIFS(月次実績!$F$5:$F$3004,月次実績!$B$5:$B$3004,$A93))</f>
        <v/>
      </c>
      <c r="T93" s="19" t="str">
        <f aca="false">IF(OR($A93="",R93=0),"",S93/R93)</f>
        <v/>
      </c>
      <c r="U93" s="20" t="str">
        <f aca="false">IF($A93="","",SUMIFS(月次実績!$G$5:$G$3004,月次実績!$B$5:$B$3004,$A93))</f>
        <v/>
      </c>
      <c r="V93" s="17" t="str">
        <f aca="false">IF($A93="","",IF(Q93&gt;=設定!$C$7,"稼働中",IF(Q93&gt;=1,"低稼働","休眠")))</f>
        <v/>
      </c>
      <c r="W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15"/>
      <c r="H94" s="21"/>
      <c r="I94" s="15" t="str">
        <f aca="false">IF($A94="","",IF(_xlfn.MAXIFS(アクションログ!$A$5:$A$2004,アクションログ!$B$5:$B$2004,$A94)=0,"",_xlfn.MAXIFS(アクションログ!$A$5:$A$2004,アクションログ!$B$5:$B$2004,$A94)))</f>
        <v/>
      </c>
      <c r="J94" s="16" t="str">
        <f aca="false">IF(OR($A94="",I94=""),"",設定!$C$4-I94)</f>
        <v/>
      </c>
      <c r="K94" s="16" t="str">
        <f aca="false">IF($A94="","",IFERROR(INDEX(設定!$D$14:$D$17,MATCH(F94,設定!$B$14:$B$17,0)),""))</f>
        <v/>
      </c>
      <c r="L94" s="15" t="str">
        <f aca="false">IF(OR($A94="",K94=""),"",IF(I94="",設定!$C$4,I94+K94))</f>
        <v/>
      </c>
      <c r="M94" s="17" t="str">
        <f aca="false">IF($A94="","",IF(F94="","ランク未設定",IF(I94="","未接触",IF(設定!$C$4&gt;L94,"期限超過",IF(L94-設定!$C$4&lt;=設定!$C$8,"今週連絡","OK")))))</f>
        <v/>
      </c>
      <c r="N94" s="15" t="str">
        <f aca="false">IF($A94="","",IF(_xlfn.MINIFS(アクションログ!$J$5:$J$2004,アクションログ!$B$5:$B$2004,$A94,アクションログ!$K$5:$K$2004,"&lt;&gt;済",アクションログ!$J$5:$J$2004,"&gt;0")=0,"",_xlfn.MINIFS(アクションログ!$J$5:$J$2004,アクションログ!$B$5:$B$2004,$A94,アクションログ!$K$5:$K$2004,"&lt;&gt;済",アクションログ!$J$5:$J$2004,"&gt;0")))</f>
        <v/>
      </c>
      <c r="O94" s="18" t="str">
        <f aca="false">IF(N94="","",IFERROR(INDEX(アクションログ!$I$5:$I$2004,MATCH($A94&amp;"|"&amp;N94,アクションログ!$L$5:$L$2004,0)),""))</f>
        <v/>
      </c>
      <c r="P94" s="16" t="str">
        <f aca="false">IF($A94="","",COUNTIFS(アクションログ!$B$5:$B$2004,$A94,アクションログ!$A$5:$A$2004,"&gt;="&amp;設定!$C$5))</f>
        <v/>
      </c>
      <c r="Q94" s="16" t="str">
        <f aca="false">IF($A94="","",SUMIFS(月次実績!$D$5:$D$3004,月次実績!$B$5:$B$3004,$A94,月次実績!$A$5:$A$3004,"&gt;="&amp;EDATE(設定!$C$5,-(設定!$C$6-1))))</f>
        <v/>
      </c>
      <c r="R94" s="16" t="str">
        <f aca="false">IF($A94="","",SUMIFS(月次実績!$D$5:$D$3004,月次実績!$B$5:$B$3004,$A94))</f>
        <v/>
      </c>
      <c r="S94" s="16" t="str">
        <f aca="false">IF($A94="","",SUMIFS(月次実績!$F$5:$F$3004,月次実績!$B$5:$B$3004,$A94))</f>
        <v/>
      </c>
      <c r="T94" s="19" t="str">
        <f aca="false">IF(OR($A94="",R94=0),"",S94/R94)</f>
        <v/>
      </c>
      <c r="U94" s="20" t="str">
        <f aca="false">IF($A94="","",SUMIFS(月次実績!$G$5:$G$3004,月次実績!$B$5:$B$3004,$A94))</f>
        <v/>
      </c>
      <c r="V94" s="17" t="str">
        <f aca="false">IF($A94="","",IF(Q94&gt;=設定!$C$7,"稼働中",IF(Q94&gt;=1,"低稼働","休眠")))</f>
        <v/>
      </c>
      <c r="W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15"/>
      <c r="H95" s="21"/>
      <c r="I95" s="15" t="str">
        <f aca="false">IF($A95="","",IF(_xlfn.MAXIFS(アクションログ!$A$5:$A$2004,アクションログ!$B$5:$B$2004,$A95)=0,"",_xlfn.MAXIFS(アクションログ!$A$5:$A$2004,アクションログ!$B$5:$B$2004,$A95)))</f>
        <v/>
      </c>
      <c r="J95" s="16" t="str">
        <f aca="false">IF(OR($A95="",I95=""),"",設定!$C$4-I95)</f>
        <v/>
      </c>
      <c r="K95" s="16" t="str">
        <f aca="false">IF($A95="","",IFERROR(INDEX(設定!$D$14:$D$17,MATCH(F95,設定!$B$14:$B$17,0)),""))</f>
        <v/>
      </c>
      <c r="L95" s="15" t="str">
        <f aca="false">IF(OR($A95="",K95=""),"",IF(I95="",設定!$C$4,I95+K95))</f>
        <v/>
      </c>
      <c r="M95" s="17" t="str">
        <f aca="false">IF($A95="","",IF(F95="","ランク未設定",IF(I95="","未接触",IF(設定!$C$4&gt;L95,"期限超過",IF(L95-設定!$C$4&lt;=設定!$C$8,"今週連絡","OK")))))</f>
        <v/>
      </c>
      <c r="N95" s="15" t="str">
        <f aca="false">IF($A95="","",IF(_xlfn.MINIFS(アクションログ!$J$5:$J$2004,アクションログ!$B$5:$B$2004,$A95,アクションログ!$K$5:$K$2004,"&lt;&gt;済",アクションログ!$J$5:$J$2004,"&gt;0")=0,"",_xlfn.MINIFS(アクションログ!$J$5:$J$2004,アクションログ!$B$5:$B$2004,$A95,アクションログ!$K$5:$K$2004,"&lt;&gt;済",アクションログ!$J$5:$J$2004,"&gt;0")))</f>
        <v/>
      </c>
      <c r="O95" s="18" t="str">
        <f aca="false">IF(N95="","",IFERROR(INDEX(アクションログ!$I$5:$I$2004,MATCH($A95&amp;"|"&amp;N95,アクションログ!$L$5:$L$2004,0)),""))</f>
        <v/>
      </c>
      <c r="P95" s="16" t="str">
        <f aca="false">IF($A95="","",COUNTIFS(アクションログ!$B$5:$B$2004,$A95,アクションログ!$A$5:$A$2004,"&gt;="&amp;設定!$C$5))</f>
        <v/>
      </c>
      <c r="Q95" s="16" t="str">
        <f aca="false">IF($A95="","",SUMIFS(月次実績!$D$5:$D$3004,月次実績!$B$5:$B$3004,$A95,月次実績!$A$5:$A$3004,"&gt;="&amp;EDATE(設定!$C$5,-(設定!$C$6-1))))</f>
        <v/>
      </c>
      <c r="R95" s="16" t="str">
        <f aca="false">IF($A95="","",SUMIFS(月次実績!$D$5:$D$3004,月次実績!$B$5:$B$3004,$A95))</f>
        <v/>
      </c>
      <c r="S95" s="16" t="str">
        <f aca="false">IF($A95="","",SUMIFS(月次実績!$F$5:$F$3004,月次実績!$B$5:$B$3004,$A95))</f>
        <v/>
      </c>
      <c r="T95" s="19" t="str">
        <f aca="false">IF(OR($A95="",R95=0),"",S95/R95)</f>
        <v/>
      </c>
      <c r="U95" s="20" t="str">
        <f aca="false">IF($A95="","",SUMIFS(月次実績!$G$5:$G$3004,月次実績!$B$5:$B$3004,$A95))</f>
        <v/>
      </c>
      <c r="V95" s="17" t="str">
        <f aca="false">IF($A95="","",IF(Q95&gt;=設定!$C$7,"稼働中",IF(Q95&gt;=1,"低稼働","休眠")))</f>
        <v/>
      </c>
      <c r="W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15"/>
      <c r="H96" s="21"/>
      <c r="I96" s="15" t="str">
        <f aca="false">IF($A96="","",IF(_xlfn.MAXIFS(アクションログ!$A$5:$A$2004,アクションログ!$B$5:$B$2004,$A96)=0,"",_xlfn.MAXIFS(アクションログ!$A$5:$A$2004,アクションログ!$B$5:$B$2004,$A96)))</f>
        <v/>
      </c>
      <c r="J96" s="16" t="str">
        <f aca="false">IF(OR($A96="",I96=""),"",設定!$C$4-I96)</f>
        <v/>
      </c>
      <c r="K96" s="16" t="str">
        <f aca="false">IF($A96="","",IFERROR(INDEX(設定!$D$14:$D$17,MATCH(F96,設定!$B$14:$B$17,0)),""))</f>
        <v/>
      </c>
      <c r="L96" s="15" t="str">
        <f aca="false">IF(OR($A96="",K96=""),"",IF(I96="",設定!$C$4,I96+K96))</f>
        <v/>
      </c>
      <c r="M96" s="17" t="str">
        <f aca="false">IF($A96="","",IF(F96="","ランク未設定",IF(I96="","未接触",IF(設定!$C$4&gt;L96,"期限超過",IF(L96-設定!$C$4&lt;=設定!$C$8,"今週連絡","OK")))))</f>
        <v/>
      </c>
      <c r="N96" s="15" t="str">
        <f aca="false">IF($A96="","",IF(_xlfn.MINIFS(アクションログ!$J$5:$J$2004,アクションログ!$B$5:$B$2004,$A96,アクションログ!$K$5:$K$2004,"&lt;&gt;済",アクションログ!$J$5:$J$2004,"&gt;0")=0,"",_xlfn.MINIFS(アクションログ!$J$5:$J$2004,アクションログ!$B$5:$B$2004,$A96,アクションログ!$K$5:$K$2004,"&lt;&gt;済",アクションログ!$J$5:$J$2004,"&gt;0")))</f>
        <v/>
      </c>
      <c r="O96" s="18" t="str">
        <f aca="false">IF(N96="","",IFERROR(INDEX(アクションログ!$I$5:$I$2004,MATCH($A96&amp;"|"&amp;N96,アクションログ!$L$5:$L$2004,0)),""))</f>
        <v/>
      </c>
      <c r="P96" s="16" t="str">
        <f aca="false">IF($A96="","",COUNTIFS(アクションログ!$B$5:$B$2004,$A96,アクションログ!$A$5:$A$2004,"&gt;="&amp;設定!$C$5))</f>
        <v/>
      </c>
      <c r="Q96" s="16" t="str">
        <f aca="false">IF($A96="","",SUMIFS(月次実績!$D$5:$D$3004,月次実績!$B$5:$B$3004,$A96,月次実績!$A$5:$A$3004,"&gt;="&amp;EDATE(設定!$C$5,-(設定!$C$6-1))))</f>
        <v/>
      </c>
      <c r="R96" s="16" t="str">
        <f aca="false">IF($A96="","",SUMIFS(月次実績!$D$5:$D$3004,月次実績!$B$5:$B$3004,$A96))</f>
        <v/>
      </c>
      <c r="S96" s="16" t="str">
        <f aca="false">IF($A96="","",SUMIFS(月次実績!$F$5:$F$3004,月次実績!$B$5:$B$3004,$A96))</f>
        <v/>
      </c>
      <c r="T96" s="19" t="str">
        <f aca="false">IF(OR($A96="",R96=0),"",S96/R96)</f>
        <v/>
      </c>
      <c r="U96" s="20" t="str">
        <f aca="false">IF($A96="","",SUMIFS(月次実績!$G$5:$G$3004,月次実績!$B$5:$B$3004,$A96))</f>
        <v/>
      </c>
      <c r="V96" s="17" t="str">
        <f aca="false">IF($A96="","",IF(Q96&gt;=設定!$C$7,"稼働中",IF(Q96&gt;=1,"低稼働","休眠")))</f>
        <v/>
      </c>
      <c r="W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15"/>
      <c r="H97" s="21"/>
      <c r="I97" s="15" t="str">
        <f aca="false">IF($A97="","",IF(_xlfn.MAXIFS(アクションログ!$A$5:$A$2004,アクションログ!$B$5:$B$2004,$A97)=0,"",_xlfn.MAXIFS(アクションログ!$A$5:$A$2004,アクションログ!$B$5:$B$2004,$A97)))</f>
        <v/>
      </c>
      <c r="J97" s="16" t="str">
        <f aca="false">IF(OR($A97="",I97=""),"",設定!$C$4-I97)</f>
        <v/>
      </c>
      <c r="K97" s="16" t="str">
        <f aca="false">IF($A97="","",IFERROR(INDEX(設定!$D$14:$D$17,MATCH(F97,設定!$B$14:$B$17,0)),""))</f>
        <v/>
      </c>
      <c r="L97" s="15" t="str">
        <f aca="false">IF(OR($A97="",K97=""),"",IF(I97="",設定!$C$4,I97+K97))</f>
        <v/>
      </c>
      <c r="M97" s="17" t="str">
        <f aca="false">IF($A97="","",IF(F97="","ランク未設定",IF(I97="","未接触",IF(設定!$C$4&gt;L97,"期限超過",IF(L97-設定!$C$4&lt;=設定!$C$8,"今週連絡","OK")))))</f>
        <v/>
      </c>
      <c r="N97" s="15" t="str">
        <f aca="false">IF($A97="","",IF(_xlfn.MINIFS(アクションログ!$J$5:$J$2004,アクションログ!$B$5:$B$2004,$A97,アクションログ!$K$5:$K$2004,"&lt;&gt;済",アクションログ!$J$5:$J$2004,"&gt;0")=0,"",_xlfn.MINIFS(アクションログ!$J$5:$J$2004,アクションログ!$B$5:$B$2004,$A97,アクションログ!$K$5:$K$2004,"&lt;&gt;済",アクションログ!$J$5:$J$2004,"&gt;0")))</f>
        <v/>
      </c>
      <c r="O97" s="18" t="str">
        <f aca="false">IF(N97="","",IFERROR(INDEX(アクションログ!$I$5:$I$2004,MATCH($A97&amp;"|"&amp;N97,アクションログ!$L$5:$L$2004,0)),""))</f>
        <v/>
      </c>
      <c r="P97" s="16" t="str">
        <f aca="false">IF($A97="","",COUNTIFS(アクションログ!$B$5:$B$2004,$A97,アクションログ!$A$5:$A$2004,"&gt;="&amp;設定!$C$5))</f>
        <v/>
      </c>
      <c r="Q97" s="16" t="str">
        <f aca="false">IF($A97="","",SUMIFS(月次実績!$D$5:$D$3004,月次実績!$B$5:$B$3004,$A97,月次実績!$A$5:$A$3004,"&gt;="&amp;EDATE(設定!$C$5,-(設定!$C$6-1))))</f>
        <v/>
      </c>
      <c r="R97" s="16" t="str">
        <f aca="false">IF($A97="","",SUMIFS(月次実績!$D$5:$D$3004,月次実績!$B$5:$B$3004,$A97))</f>
        <v/>
      </c>
      <c r="S97" s="16" t="str">
        <f aca="false">IF($A97="","",SUMIFS(月次実績!$F$5:$F$3004,月次実績!$B$5:$B$3004,$A97))</f>
        <v/>
      </c>
      <c r="T97" s="19" t="str">
        <f aca="false">IF(OR($A97="",R97=0),"",S97/R97)</f>
        <v/>
      </c>
      <c r="U97" s="20" t="str">
        <f aca="false">IF($A97="","",SUMIFS(月次実績!$G$5:$G$3004,月次実績!$B$5:$B$3004,$A97))</f>
        <v/>
      </c>
      <c r="V97" s="17" t="str">
        <f aca="false">IF($A97="","",IF(Q97&gt;=設定!$C$7,"稼働中",IF(Q97&gt;=1,"低稼働","休眠")))</f>
        <v/>
      </c>
      <c r="W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15"/>
      <c r="H98" s="21"/>
      <c r="I98" s="15" t="str">
        <f aca="false">IF($A98="","",IF(_xlfn.MAXIFS(アクションログ!$A$5:$A$2004,アクションログ!$B$5:$B$2004,$A98)=0,"",_xlfn.MAXIFS(アクションログ!$A$5:$A$2004,アクションログ!$B$5:$B$2004,$A98)))</f>
        <v/>
      </c>
      <c r="J98" s="16" t="str">
        <f aca="false">IF(OR($A98="",I98=""),"",設定!$C$4-I98)</f>
        <v/>
      </c>
      <c r="K98" s="16" t="str">
        <f aca="false">IF($A98="","",IFERROR(INDEX(設定!$D$14:$D$17,MATCH(F98,設定!$B$14:$B$17,0)),""))</f>
        <v/>
      </c>
      <c r="L98" s="15" t="str">
        <f aca="false">IF(OR($A98="",K98=""),"",IF(I98="",設定!$C$4,I98+K98))</f>
        <v/>
      </c>
      <c r="M98" s="17" t="str">
        <f aca="false">IF($A98="","",IF(F98="","ランク未設定",IF(I98="","未接触",IF(設定!$C$4&gt;L98,"期限超過",IF(L98-設定!$C$4&lt;=設定!$C$8,"今週連絡","OK")))))</f>
        <v/>
      </c>
      <c r="N98" s="15" t="str">
        <f aca="false">IF($A98="","",IF(_xlfn.MINIFS(アクションログ!$J$5:$J$2004,アクションログ!$B$5:$B$2004,$A98,アクションログ!$K$5:$K$2004,"&lt;&gt;済",アクションログ!$J$5:$J$2004,"&gt;0")=0,"",_xlfn.MINIFS(アクションログ!$J$5:$J$2004,アクションログ!$B$5:$B$2004,$A98,アクションログ!$K$5:$K$2004,"&lt;&gt;済",アクションログ!$J$5:$J$2004,"&gt;0")))</f>
        <v/>
      </c>
      <c r="O98" s="18" t="str">
        <f aca="false">IF(N98="","",IFERROR(INDEX(アクションログ!$I$5:$I$2004,MATCH($A98&amp;"|"&amp;N98,アクションログ!$L$5:$L$2004,0)),""))</f>
        <v/>
      </c>
      <c r="P98" s="16" t="str">
        <f aca="false">IF($A98="","",COUNTIFS(アクションログ!$B$5:$B$2004,$A98,アクションログ!$A$5:$A$2004,"&gt;="&amp;設定!$C$5))</f>
        <v/>
      </c>
      <c r="Q98" s="16" t="str">
        <f aca="false">IF($A98="","",SUMIFS(月次実績!$D$5:$D$3004,月次実績!$B$5:$B$3004,$A98,月次実績!$A$5:$A$3004,"&gt;="&amp;EDATE(設定!$C$5,-(設定!$C$6-1))))</f>
        <v/>
      </c>
      <c r="R98" s="16" t="str">
        <f aca="false">IF($A98="","",SUMIFS(月次実績!$D$5:$D$3004,月次実績!$B$5:$B$3004,$A98))</f>
        <v/>
      </c>
      <c r="S98" s="16" t="str">
        <f aca="false">IF($A98="","",SUMIFS(月次実績!$F$5:$F$3004,月次実績!$B$5:$B$3004,$A98))</f>
        <v/>
      </c>
      <c r="T98" s="19" t="str">
        <f aca="false">IF(OR($A98="",R98=0),"",S98/R98)</f>
        <v/>
      </c>
      <c r="U98" s="20" t="str">
        <f aca="false">IF($A98="","",SUMIFS(月次実績!$G$5:$G$3004,月次実績!$B$5:$B$3004,$A98))</f>
        <v/>
      </c>
      <c r="V98" s="17" t="str">
        <f aca="false">IF($A98="","",IF(Q98&gt;=設定!$C$7,"稼働中",IF(Q98&gt;=1,"低稼働","休眠")))</f>
        <v/>
      </c>
      <c r="W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15"/>
      <c r="H99" s="21"/>
      <c r="I99" s="15" t="str">
        <f aca="false">IF($A99="","",IF(_xlfn.MAXIFS(アクションログ!$A$5:$A$2004,アクションログ!$B$5:$B$2004,$A99)=0,"",_xlfn.MAXIFS(アクションログ!$A$5:$A$2004,アクションログ!$B$5:$B$2004,$A99)))</f>
        <v/>
      </c>
      <c r="J99" s="16" t="str">
        <f aca="false">IF(OR($A99="",I99=""),"",設定!$C$4-I99)</f>
        <v/>
      </c>
      <c r="K99" s="16" t="str">
        <f aca="false">IF($A99="","",IFERROR(INDEX(設定!$D$14:$D$17,MATCH(F99,設定!$B$14:$B$17,0)),""))</f>
        <v/>
      </c>
      <c r="L99" s="15" t="str">
        <f aca="false">IF(OR($A99="",K99=""),"",IF(I99="",設定!$C$4,I99+K99))</f>
        <v/>
      </c>
      <c r="M99" s="17" t="str">
        <f aca="false">IF($A99="","",IF(F99="","ランク未設定",IF(I99="","未接触",IF(設定!$C$4&gt;L99,"期限超過",IF(L99-設定!$C$4&lt;=設定!$C$8,"今週連絡","OK")))))</f>
        <v/>
      </c>
      <c r="N99" s="15" t="str">
        <f aca="false">IF($A99="","",IF(_xlfn.MINIFS(アクションログ!$J$5:$J$2004,アクションログ!$B$5:$B$2004,$A99,アクションログ!$K$5:$K$2004,"&lt;&gt;済",アクションログ!$J$5:$J$2004,"&gt;0")=0,"",_xlfn.MINIFS(アクションログ!$J$5:$J$2004,アクションログ!$B$5:$B$2004,$A99,アクションログ!$K$5:$K$2004,"&lt;&gt;済",アクションログ!$J$5:$J$2004,"&gt;0")))</f>
        <v/>
      </c>
      <c r="O99" s="18" t="str">
        <f aca="false">IF(N99="","",IFERROR(INDEX(アクションログ!$I$5:$I$2004,MATCH($A99&amp;"|"&amp;N99,アクションログ!$L$5:$L$2004,0)),""))</f>
        <v/>
      </c>
      <c r="P99" s="16" t="str">
        <f aca="false">IF($A99="","",COUNTIFS(アクションログ!$B$5:$B$2004,$A99,アクションログ!$A$5:$A$2004,"&gt;="&amp;設定!$C$5))</f>
        <v/>
      </c>
      <c r="Q99" s="16" t="str">
        <f aca="false">IF($A99="","",SUMIFS(月次実績!$D$5:$D$3004,月次実績!$B$5:$B$3004,$A99,月次実績!$A$5:$A$3004,"&gt;="&amp;EDATE(設定!$C$5,-(設定!$C$6-1))))</f>
        <v/>
      </c>
      <c r="R99" s="16" t="str">
        <f aca="false">IF($A99="","",SUMIFS(月次実績!$D$5:$D$3004,月次実績!$B$5:$B$3004,$A99))</f>
        <v/>
      </c>
      <c r="S99" s="16" t="str">
        <f aca="false">IF($A99="","",SUMIFS(月次実績!$F$5:$F$3004,月次実績!$B$5:$B$3004,$A99))</f>
        <v/>
      </c>
      <c r="T99" s="19" t="str">
        <f aca="false">IF(OR($A99="",R99=0),"",S99/R99)</f>
        <v/>
      </c>
      <c r="U99" s="20" t="str">
        <f aca="false">IF($A99="","",SUMIFS(月次実績!$G$5:$G$3004,月次実績!$B$5:$B$3004,$A99))</f>
        <v/>
      </c>
      <c r="V99" s="17" t="str">
        <f aca="false">IF($A99="","",IF(Q99&gt;=設定!$C$7,"稼働中",IF(Q99&gt;=1,"低稼働","休眠")))</f>
        <v/>
      </c>
      <c r="W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15"/>
      <c r="H100" s="21"/>
      <c r="I100" s="15" t="str">
        <f aca="false">IF($A100="","",IF(_xlfn.MAXIFS(アクションログ!$A$5:$A$2004,アクションログ!$B$5:$B$2004,$A100)=0,"",_xlfn.MAXIFS(アクションログ!$A$5:$A$2004,アクションログ!$B$5:$B$2004,$A100)))</f>
        <v/>
      </c>
      <c r="J100" s="16" t="str">
        <f aca="false">IF(OR($A100="",I100=""),"",設定!$C$4-I100)</f>
        <v/>
      </c>
      <c r="K100" s="16" t="str">
        <f aca="false">IF($A100="","",IFERROR(INDEX(設定!$D$14:$D$17,MATCH(F100,設定!$B$14:$B$17,0)),""))</f>
        <v/>
      </c>
      <c r="L100" s="15" t="str">
        <f aca="false">IF(OR($A100="",K100=""),"",IF(I100="",設定!$C$4,I100+K100))</f>
        <v/>
      </c>
      <c r="M100" s="17" t="str">
        <f aca="false">IF($A100="","",IF(F100="","ランク未設定",IF(I100="","未接触",IF(設定!$C$4&gt;L100,"期限超過",IF(L100-設定!$C$4&lt;=設定!$C$8,"今週連絡","OK")))))</f>
        <v/>
      </c>
      <c r="N100" s="15" t="str">
        <f aca="false">IF($A100="","",IF(_xlfn.MINIFS(アクションログ!$J$5:$J$2004,アクションログ!$B$5:$B$2004,$A100,アクションログ!$K$5:$K$2004,"&lt;&gt;済",アクションログ!$J$5:$J$2004,"&gt;0")=0,"",_xlfn.MINIFS(アクションログ!$J$5:$J$2004,アクションログ!$B$5:$B$2004,$A100,アクションログ!$K$5:$K$2004,"&lt;&gt;済",アクションログ!$J$5:$J$2004,"&gt;0")))</f>
        <v/>
      </c>
      <c r="O100" s="18" t="str">
        <f aca="false">IF(N100="","",IFERROR(INDEX(アクションログ!$I$5:$I$2004,MATCH($A100&amp;"|"&amp;N100,アクションログ!$L$5:$L$2004,0)),""))</f>
        <v/>
      </c>
      <c r="P100" s="16" t="str">
        <f aca="false">IF($A100="","",COUNTIFS(アクションログ!$B$5:$B$2004,$A100,アクションログ!$A$5:$A$2004,"&gt;="&amp;設定!$C$5))</f>
        <v/>
      </c>
      <c r="Q100" s="16" t="str">
        <f aca="false">IF($A100="","",SUMIFS(月次実績!$D$5:$D$3004,月次実績!$B$5:$B$3004,$A100,月次実績!$A$5:$A$3004,"&gt;="&amp;EDATE(設定!$C$5,-(設定!$C$6-1))))</f>
        <v/>
      </c>
      <c r="R100" s="16" t="str">
        <f aca="false">IF($A100="","",SUMIFS(月次実績!$D$5:$D$3004,月次実績!$B$5:$B$3004,$A100))</f>
        <v/>
      </c>
      <c r="S100" s="16" t="str">
        <f aca="false">IF($A100="","",SUMIFS(月次実績!$F$5:$F$3004,月次実績!$B$5:$B$3004,$A100))</f>
        <v/>
      </c>
      <c r="T100" s="19" t="str">
        <f aca="false">IF(OR($A100="",R100=0),"",S100/R100)</f>
        <v/>
      </c>
      <c r="U100" s="20" t="str">
        <f aca="false">IF($A100="","",SUMIFS(月次実績!$G$5:$G$3004,月次実績!$B$5:$B$3004,$A100))</f>
        <v/>
      </c>
      <c r="V100" s="17" t="str">
        <f aca="false">IF($A100="","",IF(Q100&gt;=設定!$C$7,"稼働中",IF(Q100&gt;=1,"低稼働","休眠")))</f>
        <v/>
      </c>
      <c r="W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15"/>
      <c r="H101" s="21"/>
      <c r="I101" s="15" t="str">
        <f aca="false">IF($A101="","",IF(_xlfn.MAXIFS(アクションログ!$A$5:$A$2004,アクションログ!$B$5:$B$2004,$A101)=0,"",_xlfn.MAXIFS(アクションログ!$A$5:$A$2004,アクションログ!$B$5:$B$2004,$A101)))</f>
        <v/>
      </c>
      <c r="J101" s="16" t="str">
        <f aca="false">IF(OR($A101="",I101=""),"",設定!$C$4-I101)</f>
        <v/>
      </c>
      <c r="K101" s="16" t="str">
        <f aca="false">IF($A101="","",IFERROR(INDEX(設定!$D$14:$D$17,MATCH(F101,設定!$B$14:$B$17,0)),""))</f>
        <v/>
      </c>
      <c r="L101" s="15" t="str">
        <f aca="false">IF(OR($A101="",K101=""),"",IF(I101="",設定!$C$4,I101+K101))</f>
        <v/>
      </c>
      <c r="M101" s="17" t="str">
        <f aca="false">IF($A101="","",IF(F101="","ランク未設定",IF(I101="","未接触",IF(設定!$C$4&gt;L101,"期限超過",IF(L101-設定!$C$4&lt;=設定!$C$8,"今週連絡","OK")))))</f>
        <v/>
      </c>
      <c r="N101" s="15" t="str">
        <f aca="false">IF($A101="","",IF(_xlfn.MINIFS(アクションログ!$J$5:$J$2004,アクションログ!$B$5:$B$2004,$A101,アクションログ!$K$5:$K$2004,"&lt;&gt;済",アクションログ!$J$5:$J$2004,"&gt;0")=0,"",_xlfn.MINIFS(アクションログ!$J$5:$J$2004,アクションログ!$B$5:$B$2004,$A101,アクションログ!$K$5:$K$2004,"&lt;&gt;済",アクションログ!$J$5:$J$2004,"&gt;0")))</f>
        <v/>
      </c>
      <c r="O101" s="18" t="str">
        <f aca="false">IF(N101="","",IFERROR(INDEX(アクションログ!$I$5:$I$2004,MATCH($A101&amp;"|"&amp;N101,アクションログ!$L$5:$L$2004,0)),""))</f>
        <v/>
      </c>
      <c r="P101" s="16" t="str">
        <f aca="false">IF($A101="","",COUNTIFS(アクションログ!$B$5:$B$2004,$A101,アクションログ!$A$5:$A$2004,"&gt;="&amp;設定!$C$5))</f>
        <v/>
      </c>
      <c r="Q101" s="16" t="str">
        <f aca="false">IF($A101="","",SUMIFS(月次実績!$D$5:$D$3004,月次実績!$B$5:$B$3004,$A101,月次実績!$A$5:$A$3004,"&gt;="&amp;EDATE(設定!$C$5,-(設定!$C$6-1))))</f>
        <v/>
      </c>
      <c r="R101" s="16" t="str">
        <f aca="false">IF($A101="","",SUMIFS(月次実績!$D$5:$D$3004,月次実績!$B$5:$B$3004,$A101))</f>
        <v/>
      </c>
      <c r="S101" s="16" t="str">
        <f aca="false">IF($A101="","",SUMIFS(月次実績!$F$5:$F$3004,月次実績!$B$5:$B$3004,$A101))</f>
        <v/>
      </c>
      <c r="T101" s="19" t="str">
        <f aca="false">IF(OR($A101="",R101=0),"",S101/R101)</f>
        <v/>
      </c>
      <c r="U101" s="20" t="str">
        <f aca="false">IF($A101="","",SUMIFS(月次実績!$G$5:$G$3004,月次実績!$B$5:$B$3004,$A101))</f>
        <v/>
      </c>
      <c r="V101" s="17" t="str">
        <f aca="false">IF($A101="","",IF(Q101&gt;=設定!$C$7,"稼働中",IF(Q101&gt;=1,"低稼働","休眠")))</f>
        <v/>
      </c>
      <c r="W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15"/>
      <c r="H102" s="21"/>
      <c r="I102" s="15" t="str">
        <f aca="false">IF($A102="","",IF(_xlfn.MAXIFS(アクションログ!$A$5:$A$2004,アクションログ!$B$5:$B$2004,$A102)=0,"",_xlfn.MAXIFS(アクションログ!$A$5:$A$2004,アクションログ!$B$5:$B$2004,$A102)))</f>
        <v/>
      </c>
      <c r="J102" s="16" t="str">
        <f aca="false">IF(OR($A102="",I102=""),"",設定!$C$4-I102)</f>
        <v/>
      </c>
      <c r="K102" s="16" t="str">
        <f aca="false">IF($A102="","",IFERROR(INDEX(設定!$D$14:$D$17,MATCH(F102,設定!$B$14:$B$17,0)),""))</f>
        <v/>
      </c>
      <c r="L102" s="15" t="str">
        <f aca="false">IF(OR($A102="",K102=""),"",IF(I102="",設定!$C$4,I102+K102))</f>
        <v/>
      </c>
      <c r="M102" s="17" t="str">
        <f aca="false">IF($A102="","",IF(F102="","ランク未設定",IF(I102="","未接触",IF(設定!$C$4&gt;L102,"期限超過",IF(L102-設定!$C$4&lt;=設定!$C$8,"今週連絡","OK")))))</f>
        <v/>
      </c>
      <c r="N102" s="15" t="str">
        <f aca="false">IF($A102="","",IF(_xlfn.MINIFS(アクションログ!$J$5:$J$2004,アクションログ!$B$5:$B$2004,$A102,アクションログ!$K$5:$K$2004,"&lt;&gt;済",アクションログ!$J$5:$J$2004,"&gt;0")=0,"",_xlfn.MINIFS(アクションログ!$J$5:$J$2004,アクションログ!$B$5:$B$2004,$A102,アクションログ!$K$5:$K$2004,"&lt;&gt;済",アクションログ!$J$5:$J$2004,"&gt;0")))</f>
        <v/>
      </c>
      <c r="O102" s="18" t="str">
        <f aca="false">IF(N102="","",IFERROR(INDEX(アクションログ!$I$5:$I$2004,MATCH($A102&amp;"|"&amp;N102,アクションログ!$L$5:$L$2004,0)),""))</f>
        <v/>
      </c>
      <c r="P102" s="16" t="str">
        <f aca="false">IF($A102="","",COUNTIFS(アクションログ!$B$5:$B$2004,$A102,アクションログ!$A$5:$A$2004,"&gt;="&amp;設定!$C$5))</f>
        <v/>
      </c>
      <c r="Q102" s="16" t="str">
        <f aca="false">IF($A102="","",SUMIFS(月次実績!$D$5:$D$3004,月次実績!$B$5:$B$3004,$A102,月次実績!$A$5:$A$3004,"&gt;="&amp;EDATE(設定!$C$5,-(設定!$C$6-1))))</f>
        <v/>
      </c>
      <c r="R102" s="16" t="str">
        <f aca="false">IF($A102="","",SUMIFS(月次実績!$D$5:$D$3004,月次実績!$B$5:$B$3004,$A102))</f>
        <v/>
      </c>
      <c r="S102" s="16" t="str">
        <f aca="false">IF($A102="","",SUMIFS(月次実績!$F$5:$F$3004,月次実績!$B$5:$B$3004,$A102))</f>
        <v/>
      </c>
      <c r="T102" s="19" t="str">
        <f aca="false">IF(OR($A102="",R102=0),"",S102/R102)</f>
        <v/>
      </c>
      <c r="U102" s="20" t="str">
        <f aca="false">IF($A102="","",SUMIFS(月次実績!$G$5:$G$3004,月次実績!$B$5:$B$3004,$A102))</f>
        <v/>
      </c>
      <c r="V102" s="17" t="str">
        <f aca="false">IF($A102="","",IF(Q102&gt;=設定!$C$7,"稼働中",IF(Q102&gt;=1,"低稼働","休眠")))</f>
        <v/>
      </c>
      <c r="W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15"/>
      <c r="H103" s="21"/>
      <c r="I103" s="15" t="str">
        <f aca="false">IF($A103="","",IF(_xlfn.MAXIFS(アクションログ!$A$5:$A$2004,アクションログ!$B$5:$B$2004,$A103)=0,"",_xlfn.MAXIFS(アクションログ!$A$5:$A$2004,アクションログ!$B$5:$B$2004,$A103)))</f>
        <v/>
      </c>
      <c r="J103" s="16" t="str">
        <f aca="false">IF(OR($A103="",I103=""),"",設定!$C$4-I103)</f>
        <v/>
      </c>
      <c r="K103" s="16" t="str">
        <f aca="false">IF($A103="","",IFERROR(INDEX(設定!$D$14:$D$17,MATCH(F103,設定!$B$14:$B$17,0)),""))</f>
        <v/>
      </c>
      <c r="L103" s="15" t="str">
        <f aca="false">IF(OR($A103="",K103=""),"",IF(I103="",設定!$C$4,I103+K103))</f>
        <v/>
      </c>
      <c r="M103" s="17" t="str">
        <f aca="false">IF($A103="","",IF(F103="","ランク未設定",IF(I103="","未接触",IF(設定!$C$4&gt;L103,"期限超過",IF(L103-設定!$C$4&lt;=設定!$C$8,"今週連絡","OK")))))</f>
        <v/>
      </c>
      <c r="N103" s="15" t="str">
        <f aca="false">IF($A103="","",IF(_xlfn.MINIFS(アクションログ!$J$5:$J$2004,アクションログ!$B$5:$B$2004,$A103,アクションログ!$K$5:$K$2004,"&lt;&gt;済",アクションログ!$J$5:$J$2004,"&gt;0")=0,"",_xlfn.MINIFS(アクションログ!$J$5:$J$2004,アクションログ!$B$5:$B$2004,$A103,アクションログ!$K$5:$K$2004,"&lt;&gt;済",アクションログ!$J$5:$J$2004,"&gt;0")))</f>
        <v/>
      </c>
      <c r="O103" s="18" t="str">
        <f aca="false">IF(N103="","",IFERROR(INDEX(アクションログ!$I$5:$I$2004,MATCH($A103&amp;"|"&amp;N103,アクションログ!$L$5:$L$2004,0)),""))</f>
        <v/>
      </c>
      <c r="P103" s="16" t="str">
        <f aca="false">IF($A103="","",COUNTIFS(アクションログ!$B$5:$B$2004,$A103,アクションログ!$A$5:$A$2004,"&gt;="&amp;設定!$C$5))</f>
        <v/>
      </c>
      <c r="Q103" s="16" t="str">
        <f aca="false">IF($A103="","",SUMIFS(月次実績!$D$5:$D$3004,月次実績!$B$5:$B$3004,$A103,月次実績!$A$5:$A$3004,"&gt;="&amp;EDATE(設定!$C$5,-(設定!$C$6-1))))</f>
        <v/>
      </c>
      <c r="R103" s="16" t="str">
        <f aca="false">IF($A103="","",SUMIFS(月次実績!$D$5:$D$3004,月次実績!$B$5:$B$3004,$A103))</f>
        <v/>
      </c>
      <c r="S103" s="16" t="str">
        <f aca="false">IF($A103="","",SUMIFS(月次実績!$F$5:$F$3004,月次実績!$B$5:$B$3004,$A103))</f>
        <v/>
      </c>
      <c r="T103" s="19" t="str">
        <f aca="false">IF(OR($A103="",R103=0),"",S103/R103)</f>
        <v/>
      </c>
      <c r="U103" s="20" t="str">
        <f aca="false">IF($A103="","",SUMIFS(月次実績!$G$5:$G$3004,月次実績!$B$5:$B$3004,$A103))</f>
        <v/>
      </c>
      <c r="V103" s="17" t="str">
        <f aca="false">IF($A103="","",IF(Q103&gt;=設定!$C$7,"稼働中",IF(Q103&gt;=1,"低稼働","休眠")))</f>
        <v/>
      </c>
      <c r="W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15"/>
      <c r="H104" s="21"/>
      <c r="I104" s="15" t="str">
        <f aca="false">IF($A104="","",IF(_xlfn.MAXIFS(アクションログ!$A$5:$A$2004,アクションログ!$B$5:$B$2004,$A104)=0,"",_xlfn.MAXIFS(アクションログ!$A$5:$A$2004,アクションログ!$B$5:$B$2004,$A104)))</f>
        <v/>
      </c>
      <c r="J104" s="16" t="str">
        <f aca="false">IF(OR($A104="",I104=""),"",設定!$C$4-I104)</f>
        <v/>
      </c>
      <c r="K104" s="16" t="str">
        <f aca="false">IF($A104="","",IFERROR(INDEX(設定!$D$14:$D$17,MATCH(F104,設定!$B$14:$B$17,0)),""))</f>
        <v/>
      </c>
      <c r="L104" s="15" t="str">
        <f aca="false">IF(OR($A104="",K104=""),"",IF(I104="",設定!$C$4,I104+K104))</f>
        <v/>
      </c>
      <c r="M104" s="17" t="str">
        <f aca="false">IF($A104="","",IF(F104="","ランク未設定",IF(I104="","未接触",IF(設定!$C$4&gt;L104,"期限超過",IF(L104-設定!$C$4&lt;=設定!$C$8,"今週連絡","OK")))))</f>
        <v/>
      </c>
      <c r="N104" s="15" t="str">
        <f aca="false">IF($A104="","",IF(_xlfn.MINIFS(アクションログ!$J$5:$J$2004,アクションログ!$B$5:$B$2004,$A104,アクションログ!$K$5:$K$2004,"&lt;&gt;済",アクションログ!$J$5:$J$2004,"&gt;0")=0,"",_xlfn.MINIFS(アクションログ!$J$5:$J$2004,アクションログ!$B$5:$B$2004,$A104,アクションログ!$K$5:$K$2004,"&lt;&gt;済",アクションログ!$J$5:$J$2004,"&gt;0")))</f>
        <v/>
      </c>
      <c r="O104" s="18" t="str">
        <f aca="false">IF(N104="","",IFERROR(INDEX(アクションログ!$I$5:$I$2004,MATCH($A104&amp;"|"&amp;N104,アクションログ!$L$5:$L$2004,0)),""))</f>
        <v/>
      </c>
      <c r="P104" s="16" t="str">
        <f aca="false">IF($A104="","",COUNTIFS(アクションログ!$B$5:$B$2004,$A104,アクションログ!$A$5:$A$2004,"&gt;="&amp;設定!$C$5))</f>
        <v/>
      </c>
      <c r="Q104" s="16" t="str">
        <f aca="false">IF($A104="","",SUMIFS(月次実績!$D$5:$D$3004,月次実績!$B$5:$B$3004,$A104,月次実績!$A$5:$A$3004,"&gt;="&amp;EDATE(設定!$C$5,-(設定!$C$6-1))))</f>
        <v/>
      </c>
      <c r="R104" s="16" t="str">
        <f aca="false">IF($A104="","",SUMIFS(月次実績!$D$5:$D$3004,月次実績!$B$5:$B$3004,$A104))</f>
        <v/>
      </c>
      <c r="S104" s="16" t="str">
        <f aca="false">IF($A104="","",SUMIFS(月次実績!$F$5:$F$3004,月次実績!$B$5:$B$3004,$A104))</f>
        <v/>
      </c>
      <c r="T104" s="19" t="str">
        <f aca="false">IF(OR($A104="",R104=0),"",S104/R104)</f>
        <v/>
      </c>
      <c r="U104" s="20" t="str">
        <f aca="false">IF($A104="","",SUMIFS(月次実績!$G$5:$G$3004,月次実績!$B$5:$B$3004,$A104))</f>
        <v/>
      </c>
      <c r="V104" s="17" t="str">
        <f aca="false">IF($A104="","",IF(Q104&gt;=設定!$C$7,"稼働中",IF(Q104&gt;=1,"低稼働","休眠")))</f>
        <v/>
      </c>
      <c r="W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15"/>
      <c r="H105" s="21"/>
      <c r="I105" s="15" t="str">
        <f aca="false">IF($A105="","",IF(_xlfn.MAXIFS(アクションログ!$A$5:$A$2004,アクションログ!$B$5:$B$2004,$A105)=0,"",_xlfn.MAXIFS(アクションログ!$A$5:$A$2004,アクションログ!$B$5:$B$2004,$A105)))</f>
        <v/>
      </c>
      <c r="J105" s="16" t="str">
        <f aca="false">IF(OR($A105="",I105=""),"",設定!$C$4-I105)</f>
        <v/>
      </c>
      <c r="K105" s="16" t="str">
        <f aca="false">IF($A105="","",IFERROR(INDEX(設定!$D$14:$D$17,MATCH(F105,設定!$B$14:$B$17,0)),""))</f>
        <v/>
      </c>
      <c r="L105" s="15" t="str">
        <f aca="false">IF(OR($A105="",K105=""),"",IF(I105="",設定!$C$4,I105+K105))</f>
        <v/>
      </c>
      <c r="M105" s="17" t="str">
        <f aca="false">IF($A105="","",IF(F105="","ランク未設定",IF(I105="","未接触",IF(設定!$C$4&gt;L105,"期限超過",IF(L105-設定!$C$4&lt;=設定!$C$8,"今週連絡","OK")))))</f>
        <v/>
      </c>
      <c r="N105" s="15" t="str">
        <f aca="false">IF($A105="","",IF(_xlfn.MINIFS(アクションログ!$J$5:$J$2004,アクションログ!$B$5:$B$2004,$A105,アクションログ!$K$5:$K$2004,"&lt;&gt;済",アクションログ!$J$5:$J$2004,"&gt;0")=0,"",_xlfn.MINIFS(アクションログ!$J$5:$J$2004,アクションログ!$B$5:$B$2004,$A105,アクションログ!$K$5:$K$2004,"&lt;&gt;済",アクションログ!$J$5:$J$2004,"&gt;0")))</f>
        <v/>
      </c>
      <c r="O105" s="18" t="str">
        <f aca="false">IF(N105="","",IFERROR(INDEX(アクションログ!$I$5:$I$2004,MATCH($A105&amp;"|"&amp;N105,アクションログ!$L$5:$L$2004,0)),""))</f>
        <v/>
      </c>
      <c r="P105" s="16" t="str">
        <f aca="false">IF($A105="","",COUNTIFS(アクションログ!$B$5:$B$2004,$A105,アクションログ!$A$5:$A$2004,"&gt;="&amp;設定!$C$5))</f>
        <v/>
      </c>
      <c r="Q105" s="16" t="str">
        <f aca="false">IF($A105="","",SUMIFS(月次実績!$D$5:$D$3004,月次実績!$B$5:$B$3004,$A105,月次実績!$A$5:$A$3004,"&gt;="&amp;EDATE(設定!$C$5,-(設定!$C$6-1))))</f>
        <v/>
      </c>
      <c r="R105" s="16" t="str">
        <f aca="false">IF($A105="","",SUMIFS(月次実績!$D$5:$D$3004,月次実績!$B$5:$B$3004,$A105))</f>
        <v/>
      </c>
      <c r="S105" s="16" t="str">
        <f aca="false">IF($A105="","",SUMIFS(月次実績!$F$5:$F$3004,月次実績!$B$5:$B$3004,$A105))</f>
        <v/>
      </c>
      <c r="T105" s="19" t="str">
        <f aca="false">IF(OR($A105="",R105=0),"",S105/R105)</f>
        <v/>
      </c>
      <c r="U105" s="20" t="str">
        <f aca="false">IF($A105="","",SUMIFS(月次実績!$G$5:$G$3004,月次実績!$B$5:$B$3004,$A105))</f>
        <v/>
      </c>
      <c r="V105" s="17" t="str">
        <f aca="false">IF($A105="","",IF(Q105&gt;=設定!$C$7,"稼働中",IF(Q105&gt;=1,"低稼働","休眠")))</f>
        <v/>
      </c>
      <c r="W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15"/>
      <c r="H106" s="21"/>
      <c r="I106" s="15" t="str">
        <f aca="false">IF($A106="","",IF(_xlfn.MAXIFS(アクションログ!$A$5:$A$2004,アクションログ!$B$5:$B$2004,$A106)=0,"",_xlfn.MAXIFS(アクションログ!$A$5:$A$2004,アクションログ!$B$5:$B$2004,$A106)))</f>
        <v/>
      </c>
      <c r="J106" s="16" t="str">
        <f aca="false">IF(OR($A106="",I106=""),"",設定!$C$4-I106)</f>
        <v/>
      </c>
      <c r="K106" s="16" t="str">
        <f aca="false">IF($A106="","",IFERROR(INDEX(設定!$D$14:$D$17,MATCH(F106,設定!$B$14:$B$17,0)),""))</f>
        <v/>
      </c>
      <c r="L106" s="15" t="str">
        <f aca="false">IF(OR($A106="",K106=""),"",IF(I106="",設定!$C$4,I106+K106))</f>
        <v/>
      </c>
      <c r="M106" s="17" t="str">
        <f aca="false">IF($A106="","",IF(F106="","ランク未設定",IF(I106="","未接触",IF(設定!$C$4&gt;L106,"期限超過",IF(L106-設定!$C$4&lt;=設定!$C$8,"今週連絡","OK")))))</f>
        <v/>
      </c>
      <c r="N106" s="15" t="str">
        <f aca="false">IF($A106="","",IF(_xlfn.MINIFS(アクションログ!$J$5:$J$2004,アクションログ!$B$5:$B$2004,$A106,アクションログ!$K$5:$K$2004,"&lt;&gt;済",アクションログ!$J$5:$J$2004,"&gt;0")=0,"",_xlfn.MINIFS(アクションログ!$J$5:$J$2004,アクションログ!$B$5:$B$2004,$A106,アクションログ!$K$5:$K$2004,"&lt;&gt;済",アクションログ!$J$5:$J$2004,"&gt;0")))</f>
        <v/>
      </c>
      <c r="O106" s="18" t="str">
        <f aca="false">IF(N106="","",IFERROR(INDEX(アクションログ!$I$5:$I$2004,MATCH($A106&amp;"|"&amp;N106,アクションログ!$L$5:$L$2004,0)),""))</f>
        <v/>
      </c>
      <c r="P106" s="16" t="str">
        <f aca="false">IF($A106="","",COUNTIFS(アクションログ!$B$5:$B$2004,$A106,アクションログ!$A$5:$A$2004,"&gt;="&amp;設定!$C$5))</f>
        <v/>
      </c>
      <c r="Q106" s="16" t="str">
        <f aca="false">IF($A106="","",SUMIFS(月次実績!$D$5:$D$3004,月次実績!$B$5:$B$3004,$A106,月次実績!$A$5:$A$3004,"&gt;="&amp;EDATE(設定!$C$5,-(設定!$C$6-1))))</f>
        <v/>
      </c>
      <c r="R106" s="16" t="str">
        <f aca="false">IF($A106="","",SUMIFS(月次実績!$D$5:$D$3004,月次実績!$B$5:$B$3004,$A106))</f>
        <v/>
      </c>
      <c r="S106" s="16" t="str">
        <f aca="false">IF($A106="","",SUMIFS(月次実績!$F$5:$F$3004,月次実績!$B$5:$B$3004,$A106))</f>
        <v/>
      </c>
      <c r="T106" s="19" t="str">
        <f aca="false">IF(OR($A106="",R106=0),"",S106/R106)</f>
        <v/>
      </c>
      <c r="U106" s="20" t="str">
        <f aca="false">IF($A106="","",SUMIFS(月次実績!$G$5:$G$3004,月次実績!$B$5:$B$3004,$A106))</f>
        <v/>
      </c>
      <c r="V106" s="17" t="str">
        <f aca="false">IF($A106="","",IF(Q106&gt;=設定!$C$7,"稼働中",IF(Q106&gt;=1,"低稼働","休眠")))</f>
        <v/>
      </c>
      <c r="W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15"/>
      <c r="H107" s="21"/>
      <c r="I107" s="15" t="str">
        <f aca="false">IF($A107="","",IF(_xlfn.MAXIFS(アクションログ!$A$5:$A$2004,アクションログ!$B$5:$B$2004,$A107)=0,"",_xlfn.MAXIFS(アクションログ!$A$5:$A$2004,アクションログ!$B$5:$B$2004,$A107)))</f>
        <v/>
      </c>
      <c r="J107" s="16" t="str">
        <f aca="false">IF(OR($A107="",I107=""),"",設定!$C$4-I107)</f>
        <v/>
      </c>
      <c r="K107" s="16" t="str">
        <f aca="false">IF($A107="","",IFERROR(INDEX(設定!$D$14:$D$17,MATCH(F107,設定!$B$14:$B$17,0)),""))</f>
        <v/>
      </c>
      <c r="L107" s="15" t="str">
        <f aca="false">IF(OR($A107="",K107=""),"",IF(I107="",設定!$C$4,I107+K107))</f>
        <v/>
      </c>
      <c r="M107" s="17" t="str">
        <f aca="false">IF($A107="","",IF(F107="","ランク未設定",IF(I107="","未接触",IF(設定!$C$4&gt;L107,"期限超過",IF(L107-設定!$C$4&lt;=設定!$C$8,"今週連絡","OK")))))</f>
        <v/>
      </c>
      <c r="N107" s="15" t="str">
        <f aca="false">IF($A107="","",IF(_xlfn.MINIFS(アクションログ!$J$5:$J$2004,アクションログ!$B$5:$B$2004,$A107,アクションログ!$K$5:$K$2004,"&lt;&gt;済",アクションログ!$J$5:$J$2004,"&gt;0")=0,"",_xlfn.MINIFS(アクションログ!$J$5:$J$2004,アクションログ!$B$5:$B$2004,$A107,アクションログ!$K$5:$K$2004,"&lt;&gt;済",アクションログ!$J$5:$J$2004,"&gt;0")))</f>
        <v/>
      </c>
      <c r="O107" s="18" t="str">
        <f aca="false">IF(N107="","",IFERROR(INDEX(アクションログ!$I$5:$I$2004,MATCH($A107&amp;"|"&amp;N107,アクションログ!$L$5:$L$2004,0)),""))</f>
        <v/>
      </c>
      <c r="P107" s="16" t="str">
        <f aca="false">IF($A107="","",COUNTIFS(アクションログ!$B$5:$B$2004,$A107,アクションログ!$A$5:$A$2004,"&gt;="&amp;設定!$C$5))</f>
        <v/>
      </c>
      <c r="Q107" s="16" t="str">
        <f aca="false">IF($A107="","",SUMIFS(月次実績!$D$5:$D$3004,月次実績!$B$5:$B$3004,$A107,月次実績!$A$5:$A$3004,"&gt;="&amp;EDATE(設定!$C$5,-(設定!$C$6-1))))</f>
        <v/>
      </c>
      <c r="R107" s="16" t="str">
        <f aca="false">IF($A107="","",SUMIFS(月次実績!$D$5:$D$3004,月次実績!$B$5:$B$3004,$A107))</f>
        <v/>
      </c>
      <c r="S107" s="16" t="str">
        <f aca="false">IF($A107="","",SUMIFS(月次実績!$F$5:$F$3004,月次実績!$B$5:$B$3004,$A107))</f>
        <v/>
      </c>
      <c r="T107" s="19" t="str">
        <f aca="false">IF(OR($A107="",R107=0),"",S107/R107)</f>
        <v/>
      </c>
      <c r="U107" s="20" t="str">
        <f aca="false">IF($A107="","",SUMIFS(月次実績!$G$5:$G$3004,月次実績!$B$5:$B$3004,$A107))</f>
        <v/>
      </c>
      <c r="V107" s="17" t="str">
        <f aca="false">IF($A107="","",IF(Q107&gt;=設定!$C$7,"稼働中",IF(Q107&gt;=1,"低稼働","休眠")))</f>
        <v/>
      </c>
      <c r="W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15"/>
      <c r="H108" s="21"/>
      <c r="I108" s="15" t="str">
        <f aca="false">IF($A108="","",IF(_xlfn.MAXIFS(アクションログ!$A$5:$A$2004,アクションログ!$B$5:$B$2004,$A108)=0,"",_xlfn.MAXIFS(アクションログ!$A$5:$A$2004,アクションログ!$B$5:$B$2004,$A108)))</f>
        <v/>
      </c>
      <c r="J108" s="16" t="str">
        <f aca="false">IF(OR($A108="",I108=""),"",設定!$C$4-I108)</f>
        <v/>
      </c>
      <c r="K108" s="16" t="str">
        <f aca="false">IF($A108="","",IFERROR(INDEX(設定!$D$14:$D$17,MATCH(F108,設定!$B$14:$B$17,0)),""))</f>
        <v/>
      </c>
      <c r="L108" s="15" t="str">
        <f aca="false">IF(OR($A108="",K108=""),"",IF(I108="",設定!$C$4,I108+K108))</f>
        <v/>
      </c>
      <c r="M108" s="17" t="str">
        <f aca="false">IF($A108="","",IF(F108="","ランク未設定",IF(I108="","未接触",IF(設定!$C$4&gt;L108,"期限超過",IF(L108-設定!$C$4&lt;=設定!$C$8,"今週連絡","OK")))))</f>
        <v/>
      </c>
      <c r="N108" s="15" t="str">
        <f aca="false">IF($A108="","",IF(_xlfn.MINIFS(アクションログ!$J$5:$J$2004,アクションログ!$B$5:$B$2004,$A108,アクションログ!$K$5:$K$2004,"&lt;&gt;済",アクションログ!$J$5:$J$2004,"&gt;0")=0,"",_xlfn.MINIFS(アクションログ!$J$5:$J$2004,アクションログ!$B$5:$B$2004,$A108,アクションログ!$K$5:$K$2004,"&lt;&gt;済",アクションログ!$J$5:$J$2004,"&gt;0")))</f>
        <v/>
      </c>
      <c r="O108" s="18" t="str">
        <f aca="false">IF(N108="","",IFERROR(INDEX(アクションログ!$I$5:$I$2004,MATCH($A108&amp;"|"&amp;N108,アクションログ!$L$5:$L$2004,0)),""))</f>
        <v/>
      </c>
      <c r="P108" s="16" t="str">
        <f aca="false">IF($A108="","",COUNTIFS(アクションログ!$B$5:$B$2004,$A108,アクションログ!$A$5:$A$2004,"&gt;="&amp;設定!$C$5))</f>
        <v/>
      </c>
      <c r="Q108" s="16" t="str">
        <f aca="false">IF($A108="","",SUMIFS(月次実績!$D$5:$D$3004,月次実績!$B$5:$B$3004,$A108,月次実績!$A$5:$A$3004,"&gt;="&amp;EDATE(設定!$C$5,-(設定!$C$6-1))))</f>
        <v/>
      </c>
      <c r="R108" s="16" t="str">
        <f aca="false">IF($A108="","",SUMIFS(月次実績!$D$5:$D$3004,月次実績!$B$5:$B$3004,$A108))</f>
        <v/>
      </c>
      <c r="S108" s="16" t="str">
        <f aca="false">IF($A108="","",SUMIFS(月次実績!$F$5:$F$3004,月次実績!$B$5:$B$3004,$A108))</f>
        <v/>
      </c>
      <c r="T108" s="19" t="str">
        <f aca="false">IF(OR($A108="",R108=0),"",S108/R108)</f>
        <v/>
      </c>
      <c r="U108" s="20" t="str">
        <f aca="false">IF($A108="","",SUMIFS(月次実績!$G$5:$G$3004,月次実績!$B$5:$B$3004,$A108))</f>
        <v/>
      </c>
      <c r="V108" s="17" t="str">
        <f aca="false">IF($A108="","",IF(Q108&gt;=設定!$C$7,"稼働中",IF(Q108&gt;=1,"低稼働","休眠")))</f>
        <v/>
      </c>
      <c r="W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15"/>
      <c r="H109" s="21"/>
      <c r="I109" s="15" t="str">
        <f aca="false">IF($A109="","",IF(_xlfn.MAXIFS(アクションログ!$A$5:$A$2004,アクションログ!$B$5:$B$2004,$A109)=0,"",_xlfn.MAXIFS(アクションログ!$A$5:$A$2004,アクションログ!$B$5:$B$2004,$A109)))</f>
        <v/>
      </c>
      <c r="J109" s="16" t="str">
        <f aca="false">IF(OR($A109="",I109=""),"",設定!$C$4-I109)</f>
        <v/>
      </c>
      <c r="K109" s="16" t="str">
        <f aca="false">IF($A109="","",IFERROR(INDEX(設定!$D$14:$D$17,MATCH(F109,設定!$B$14:$B$17,0)),""))</f>
        <v/>
      </c>
      <c r="L109" s="15" t="str">
        <f aca="false">IF(OR($A109="",K109=""),"",IF(I109="",設定!$C$4,I109+K109))</f>
        <v/>
      </c>
      <c r="M109" s="17" t="str">
        <f aca="false">IF($A109="","",IF(F109="","ランク未設定",IF(I109="","未接触",IF(設定!$C$4&gt;L109,"期限超過",IF(L109-設定!$C$4&lt;=設定!$C$8,"今週連絡","OK")))))</f>
        <v/>
      </c>
      <c r="N109" s="15" t="str">
        <f aca="false">IF($A109="","",IF(_xlfn.MINIFS(アクションログ!$J$5:$J$2004,アクションログ!$B$5:$B$2004,$A109,アクションログ!$K$5:$K$2004,"&lt;&gt;済",アクションログ!$J$5:$J$2004,"&gt;0")=0,"",_xlfn.MINIFS(アクションログ!$J$5:$J$2004,アクションログ!$B$5:$B$2004,$A109,アクションログ!$K$5:$K$2004,"&lt;&gt;済",アクションログ!$J$5:$J$2004,"&gt;0")))</f>
        <v/>
      </c>
      <c r="O109" s="18" t="str">
        <f aca="false">IF(N109="","",IFERROR(INDEX(アクションログ!$I$5:$I$2004,MATCH($A109&amp;"|"&amp;N109,アクションログ!$L$5:$L$2004,0)),""))</f>
        <v/>
      </c>
      <c r="P109" s="16" t="str">
        <f aca="false">IF($A109="","",COUNTIFS(アクションログ!$B$5:$B$2004,$A109,アクションログ!$A$5:$A$2004,"&gt;="&amp;設定!$C$5))</f>
        <v/>
      </c>
      <c r="Q109" s="16" t="str">
        <f aca="false">IF($A109="","",SUMIFS(月次実績!$D$5:$D$3004,月次実績!$B$5:$B$3004,$A109,月次実績!$A$5:$A$3004,"&gt;="&amp;EDATE(設定!$C$5,-(設定!$C$6-1))))</f>
        <v/>
      </c>
      <c r="R109" s="16" t="str">
        <f aca="false">IF($A109="","",SUMIFS(月次実績!$D$5:$D$3004,月次実績!$B$5:$B$3004,$A109))</f>
        <v/>
      </c>
      <c r="S109" s="16" t="str">
        <f aca="false">IF($A109="","",SUMIFS(月次実績!$F$5:$F$3004,月次実績!$B$5:$B$3004,$A109))</f>
        <v/>
      </c>
      <c r="T109" s="19" t="str">
        <f aca="false">IF(OR($A109="",R109=0),"",S109/R109)</f>
        <v/>
      </c>
      <c r="U109" s="20" t="str">
        <f aca="false">IF($A109="","",SUMIFS(月次実績!$G$5:$G$3004,月次実績!$B$5:$B$3004,$A109))</f>
        <v/>
      </c>
      <c r="V109" s="17" t="str">
        <f aca="false">IF($A109="","",IF(Q109&gt;=設定!$C$7,"稼働中",IF(Q109&gt;=1,"低稼働","休眠")))</f>
        <v/>
      </c>
      <c r="W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15"/>
      <c r="H110" s="21"/>
      <c r="I110" s="15" t="str">
        <f aca="false">IF($A110="","",IF(_xlfn.MAXIFS(アクションログ!$A$5:$A$2004,アクションログ!$B$5:$B$2004,$A110)=0,"",_xlfn.MAXIFS(アクションログ!$A$5:$A$2004,アクションログ!$B$5:$B$2004,$A110)))</f>
        <v/>
      </c>
      <c r="J110" s="16" t="str">
        <f aca="false">IF(OR($A110="",I110=""),"",設定!$C$4-I110)</f>
        <v/>
      </c>
      <c r="K110" s="16" t="str">
        <f aca="false">IF($A110="","",IFERROR(INDEX(設定!$D$14:$D$17,MATCH(F110,設定!$B$14:$B$17,0)),""))</f>
        <v/>
      </c>
      <c r="L110" s="15" t="str">
        <f aca="false">IF(OR($A110="",K110=""),"",IF(I110="",設定!$C$4,I110+K110))</f>
        <v/>
      </c>
      <c r="M110" s="17" t="str">
        <f aca="false">IF($A110="","",IF(F110="","ランク未設定",IF(I110="","未接触",IF(設定!$C$4&gt;L110,"期限超過",IF(L110-設定!$C$4&lt;=設定!$C$8,"今週連絡","OK")))))</f>
        <v/>
      </c>
      <c r="N110" s="15" t="str">
        <f aca="false">IF($A110="","",IF(_xlfn.MINIFS(アクションログ!$J$5:$J$2004,アクションログ!$B$5:$B$2004,$A110,アクションログ!$K$5:$K$2004,"&lt;&gt;済",アクションログ!$J$5:$J$2004,"&gt;0")=0,"",_xlfn.MINIFS(アクションログ!$J$5:$J$2004,アクションログ!$B$5:$B$2004,$A110,アクションログ!$K$5:$K$2004,"&lt;&gt;済",アクションログ!$J$5:$J$2004,"&gt;0")))</f>
        <v/>
      </c>
      <c r="O110" s="18" t="str">
        <f aca="false">IF(N110="","",IFERROR(INDEX(アクションログ!$I$5:$I$2004,MATCH($A110&amp;"|"&amp;N110,アクションログ!$L$5:$L$2004,0)),""))</f>
        <v/>
      </c>
      <c r="P110" s="16" t="str">
        <f aca="false">IF($A110="","",COUNTIFS(アクションログ!$B$5:$B$2004,$A110,アクションログ!$A$5:$A$2004,"&gt;="&amp;設定!$C$5))</f>
        <v/>
      </c>
      <c r="Q110" s="16" t="str">
        <f aca="false">IF($A110="","",SUMIFS(月次実績!$D$5:$D$3004,月次実績!$B$5:$B$3004,$A110,月次実績!$A$5:$A$3004,"&gt;="&amp;EDATE(設定!$C$5,-(設定!$C$6-1))))</f>
        <v/>
      </c>
      <c r="R110" s="16" t="str">
        <f aca="false">IF($A110="","",SUMIFS(月次実績!$D$5:$D$3004,月次実績!$B$5:$B$3004,$A110))</f>
        <v/>
      </c>
      <c r="S110" s="16" t="str">
        <f aca="false">IF($A110="","",SUMIFS(月次実績!$F$5:$F$3004,月次実績!$B$5:$B$3004,$A110))</f>
        <v/>
      </c>
      <c r="T110" s="19" t="str">
        <f aca="false">IF(OR($A110="",R110=0),"",S110/R110)</f>
        <v/>
      </c>
      <c r="U110" s="20" t="str">
        <f aca="false">IF($A110="","",SUMIFS(月次実績!$G$5:$G$3004,月次実績!$B$5:$B$3004,$A110))</f>
        <v/>
      </c>
      <c r="V110" s="17" t="str">
        <f aca="false">IF($A110="","",IF(Q110&gt;=設定!$C$7,"稼働中",IF(Q110&gt;=1,"低稼働","休眠")))</f>
        <v/>
      </c>
      <c r="W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15"/>
      <c r="H111" s="21"/>
      <c r="I111" s="15" t="str">
        <f aca="false">IF($A111="","",IF(_xlfn.MAXIFS(アクションログ!$A$5:$A$2004,アクションログ!$B$5:$B$2004,$A111)=0,"",_xlfn.MAXIFS(アクションログ!$A$5:$A$2004,アクションログ!$B$5:$B$2004,$A111)))</f>
        <v/>
      </c>
      <c r="J111" s="16" t="str">
        <f aca="false">IF(OR($A111="",I111=""),"",設定!$C$4-I111)</f>
        <v/>
      </c>
      <c r="K111" s="16" t="str">
        <f aca="false">IF($A111="","",IFERROR(INDEX(設定!$D$14:$D$17,MATCH(F111,設定!$B$14:$B$17,0)),""))</f>
        <v/>
      </c>
      <c r="L111" s="15" t="str">
        <f aca="false">IF(OR($A111="",K111=""),"",IF(I111="",設定!$C$4,I111+K111))</f>
        <v/>
      </c>
      <c r="M111" s="17" t="str">
        <f aca="false">IF($A111="","",IF(F111="","ランク未設定",IF(I111="","未接触",IF(設定!$C$4&gt;L111,"期限超過",IF(L111-設定!$C$4&lt;=設定!$C$8,"今週連絡","OK")))))</f>
        <v/>
      </c>
      <c r="N111" s="15" t="str">
        <f aca="false">IF($A111="","",IF(_xlfn.MINIFS(アクションログ!$J$5:$J$2004,アクションログ!$B$5:$B$2004,$A111,アクションログ!$K$5:$K$2004,"&lt;&gt;済",アクションログ!$J$5:$J$2004,"&gt;0")=0,"",_xlfn.MINIFS(アクションログ!$J$5:$J$2004,アクションログ!$B$5:$B$2004,$A111,アクションログ!$K$5:$K$2004,"&lt;&gt;済",アクションログ!$J$5:$J$2004,"&gt;0")))</f>
        <v/>
      </c>
      <c r="O111" s="18" t="str">
        <f aca="false">IF(N111="","",IFERROR(INDEX(アクションログ!$I$5:$I$2004,MATCH($A111&amp;"|"&amp;N111,アクションログ!$L$5:$L$2004,0)),""))</f>
        <v/>
      </c>
      <c r="P111" s="16" t="str">
        <f aca="false">IF($A111="","",COUNTIFS(アクションログ!$B$5:$B$2004,$A111,アクションログ!$A$5:$A$2004,"&gt;="&amp;設定!$C$5))</f>
        <v/>
      </c>
      <c r="Q111" s="16" t="str">
        <f aca="false">IF($A111="","",SUMIFS(月次実績!$D$5:$D$3004,月次実績!$B$5:$B$3004,$A111,月次実績!$A$5:$A$3004,"&gt;="&amp;EDATE(設定!$C$5,-(設定!$C$6-1))))</f>
        <v/>
      </c>
      <c r="R111" s="16" t="str">
        <f aca="false">IF($A111="","",SUMIFS(月次実績!$D$5:$D$3004,月次実績!$B$5:$B$3004,$A111))</f>
        <v/>
      </c>
      <c r="S111" s="16" t="str">
        <f aca="false">IF($A111="","",SUMIFS(月次実績!$F$5:$F$3004,月次実績!$B$5:$B$3004,$A111))</f>
        <v/>
      </c>
      <c r="T111" s="19" t="str">
        <f aca="false">IF(OR($A111="",R111=0),"",S111/R111)</f>
        <v/>
      </c>
      <c r="U111" s="20" t="str">
        <f aca="false">IF($A111="","",SUMIFS(月次実績!$G$5:$G$3004,月次実績!$B$5:$B$3004,$A111))</f>
        <v/>
      </c>
      <c r="V111" s="17" t="str">
        <f aca="false">IF($A111="","",IF(Q111&gt;=設定!$C$7,"稼働中",IF(Q111&gt;=1,"低稼働","休眠")))</f>
        <v/>
      </c>
      <c r="W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15"/>
      <c r="H112" s="21"/>
      <c r="I112" s="15" t="str">
        <f aca="false">IF($A112="","",IF(_xlfn.MAXIFS(アクションログ!$A$5:$A$2004,アクションログ!$B$5:$B$2004,$A112)=0,"",_xlfn.MAXIFS(アクションログ!$A$5:$A$2004,アクションログ!$B$5:$B$2004,$A112)))</f>
        <v/>
      </c>
      <c r="J112" s="16" t="str">
        <f aca="false">IF(OR($A112="",I112=""),"",設定!$C$4-I112)</f>
        <v/>
      </c>
      <c r="K112" s="16" t="str">
        <f aca="false">IF($A112="","",IFERROR(INDEX(設定!$D$14:$D$17,MATCH(F112,設定!$B$14:$B$17,0)),""))</f>
        <v/>
      </c>
      <c r="L112" s="15" t="str">
        <f aca="false">IF(OR($A112="",K112=""),"",IF(I112="",設定!$C$4,I112+K112))</f>
        <v/>
      </c>
      <c r="M112" s="17" t="str">
        <f aca="false">IF($A112="","",IF(F112="","ランク未設定",IF(I112="","未接触",IF(設定!$C$4&gt;L112,"期限超過",IF(L112-設定!$C$4&lt;=設定!$C$8,"今週連絡","OK")))))</f>
        <v/>
      </c>
      <c r="N112" s="15" t="str">
        <f aca="false">IF($A112="","",IF(_xlfn.MINIFS(アクションログ!$J$5:$J$2004,アクションログ!$B$5:$B$2004,$A112,アクションログ!$K$5:$K$2004,"&lt;&gt;済",アクションログ!$J$5:$J$2004,"&gt;0")=0,"",_xlfn.MINIFS(アクションログ!$J$5:$J$2004,アクションログ!$B$5:$B$2004,$A112,アクションログ!$K$5:$K$2004,"&lt;&gt;済",アクションログ!$J$5:$J$2004,"&gt;0")))</f>
        <v/>
      </c>
      <c r="O112" s="18" t="str">
        <f aca="false">IF(N112="","",IFERROR(INDEX(アクションログ!$I$5:$I$2004,MATCH($A112&amp;"|"&amp;N112,アクションログ!$L$5:$L$2004,0)),""))</f>
        <v/>
      </c>
      <c r="P112" s="16" t="str">
        <f aca="false">IF($A112="","",COUNTIFS(アクションログ!$B$5:$B$2004,$A112,アクションログ!$A$5:$A$2004,"&gt;="&amp;設定!$C$5))</f>
        <v/>
      </c>
      <c r="Q112" s="16" t="str">
        <f aca="false">IF($A112="","",SUMIFS(月次実績!$D$5:$D$3004,月次実績!$B$5:$B$3004,$A112,月次実績!$A$5:$A$3004,"&gt;="&amp;EDATE(設定!$C$5,-(設定!$C$6-1))))</f>
        <v/>
      </c>
      <c r="R112" s="16" t="str">
        <f aca="false">IF($A112="","",SUMIFS(月次実績!$D$5:$D$3004,月次実績!$B$5:$B$3004,$A112))</f>
        <v/>
      </c>
      <c r="S112" s="16" t="str">
        <f aca="false">IF($A112="","",SUMIFS(月次実績!$F$5:$F$3004,月次実績!$B$5:$B$3004,$A112))</f>
        <v/>
      </c>
      <c r="T112" s="19" t="str">
        <f aca="false">IF(OR($A112="",R112=0),"",S112/R112)</f>
        <v/>
      </c>
      <c r="U112" s="20" t="str">
        <f aca="false">IF($A112="","",SUMIFS(月次実績!$G$5:$G$3004,月次実績!$B$5:$B$3004,$A112))</f>
        <v/>
      </c>
      <c r="V112" s="17" t="str">
        <f aca="false">IF($A112="","",IF(Q112&gt;=設定!$C$7,"稼働中",IF(Q112&gt;=1,"低稼働","休眠")))</f>
        <v/>
      </c>
      <c r="W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15"/>
      <c r="H113" s="21"/>
      <c r="I113" s="15" t="str">
        <f aca="false">IF($A113="","",IF(_xlfn.MAXIFS(アクションログ!$A$5:$A$2004,アクションログ!$B$5:$B$2004,$A113)=0,"",_xlfn.MAXIFS(アクションログ!$A$5:$A$2004,アクションログ!$B$5:$B$2004,$A113)))</f>
        <v/>
      </c>
      <c r="J113" s="16" t="str">
        <f aca="false">IF(OR($A113="",I113=""),"",設定!$C$4-I113)</f>
        <v/>
      </c>
      <c r="K113" s="16" t="str">
        <f aca="false">IF($A113="","",IFERROR(INDEX(設定!$D$14:$D$17,MATCH(F113,設定!$B$14:$B$17,0)),""))</f>
        <v/>
      </c>
      <c r="L113" s="15" t="str">
        <f aca="false">IF(OR($A113="",K113=""),"",IF(I113="",設定!$C$4,I113+K113))</f>
        <v/>
      </c>
      <c r="M113" s="17" t="str">
        <f aca="false">IF($A113="","",IF(F113="","ランク未設定",IF(I113="","未接触",IF(設定!$C$4&gt;L113,"期限超過",IF(L113-設定!$C$4&lt;=設定!$C$8,"今週連絡","OK")))))</f>
        <v/>
      </c>
      <c r="N113" s="15" t="str">
        <f aca="false">IF($A113="","",IF(_xlfn.MINIFS(アクションログ!$J$5:$J$2004,アクションログ!$B$5:$B$2004,$A113,アクションログ!$K$5:$K$2004,"&lt;&gt;済",アクションログ!$J$5:$J$2004,"&gt;0")=0,"",_xlfn.MINIFS(アクションログ!$J$5:$J$2004,アクションログ!$B$5:$B$2004,$A113,アクションログ!$K$5:$K$2004,"&lt;&gt;済",アクションログ!$J$5:$J$2004,"&gt;0")))</f>
        <v/>
      </c>
      <c r="O113" s="18" t="str">
        <f aca="false">IF(N113="","",IFERROR(INDEX(アクションログ!$I$5:$I$2004,MATCH($A113&amp;"|"&amp;N113,アクションログ!$L$5:$L$2004,0)),""))</f>
        <v/>
      </c>
      <c r="P113" s="16" t="str">
        <f aca="false">IF($A113="","",COUNTIFS(アクションログ!$B$5:$B$2004,$A113,アクションログ!$A$5:$A$2004,"&gt;="&amp;設定!$C$5))</f>
        <v/>
      </c>
      <c r="Q113" s="16" t="str">
        <f aca="false">IF($A113="","",SUMIFS(月次実績!$D$5:$D$3004,月次実績!$B$5:$B$3004,$A113,月次実績!$A$5:$A$3004,"&gt;="&amp;EDATE(設定!$C$5,-(設定!$C$6-1))))</f>
        <v/>
      </c>
      <c r="R113" s="16" t="str">
        <f aca="false">IF($A113="","",SUMIFS(月次実績!$D$5:$D$3004,月次実績!$B$5:$B$3004,$A113))</f>
        <v/>
      </c>
      <c r="S113" s="16" t="str">
        <f aca="false">IF($A113="","",SUMIFS(月次実績!$F$5:$F$3004,月次実績!$B$5:$B$3004,$A113))</f>
        <v/>
      </c>
      <c r="T113" s="19" t="str">
        <f aca="false">IF(OR($A113="",R113=0),"",S113/R113)</f>
        <v/>
      </c>
      <c r="U113" s="20" t="str">
        <f aca="false">IF($A113="","",SUMIFS(月次実績!$G$5:$G$3004,月次実績!$B$5:$B$3004,$A113))</f>
        <v/>
      </c>
      <c r="V113" s="17" t="str">
        <f aca="false">IF($A113="","",IF(Q113&gt;=設定!$C$7,"稼働中",IF(Q113&gt;=1,"低稼働","休眠")))</f>
        <v/>
      </c>
      <c r="W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15"/>
      <c r="H114" s="21"/>
      <c r="I114" s="15" t="str">
        <f aca="false">IF($A114="","",IF(_xlfn.MAXIFS(アクションログ!$A$5:$A$2004,アクションログ!$B$5:$B$2004,$A114)=0,"",_xlfn.MAXIFS(アクションログ!$A$5:$A$2004,アクションログ!$B$5:$B$2004,$A114)))</f>
        <v/>
      </c>
      <c r="J114" s="16" t="str">
        <f aca="false">IF(OR($A114="",I114=""),"",設定!$C$4-I114)</f>
        <v/>
      </c>
      <c r="K114" s="16" t="str">
        <f aca="false">IF($A114="","",IFERROR(INDEX(設定!$D$14:$D$17,MATCH(F114,設定!$B$14:$B$17,0)),""))</f>
        <v/>
      </c>
      <c r="L114" s="15" t="str">
        <f aca="false">IF(OR($A114="",K114=""),"",IF(I114="",設定!$C$4,I114+K114))</f>
        <v/>
      </c>
      <c r="M114" s="17" t="str">
        <f aca="false">IF($A114="","",IF(F114="","ランク未設定",IF(I114="","未接触",IF(設定!$C$4&gt;L114,"期限超過",IF(L114-設定!$C$4&lt;=設定!$C$8,"今週連絡","OK")))))</f>
        <v/>
      </c>
      <c r="N114" s="15" t="str">
        <f aca="false">IF($A114="","",IF(_xlfn.MINIFS(アクションログ!$J$5:$J$2004,アクションログ!$B$5:$B$2004,$A114,アクションログ!$K$5:$K$2004,"&lt;&gt;済",アクションログ!$J$5:$J$2004,"&gt;0")=0,"",_xlfn.MINIFS(アクションログ!$J$5:$J$2004,アクションログ!$B$5:$B$2004,$A114,アクションログ!$K$5:$K$2004,"&lt;&gt;済",アクションログ!$J$5:$J$2004,"&gt;0")))</f>
        <v/>
      </c>
      <c r="O114" s="18" t="str">
        <f aca="false">IF(N114="","",IFERROR(INDEX(アクションログ!$I$5:$I$2004,MATCH($A114&amp;"|"&amp;N114,アクションログ!$L$5:$L$2004,0)),""))</f>
        <v/>
      </c>
      <c r="P114" s="16" t="str">
        <f aca="false">IF($A114="","",COUNTIFS(アクションログ!$B$5:$B$2004,$A114,アクションログ!$A$5:$A$2004,"&gt;="&amp;設定!$C$5))</f>
        <v/>
      </c>
      <c r="Q114" s="16" t="str">
        <f aca="false">IF($A114="","",SUMIFS(月次実績!$D$5:$D$3004,月次実績!$B$5:$B$3004,$A114,月次実績!$A$5:$A$3004,"&gt;="&amp;EDATE(設定!$C$5,-(設定!$C$6-1))))</f>
        <v/>
      </c>
      <c r="R114" s="16" t="str">
        <f aca="false">IF($A114="","",SUMIFS(月次実績!$D$5:$D$3004,月次実績!$B$5:$B$3004,$A114))</f>
        <v/>
      </c>
      <c r="S114" s="16" t="str">
        <f aca="false">IF($A114="","",SUMIFS(月次実績!$F$5:$F$3004,月次実績!$B$5:$B$3004,$A114))</f>
        <v/>
      </c>
      <c r="T114" s="19" t="str">
        <f aca="false">IF(OR($A114="",R114=0),"",S114/R114)</f>
        <v/>
      </c>
      <c r="U114" s="20" t="str">
        <f aca="false">IF($A114="","",SUMIFS(月次実績!$G$5:$G$3004,月次実績!$B$5:$B$3004,$A114))</f>
        <v/>
      </c>
      <c r="V114" s="17" t="str">
        <f aca="false">IF($A114="","",IF(Q114&gt;=設定!$C$7,"稼働中",IF(Q114&gt;=1,"低稼働","休眠")))</f>
        <v/>
      </c>
      <c r="W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15"/>
      <c r="H115" s="21"/>
      <c r="I115" s="15" t="str">
        <f aca="false">IF($A115="","",IF(_xlfn.MAXIFS(アクションログ!$A$5:$A$2004,アクションログ!$B$5:$B$2004,$A115)=0,"",_xlfn.MAXIFS(アクションログ!$A$5:$A$2004,アクションログ!$B$5:$B$2004,$A115)))</f>
        <v/>
      </c>
      <c r="J115" s="16" t="str">
        <f aca="false">IF(OR($A115="",I115=""),"",設定!$C$4-I115)</f>
        <v/>
      </c>
      <c r="K115" s="16" t="str">
        <f aca="false">IF($A115="","",IFERROR(INDEX(設定!$D$14:$D$17,MATCH(F115,設定!$B$14:$B$17,0)),""))</f>
        <v/>
      </c>
      <c r="L115" s="15" t="str">
        <f aca="false">IF(OR($A115="",K115=""),"",IF(I115="",設定!$C$4,I115+K115))</f>
        <v/>
      </c>
      <c r="M115" s="17" t="str">
        <f aca="false">IF($A115="","",IF(F115="","ランク未設定",IF(I115="","未接触",IF(設定!$C$4&gt;L115,"期限超過",IF(L115-設定!$C$4&lt;=設定!$C$8,"今週連絡","OK")))))</f>
        <v/>
      </c>
      <c r="N115" s="15" t="str">
        <f aca="false">IF($A115="","",IF(_xlfn.MINIFS(アクションログ!$J$5:$J$2004,アクションログ!$B$5:$B$2004,$A115,アクションログ!$K$5:$K$2004,"&lt;&gt;済",アクションログ!$J$5:$J$2004,"&gt;0")=0,"",_xlfn.MINIFS(アクションログ!$J$5:$J$2004,アクションログ!$B$5:$B$2004,$A115,アクションログ!$K$5:$K$2004,"&lt;&gt;済",アクションログ!$J$5:$J$2004,"&gt;0")))</f>
        <v/>
      </c>
      <c r="O115" s="18" t="str">
        <f aca="false">IF(N115="","",IFERROR(INDEX(アクションログ!$I$5:$I$2004,MATCH($A115&amp;"|"&amp;N115,アクションログ!$L$5:$L$2004,0)),""))</f>
        <v/>
      </c>
      <c r="P115" s="16" t="str">
        <f aca="false">IF($A115="","",COUNTIFS(アクションログ!$B$5:$B$2004,$A115,アクションログ!$A$5:$A$2004,"&gt;="&amp;設定!$C$5))</f>
        <v/>
      </c>
      <c r="Q115" s="16" t="str">
        <f aca="false">IF($A115="","",SUMIFS(月次実績!$D$5:$D$3004,月次実績!$B$5:$B$3004,$A115,月次実績!$A$5:$A$3004,"&gt;="&amp;EDATE(設定!$C$5,-(設定!$C$6-1))))</f>
        <v/>
      </c>
      <c r="R115" s="16" t="str">
        <f aca="false">IF($A115="","",SUMIFS(月次実績!$D$5:$D$3004,月次実績!$B$5:$B$3004,$A115))</f>
        <v/>
      </c>
      <c r="S115" s="16" t="str">
        <f aca="false">IF($A115="","",SUMIFS(月次実績!$F$5:$F$3004,月次実績!$B$5:$B$3004,$A115))</f>
        <v/>
      </c>
      <c r="T115" s="19" t="str">
        <f aca="false">IF(OR($A115="",R115=0),"",S115/R115)</f>
        <v/>
      </c>
      <c r="U115" s="20" t="str">
        <f aca="false">IF($A115="","",SUMIFS(月次実績!$G$5:$G$3004,月次実績!$B$5:$B$3004,$A115))</f>
        <v/>
      </c>
      <c r="V115" s="17" t="str">
        <f aca="false">IF($A115="","",IF(Q115&gt;=設定!$C$7,"稼働中",IF(Q115&gt;=1,"低稼働","休眠")))</f>
        <v/>
      </c>
      <c r="W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15"/>
      <c r="H116" s="21"/>
      <c r="I116" s="15" t="str">
        <f aca="false">IF($A116="","",IF(_xlfn.MAXIFS(アクションログ!$A$5:$A$2004,アクションログ!$B$5:$B$2004,$A116)=0,"",_xlfn.MAXIFS(アクションログ!$A$5:$A$2004,アクションログ!$B$5:$B$2004,$A116)))</f>
        <v/>
      </c>
      <c r="J116" s="16" t="str">
        <f aca="false">IF(OR($A116="",I116=""),"",設定!$C$4-I116)</f>
        <v/>
      </c>
      <c r="K116" s="16" t="str">
        <f aca="false">IF($A116="","",IFERROR(INDEX(設定!$D$14:$D$17,MATCH(F116,設定!$B$14:$B$17,0)),""))</f>
        <v/>
      </c>
      <c r="L116" s="15" t="str">
        <f aca="false">IF(OR($A116="",K116=""),"",IF(I116="",設定!$C$4,I116+K116))</f>
        <v/>
      </c>
      <c r="M116" s="17" t="str">
        <f aca="false">IF($A116="","",IF(F116="","ランク未設定",IF(I116="","未接触",IF(設定!$C$4&gt;L116,"期限超過",IF(L116-設定!$C$4&lt;=設定!$C$8,"今週連絡","OK")))))</f>
        <v/>
      </c>
      <c r="N116" s="15" t="str">
        <f aca="false">IF($A116="","",IF(_xlfn.MINIFS(アクションログ!$J$5:$J$2004,アクションログ!$B$5:$B$2004,$A116,アクションログ!$K$5:$K$2004,"&lt;&gt;済",アクションログ!$J$5:$J$2004,"&gt;0")=0,"",_xlfn.MINIFS(アクションログ!$J$5:$J$2004,アクションログ!$B$5:$B$2004,$A116,アクションログ!$K$5:$K$2004,"&lt;&gt;済",アクションログ!$J$5:$J$2004,"&gt;0")))</f>
        <v/>
      </c>
      <c r="O116" s="18" t="str">
        <f aca="false">IF(N116="","",IFERROR(INDEX(アクションログ!$I$5:$I$2004,MATCH($A116&amp;"|"&amp;N116,アクションログ!$L$5:$L$2004,0)),""))</f>
        <v/>
      </c>
      <c r="P116" s="16" t="str">
        <f aca="false">IF($A116="","",COUNTIFS(アクションログ!$B$5:$B$2004,$A116,アクションログ!$A$5:$A$2004,"&gt;="&amp;設定!$C$5))</f>
        <v/>
      </c>
      <c r="Q116" s="16" t="str">
        <f aca="false">IF($A116="","",SUMIFS(月次実績!$D$5:$D$3004,月次実績!$B$5:$B$3004,$A116,月次実績!$A$5:$A$3004,"&gt;="&amp;EDATE(設定!$C$5,-(設定!$C$6-1))))</f>
        <v/>
      </c>
      <c r="R116" s="16" t="str">
        <f aca="false">IF($A116="","",SUMIFS(月次実績!$D$5:$D$3004,月次実績!$B$5:$B$3004,$A116))</f>
        <v/>
      </c>
      <c r="S116" s="16" t="str">
        <f aca="false">IF($A116="","",SUMIFS(月次実績!$F$5:$F$3004,月次実績!$B$5:$B$3004,$A116))</f>
        <v/>
      </c>
      <c r="T116" s="19" t="str">
        <f aca="false">IF(OR($A116="",R116=0),"",S116/R116)</f>
        <v/>
      </c>
      <c r="U116" s="20" t="str">
        <f aca="false">IF($A116="","",SUMIFS(月次実績!$G$5:$G$3004,月次実績!$B$5:$B$3004,$A116))</f>
        <v/>
      </c>
      <c r="V116" s="17" t="str">
        <f aca="false">IF($A116="","",IF(Q116&gt;=設定!$C$7,"稼働中",IF(Q116&gt;=1,"低稼働","休眠")))</f>
        <v/>
      </c>
      <c r="W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15"/>
      <c r="H117" s="21"/>
      <c r="I117" s="15" t="str">
        <f aca="false">IF($A117="","",IF(_xlfn.MAXIFS(アクションログ!$A$5:$A$2004,アクションログ!$B$5:$B$2004,$A117)=0,"",_xlfn.MAXIFS(アクションログ!$A$5:$A$2004,アクションログ!$B$5:$B$2004,$A117)))</f>
        <v/>
      </c>
      <c r="J117" s="16" t="str">
        <f aca="false">IF(OR($A117="",I117=""),"",設定!$C$4-I117)</f>
        <v/>
      </c>
      <c r="K117" s="16" t="str">
        <f aca="false">IF($A117="","",IFERROR(INDEX(設定!$D$14:$D$17,MATCH(F117,設定!$B$14:$B$17,0)),""))</f>
        <v/>
      </c>
      <c r="L117" s="15" t="str">
        <f aca="false">IF(OR($A117="",K117=""),"",IF(I117="",設定!$C$4,I117+K117))</f>
        <v/>
      </c>
      <c r="M117" s="17" t="str">
        <f aca="false">IF($A117="","",IF(F117="","ランク未設定",IF(I117="","未接触",IF(設定!$C$4&gt;L117,"期限超過",IF(L117-設定!$C$4&lt;=設定!$C$8,"今週連絡","OK")))))</f>
        <v/>
      </c>
      <c r="N117" s="15" t="str">
        <f aca="false">IF($A117="","",IF(_xlfn.MINIFS(アクションログ!$J$5:$J$2004,アクションログ!$B$5:$B$2004,$A117,アクションログ!$K$5:$K$2004,"&lt;&gt;済",アクションログ!$J$5:$J$2004,"&gt;0")=0,"",_xlfn.MINIFS(アクションログ!$J$5:$J$2004,アクションログ!$B$5:$B$2004,$A117,アクションログ!$K$5:$K$2004,"&lt;&gt;済",アクションログ!$J$5:$J$2004,"&gt;0")))</f>
        <v/>
      </c>
      <c r="O117" s="18" t="str">
        <f aca="false">IF(N117="","",IFERROR(INDEX(アクションログ!$I$5:$I$2004,MATCH($A117&amp;"|"&amp;N117,アクションログ!$L$5:$L$2004,0)),""))</f>
        <v/>
      </c>
      <c r="P117" s="16" t="str">
        <f aca="false">IF($A117="","",COUNTIFS(アクションログ!$B$5:$B$2004,$A117,アクションログ!$A$5:$A$2004,"&gt;="&amp;設定!$C$5))</f>
        <v/>
      </c>
      <c r="Q117" s="16" t="str">
        <f aca="false">IF($A117="","",SUMIFS(月次実績!$D$5:$D$3004,月次実績!$B$5:$B$3004,$A117,月次実績!$A$5:$A$3004,"&gt;="&amp;EDATE(設定!$C$5,-(設定!$C$6-1))))</f>
        <v/>
      </c>
      <c r="R117" s="16" t="str">
        <f aca="false">IF($A117="","",SUMIFS(月次実績!$D$5:$D$3004,月次実績!$B$5:$B$3004,$A117))</f>
        <v/>
      </c>
      <c r="S117" s="16" t="str">
        <f aca="false">IF($A117="","",SUMIFS(月次実績!$F$5:$F$3004,月次実績!$B$5:$B$3004,$A117))</f>
        <v/>
      </c>
      <c r="T117" s="19" t="str">
        <f aca="false">IF(OR($A117="",R117=0),"",S117/R117)</f>
        <v/>
      </c>
      <c r="U117" s="20" t="str">
        <f aca="false">IF($A117="","",SUMIFS(月次実績!$G$5:$G$3004,月次実績!$B$5:$B$3004,$A117))</f>
        <v/>
      </c>
      <c r="V117" s="17" t="str">
        <f aca="false">IF($A117="","",IF(Q117&gt;=設定!$C$7,"稼働中",IF(Q117&gt;=1,"低稼働","休眠")))</f>
        <v/>
      </c>
      <c r="W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15"/>
      <c r="H118" s="21"/>
      <c r="I118" s="15" t="str">
        <f aca="false">IF($A118="","",IF(_xlfn.MAXIFS(アクションログ!$A$5:$A$2004,アクションログ!$B$5:$B$2004,$A118)=0,"",_xlfn.MAXIFS(アクションログ!$A$5:$A$2004,アクションログ!$B$5:$B$2004,$A118)))</f>
        <v/>
      </c>
      <c r="J118" s="16" t="str">
        <f aca="false">IF(OR($A118="",I118=""),"",設定!$C$4-I118)</f>
        <v/>
      </c>
      <c r="K118" s="16" t="str">
        <f aca="false">IF($A118="","",IFERROR(INDEX(設定!$D$14:$D$17,MATCH(F118,設定!$B$14:$B$17,0)),""))</f>
        <v/>
      </c>
      <c r="L118" s="15" t="str">
        <f aca="false">IF(OR($A118="",K118=""),"",IF(I118="",設定!$C$4,I118+K118))</f>
        <v/>
      </c>
      <c r="M118" s="17" t="str">
        <f aca="false">IF($A118="","",IF(F118="","ランク未設定",IF(I118="","未接触",IF(設定!$C$4&gt;L118,"期限超過",IF(L118-設定!$C$4&lt;=設定!$C$8,"今週連絡","OK")))))</f>
        <v/>
      </c>
      <c r="N118" s="15" t="str">
        <f aca="false">IF($A118="","",IF(_xlfn.MINIFS(アクションログ!$J$5:$J$2004,アクションログ!$B$5:$B$2004,$A118,アクションログ!$K$5:$K$2004,"&lt;&gt;済",アクションログ!$J$5:$J$2004,"&gt;0")=0,"",_xlfn.MINIFS(アクションログ!$J$5:$J$2004,アクションログ!$B$5:$B$2004,$A118,アクションログ!$K$5:$K$2004,"&lt;&gt;済",アクションログ!$J$5:$J$2004,"&gt;0")))</f>
        <v/>
      </c>
      <c r="O118" s="18" t="str">
        <f aca="false">IF(N118="","",IFERROR(INDEX(アクションログ!$I$5:$I$2004,MATCH($A118&amp;"|"&amp;N118,アクションログ!$L$5:$L$2004,0)),""))</f>
        <v/>
      </c>
      <c r="P118" s="16" t="str">
        <f aca="false">IF($A118="","",COUNTIFS(アクションログ!$B$5:$B$2004,$A118,アクションログ!$A$5:$A$2004,"&gt;="&amp;設定!$C$5))</f>
        <v/>
      </c>
      <c r="Q118" s="16" t="str">
        <f aca="false">IF($A118="","",SUMIFS(月次実績!$D$5:$D$3004,月次実績!$B$5:$B$3004,$A118,月次実績!$A$5:$A$3004,"&gt;="&amp;EDATE(設定!$C$5,-(設定!$C$6-1))))</f>
        <v/>
      </c>
      <c r="R118" s="16" t="str">
        <f aca="false">IF($A118="","",SUMIFS(月次実績!$D$5:$D$3004,月次実績!$B$5:$B$3004,$A118))</f>
        <v/>
      </c>
      <c r="S118" s="16" t="str">
        <f aca="false">IF($A118="","",SUMIFS(月次実績!$F$5:$F$3004,月次実績!$B$5:$B$3004,$A118))</f>
        <v/>
      </c>
      <c r="T118" s="19" t="str">
        <f aca="false">IF(OR($A118="",R118=0),"",S118/R118)</f>
        <v/>
      </c>
      <c r="U118" s="20" t="str">
        <f aca="false">IF($A118="","",SUMIFS(月次実績!$G$5:$G$3004,月次実績!$B$5:$B$3004,$A118))</f>
        <v/>
      </c>
      <c r="V118" s="17" t="str">
        <f aca="false">IF($A118="","",IF(Q118&gt;=設定!$C$7,"稼働中",IF(Q118&gt;=1,"低稼働","休眠")))</f>
        <v/>
      </c>
      <c r="W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15"/>
      <c r="H119" s="21"/>
      <c r="I119" s="15" t="str">
        <f aca="false">IF($A119="","",IF(_xlfn.MAXIFS(アクションログ!$A$5:$A$2004,アクションログ!$B$5:$B$2004,$A119)=0,"",_xlfn.MAXIFS(アクションログ!$A$5:$A$2004,アクションログ!$B$5:$B$2004,$A119)))</f>
        <v/>
      </c>
      <c r="J119" s="16" t="str">
        <f aca="false">IF(OR($A119="",I119=""),"",設定!$C$4-I119)</f>
        <v/>
      </c>
      <c r="K119" s="16" t="str">
        <f aca="false">IF($A119="","",IFERROR(INDEX(設定!$D$14:$D$17,MATCH(F119,設定!$B$14:$B$17,0)),""))</f>
        <v/>
      </c>
      <c r="L119" s="15" t="str">
        <f aca="false">IF(OR($A119="",K119=""),"",IF(I119="",設定!$C$4,I119+K119))</f>
        <v/>
      </c>
      <c r="M119" s="17" t="str">
        <f aca="false">IF($A119="","",IF(F119="","ランク未設定",IF(I119="","未接触",IF(設定!$C$4&gt;L119,"期限超過",IF(L119-設定!$C$4&lt;=設定!$C$8,"今週連絡","OK")))))</f>
        <v/>
      </c>
      <c r="N119" s="15" t="str">
        <f aca="false">IF($A119="","",IF(_xlfn.MINIFS(アクションログ!$J$5:$J$2004,アクションログ!$B$5:$B$2004,$A119,アクションログ!$K$5:$K$2004,"&lt;&gt;済",アクションログ!$J$5:$J$2004,"&gt;0")=0,"",_xlfn.MINIFS(アクションログ!$J$5:$J$2004,アクションログ!$B$5:$B$2004,$A119,アクションログ!$K$5:$K$2004,"&lt;&gt;済",アクションログ!$J$5:$J$2004,"&gt;0")))</f>
        <v/>
      </c>
      <c r="O119" s="18" t="str">
        <f aca="false">IF(N119="","",IFERROR(INDEX(アクションログ!$I$5:$I$2004,MATCH($A119&amp;"|"&amp;N119,アクションログ!$L$5:$L$2004,0)),""))</f>
        <v/>
      </c>
      <c r="P119" s="16" t="str">
        <f aca="false">IF($A119="","",COUNTIFS(アクションログ!$B$5:$B$2004,$A119,アクションログ!$A$5:$A$2004,"&gt;="&amp;設定!$C$5))</f>
        <v/>
      </c>
      <c r="Q119" s="16" t="str">
        <f aca="false">IF($A119="","",SUMIFS(月次実績!$D$5:$D$3004,月次実績!$B$5:$B$3004,$A119,月次実績!$A$5:$A$3004,"&gt;="&amp;EDATE(設定!$C$5,-(設定!$C$6-1))))</f>
        <v/>
      </c>
      <c r="R119" s="16" t="str">
        <f aca="false">IF($A119="","",SUMIFS(月次実績!$D$5:$D$3004,月次実績!$B$5:$B$3004,$A119))</f>
        <v/>
      </c>
      <c r="S119" s="16" t="str">
        <f aca="false">IF($A119="","",SUMIFS(月次実績!$F$5:$F$3004,月次実績!$B$5:$B$3004,$A119))</f>
        <v/>
      </c>
      <c r="T119" s="19" t="str">
        <f aca="false">IF(OR($A119="",R119=0),"",S119/R119)</f>
        <v/>
      </c>
      <c r="U119" s="20" t="str">
        <f aca="false">IF($A119="","",SUMIFS(月次実績!$G$5:$G$3004,月次実績!$B$5:$B$3004,$A119))</f>
        <v/>
      </c>
      <c r="V119" s="17" t="str">
        <f aca="false">IF($A119="","",IF(Q119&gt;=設定!$C$7,"稼働中",IF(Q119&gt;=1,"低稼働","休眠")))</f>
        <v/>
      </c>
      <c r="W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15"/>
      <c r="H120" s="21"/>
      <c r="I120" s="15" t="str">
        <f aca="false">IF($A120="","",IF(_xlfn.MAXIFS(アクションログ!$A$5:$A$2004,アクションログ!$B$5:$B$2004,$A120)=0,"",_xlfn.MAXIFS(アクションログ!$A$5:$A$2004,アクションログ!$B$5:$B$2004,$A120)))</f>
        <v/>
      </c>
      <c r="J120" s="16" t="str">
        <f aca="false">IF(OR($A120="",I120=""),"",設定!$C$4-I120)</f>
        <v/>
      </c>
      <c r="K120" s="16" t="str">
        <f aca="false">IF($A120="","",IFERROR(INDEX(設定!$D$14:$D$17,MATCH(F120,設定!$B$14:$B$17,0)),""))</f>
        <v/>
      </c>
      <c r="L120" s="15" t="str">
        <f aca="false">IF(OR($A120="",K120=""),"",IF(I120="",設定!$C$4,I120+K120))</f>
        <v/>
      </c>
      <c r="M120" s="17" t="str">
        <f aca="false">IF($A120="","",IF(F120="","ランク未設定",IF(I120="","未接触",IF(設定!$C$4&gt;L120,"期限超過",IF(L120-設定!$C$4&lt;=設定!$C$8,"今週連絡","OK")))))</f>
        <v/>
      </c>
      <c r="N120" s="15" t="str">
        <f aca="false">IF($A120="","",IF(_xlfn.MINIFS(アクションログ!$J$5:$J$2004,アクションログ!$B$5:$B$2004,$A120,アクションログ!$K$5:$K$2004,"&lt;&gt;済",アクションログ!$J$5:$J$2004,"&gt;0")=0,"",_xlfn.MINIFS(アクションログ!$J$5:$J$2004,アクションログ!$B$5:$B$2004,$A120,アクションログ!$K$5:$K$2004,"&lt;&gt;済",アクションログ!$J$5:$J$2004,"&gt;0")))</f>
        <v/>
      </c>
      <c r="O120" s="18" t="str">
        <f aca="false">IF(N120="","",IFERROR(INDEX(アクションログ!$I$5:$I$2004,MATCH($A120&amp;"|"&amp;N120,アクションログ!$L$5:$L$2004,0)),""))</f>
        <v/>
      </c>
      <c r="P120" s="16" t="str">
        <f aca="false">IF($A120="","",COUNTIFS(アクションログ!$B$5:$B$2004,$A120,アクションログ!$A$5:$A$2004,"&gt;="&amp;設定!$C$5))</f>
        <v/>
      </c>
      <c r="Q120" s="16" t="str">
        <f aca="false">IF($A120="","",SUMIFS(月次実績!$D$5:$D$3004,月次実績!$B$5:$B$3004,$A120,月次実績!$A$5:$A$3004,"&gt;="&amp;EDATE(設定!$C$5,-(設定!$C$6-1))))</f>
        <v/>
      </c>
      <c r="R120" s="16" t="str">
        <f aca="false">IF($A120="","",SUMIFS(月次実績!$D$5:$D$3004,月次実績!$B$5:$B$3004,$A120))</f>
        <v/>
      </c>
      <c r="S120" s="16" t="str">
        <f aca="false">IF($A120="","",SUMIFS(月次実績!$F$5:$F$3004,月次実績!$B$5:$B$3004,$A120))</f>
        <v/>
      </c>
      <c r="T120" s="19" t="str">
        <f aca="false">IF(OR($A120="",R120=0),"",S120/R120)</f>
        <v/>
      </c>
      <c r="U120" s="20" t="str">
        <f aca="false">IF($A120="","",SUMIFS(月次実績!$G$5:$G$3004,月次実績!$B$5:$B$3004,$A120))</f>
        <v/>
      </c>
      <c r="V120" s="17" t="str">
        <f aca="false">IF($A120="","",IF(Q120&gt;=設定!$C$7,"稼働中",IF(Q120&gt;=1,"低稼働","休眠")))</f>
        <v/>
      </c>
      <c r="W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15"/>
      <c r="H121" s="21"/>
      <c r="I121" s="15" t="str">
        <f aca="false">IF($A121="","",IF(_xlfn.MAXIFS(アクションログ!$A$5:$A$2004,アクションログ!$B$5:$B$2004,$A121)=0,"",_xlfn.MAXIFS(アクションログ!$A$5:$A$2004,アクションログ!$B$5:$B$2004,$A121)))</f>
        <v/>
      </c>
      <c r="J121" s="16" t="str">
        <f aca="false">IF(OR($A121="",I121=""),"",設定!$C$4-I121)</f>
        <v/>
      </c>
      <c r="K121" s="16" t="str">
        <f aca="false">IF($A121="","",IFERROR(INDEX(設定!$D$14:$D$17,MATCH(F121,設定!$B$14:$B$17,0)),""))</f>
        <v/>
      </c>
      <c r="L121" s="15" t="str">
        <f aca="false">IF(OR($A121="",K121=""),"",IF(I121="",設定!$C$4,I121+K121))</f>
        <v/>
      </c>
      <c r="M121" s="17" t="str">
        <f aca="false">IF($A121="","",IF(F121="","ランク未設定",IF(I121="","未接触",IF(設定!$C$4&gt;L121,"期限超過",IF(L121-設定!$C$4&lt;=設定!$C$8,"今週連絡","OK")))))</f>
        <v/>
      </c>
      <c r="N121" s="15" t="str">
        <f aca="false">IF($A121="","",IF(_xlfn.MINIFS(アクションログ!$J$5:$J$2004,アクションログ!$B$5:$B$2004,$A121,アクションログ!$K$5:$K$2004,"&lt;&gt;済",アクションログ!$J$5:$J$2004,"&gt;0")=0,"",_xlfn.MINIFS(アクションログ!$J$5:$J$2004,アクションログ!$B$5:$B$2004,$A121,アクションログ!$K$5:$K$2004,"&lt;&gt;済",アクションログ!$J$5:$J$2004,"&gt;0")))</f>
        <v/>
      </c>
      <c r="O121" s="18" t="str">
        <f aca="false">IF(N121="","",IFERROR(INDEX(アクションログ!$I$5:$I$2004,MATCH($A121&amp;"|"&amp;N121,アクションログ!$L$5:$L$2004,0)),""))</f>
        <v/>
      </c>
      <c r="P121" s="16" t="str">
        <f aca="false">IF($A121="","",COUNTIFS(アクションログ!$B$5:$B$2004,$A121,アクションログ!$A$5:$A$2004,"&gt;="&amp;設定!$C$5))</f>
        <v/>
      </c>
      <c r="Q121" s="16" t="str">
        <f aca="false">IF($A121="","",SUMIFS(月次実績!$D$5:$D$3004,月次実績!$B$5:$B$3004,$A121,月次実績!$A$5:$A$3004,"&gt;="&amp;EDATE(設定!$C$5,-(設定!$C$6-1))))</f>
        <v/>
      </c>
      <c r="R121" s="16" t="str">
        <f aca="false">IF($A121="","",SUMIFS(月次実績!$D$5:$D$3004,月次実績!$B$5:$B$3004,$A121))</f>
        <v/>
      </c>
      <c r="S121" s="16" t="str">
        <f aca="false">IF($A121="","",SUMIFS(月次実績!$F$5:$F$3004,月次実績!$B$5:$B$3004,$A121))</f>
        <v/>
      </c>
      <c r="T121" s="19" t="str">
        <f aca="false">IF(OR($A121="",R121=0),"",S121/R121)</f>
        <v/>
      </c>
      <c r="U121" s="20" t="str">
        <f aca="false">IF($A121="","",SUMIFS(月次実績!$G$5:$G$3004,月次実績!$B$5:$B$3004,$A121))</f>
        <v/>
      </c>
      <c r="V121" s="17" t="str">
        <f aca="false">IF($A121="","",IF(Q121&gt;=設定!$C$7,"稼働中",IF(Q121&gt;=1,"低稼働","休眠")))</f>
        <v/>
      </c>
      <c r="W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15"/>
      <c r="H122" s="21"/>
      <c r="I122" s="15" t="str">
        <f aca="false">IF($A122="","",IF(_xlfn.MAXIFS(アクションログ!$A$5:$A$2004,アクションログ!$B$5:$B$2004,$A122)=0,"",_xlfn.MAXIFS(アクションログ!$A$5:$A$2004,アクションログ!$B$5:$B$2004,$A122)))</f>
        <v/>
      </c>
      <c r="J122" s="16" t="str">
        <f aca="false">IF(OR($A122="",I122=""),"",設定!$C$4-I122)</f>
        <v/>
      </c>
      <c r="K122" s="16" t="str">
        <f aca="false">IF($A122="","",IFERROR(INDEX(設定!$D$14:$D$17,MATCH(F122,設定!$B$14:$B$17,0)),""))</f>
        <v/>
      </c>
      <c r="L122" s="15" t="str">
        <f aca="false">IF(OR($A122="",K122=""),"",IF(I122="",設定!$C$4,I122+K122))</f>
        <v/>
      </c>
      <c r="M122" s="17" t="str">
        <f aca="false">IF($A122="","",IF(F122="","ランク未設定",IF(I122="","未接触",IF(設定!$C$4&gt;L122,"期限超過",IF(L122-設定!$C$4&lt;=設定!$C$8,"今週連絡","OK")))))</f>
        <v/>
      </c>
      <c r="N122" s="15" t="str">
        <f aca="false">IF($A122="","",IF(_xlfn.MINIFS(アクションログ!$J$5:$J$2004,アクションログ!$B$5:$B$2004,$A122,アクションログ!$K$5:$K$2004,"&lt;&gt;済",アクションログ!$J$5:$J$2004,"&gt;0")=0,"",_xlfn.MINIFS(アクションログ!$J$5:$J$2004,アクションログ!$B$5:$B$2004,$A122,アクションログ!$K$5:$K$2004,"&lt;&gt;済",アクションログ!$J$5:$J$2004,"&gt;0")))</f>
        <v/>
      </c>
      <c r="O122" s="18" t="str">
        <f aca="false">IF(N122="","",IFERROR(INDEX(アクションログ!$I$5:$I$2004,MATCH($A122&amp;"|"&amp;N122,アクションログ!$L$5:$L$2004,0)),""))</f>
        <v/>
      </c>
      <c r="P122" s="16" t="str">
        <f aca="false">IF($A122="","",COUNTIFS(アクションログ!$B$5:$B$2004,$A122,アクションログ!$A$5:$A$2004,"&gt;="&amp;設定!$C$5))</f>
        <v/>
      </c>
      <c r="Q122" s="16" t="str">
        <f aca="false">IF($A122="","",SUMIFS(月次実績!$D$5:$D$3004,月次実績!$B$5:$B$3004,$A122,月次実績!$A$5:$A$3004,"&gt;="&amp;EDATE(設定!$C$5,-(設定!$C$6-1))))</f>
        <v/>
      </c>
      <c r="R122" s="16" t="str">
        <f aca="false">IF($A122="","",SUMIFS(月次実績!$D$5:$D$3004,月次実績!$B$5:$B$3004,$A122))</f>
        <v/>
      </c>
      <c r="S122" s="16" t="str">
        <f aca="false">IF($A122="","",SUMIFS(月次実績!$F$5:$F$3004,月次実績!$B$5:$B$3004,$A122))</f>
        <v/>
      </c>
      <c r="T122" s="19" t="str">
        <f aca="false">IF(OR($A122="",R122=0),"",S122/R122)</f>
        <v/>
      </c>
      <c r="U122" s="20" t="str">
        <f aca="false">IF($A122="","",SUMIFS(月次実績!$G$5:$G$3004,月次実績!$B$5:$B$3004,$A122))</f>
        <v/>
      </c>
      <c r="V122" s="17" t="str">
        <f aca="false">IF($A122="","",IF(Q122&gt;=設定!$C$7,"稼働中",IF(Q122&gt;=1,"低稼働","休眠")))</f>
        <v/>
      </c>
      <c r="W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15"/>
      <c r="H123" s="21"/>
      <c r="I123" s="15" t="str">
        <f aca="false">IF($A123="","",IF(_xlfn.MAXIFS(アクションログ!$A$5:$A$2004,アクションログ!$B$5:$B$2004,$A123)=0,"",_xlfn.MAXIFS(アクションログ!$A$5:$A$2004,アクションログ!$B$5:$B$2004,$A123)))</f>
        <v/>
      </c>
      <c r="J123" s="16" t="str">
        <f aca="false">IF(OR($A123="",I123=""),"",設定!$C$4-I123)</f>
        <v/>
      </c>
      <c r="K123" s="16" t="str">
        <f aca="false">IF($A123="","",IFERROR(INDEX(設定!$D$14:$D$17,MATCH(F123,設定!$B$14:$B$17,0)),""))</f>
        <v/>
      </c>
      <c r="L123" s="15" t="str">
        <f aca="false">IF(OR($A123="",K123=""),"",IF(I123="",設定!$C$4,I123+K123))</f>
        <v/>
      </c>
      <c r="M123" s="17" t="str">
        <f aca="false">IF($A123="","",IF(F123="","ランク未設定",IF(I123="","未接触",IF(設定!$C$4&gt;L123,"期限超過",IF(L123-設定!$C$4&lt;=設定!$C$8,"今週連絡","OK")))))</f>
        <v/>
      </c>
      <c r="N123" s="15" t="str">
        <f aca="false">IF($A123="","",IF(_xlfn.MINIFS(アクションログ!$J$5:$J$2004,アクションログ!$B$5:$B$2004,$A123,アクションログ!$K$5:$K$2004,"&lt;&gt;済",アクションログ!$J$5:$J$2004,"&gt;0")=0,"",_xlfn.MINIFS(アクションログ!$J$5:$J$2004,アクションログ!$B$5:$B$2004,$A123,アクションログ!$K$5:$K$2004,"&lt;&gt;済",アクションログ!$J$5:$J$2004,"&gt;0")))</f>
        <v/>
      </c>
      <c r="O123" s="18" t="str">
        <f aca="false">IF(N123="","",IFERROR(INDEX(アクションログ!$I$5:$I$2004,MATCH($A123&amp;"|"&amp;N123,アクションログ!$L$5:$L$2004,0)),""))</f>
        <v/>
      </c>
      <c r="P123" s="16" t="str">
        <f aca="false">IF($A123="","",COUNTIFS(アクションログ!$B$5:$B$2004,$A123,アクションログ!$A$5:$A$2004,"&gt;="&amp;設定!$C$5))</f>
        <v/>
      </c>
      <c r="Q123" s="16" t="str">
        <f aca="false">IF($A123="","",SUMIFS(月次実績!$D$5:$D$3004,月次実績!$B$5:$B$3004,$A123,月次実績!$A$5:$A$3004,"&gt;="&amp;EDATE(設定!$C$5,-(設定!$C$6-1))))</f>
        <v/>
      </c>
      <c r="R123" s="16" t="str">
        <f aca="false">IF($A123="","",SUMIFS(月次実績!$D$5:$D$3004,月次実績!$B$5:$B$3004,$A123))</f>
        <v/>
      </c>
      <c r="S123" s="16" t="str">
        <f aca="false">IF($A123="","",SUMIFS(月次実績!$F$5:$F$3004,月次実績!$B$5:$B$3004,$A123))</f>
        <v/>
      </c>
      <c r="T123" s="19" t="str">
        <f aca="false">IF(OR($A123="",R123=0),"",S123/R123)</f>
        <v/>
      </c>
      <c r="U123" s="20" t="str">
        <f aca="false">IF($A123="","",SUMIFS(月次実績!$G$5:$G$3004,月次実績!$B$5:$B$3004,$A123))</f>
        <v/>
      </c>
      <c r="V123" s="17" t="str">
        <f aca="false">IF($A123="","",IF(Q123&gt;=設定!$C$7,"稼働中",IF(Q123&gt;=1,"低稼働","休眠")))</f>
        <v/>
      </c>
      <c r="W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15"/>
      <c r="H124" s="21"/>
      <c r="I124" s="15" t="str">
        <f aca="false">IF($A124="","",IF(_xlfn.MAXIFS(アクションログ!$A$5:$A$2004,アクションログ!$B$5:$B$2004,$A124)=0,"",_xlfn.MAXIFS(アクションログ!$A$5:$A$2004,アクションログ!$B$5:$B$2004,$A124)))</f>
        <v/>
      </c>
      <c r="J124" s="16" t="str">
        <f aca="false">IF(OR($A124="",I124=""),"",設定!$C$4-I124)</f>
        <v/>
      </c>
      <c r="K124" s="16" t="str">
        <f aca="false">IF($A124="","",IFERROR(INDEX(設定!$D$14:$D$17,MATCH(F124,設定!$B$14:$B$17,0)),""))</f>
        <v/>
      </c>
      <c r="L124" s="15" t="str">
        <f aca="false">IF(OR($A124="",K124=""),"",IF(I124="",設定!$C$4,I124+K124))</f>
        <v/>
      </c>
      <c r="M124" s="17" t="str">
        <f aca="false">IF($A124="","",IF(F124="","ランク未設定",IF(I124="","未接触",IF(設定!$C$4&gt;L124,"期限超過",IF(L124-設定!$C$4&lt;=設定!$C$8,"今週連絡","OK")))))</f>
        <v/>
      </c>
      <c r="N124" s="15" t="str">
        <f aca="false">IF($A124="","",IF(_xlfn.MINIFS(アクションログ!$J$5:$J$2004,アクションログ!$B$5:$B$2004,$A124,アクションログ!$K$5:$K$2004,"&lt;&gt;済",アクションログ!$J$5:$J$2004,"&gt;0")=0,"",_xlfn.MINIFS(アクションログ!$J$5:$J$2004,アクションログ!$B$5:$B$2004,$A124,アクションログ!$K$5:$K$2004,"&lt;&gt;済",アクションログ!$J$5:$J$2004,"&gt;0")))</f>
        <v/>
      </c>
      <c r="O124" s="18" t="str">
        <f aca="false">IF(N124="","",IFERROR(INDEX(アクションログ!$I$5:$I$2004,MATCH($A124&amp;"|"&amp;N124,アクションログ!$L$5:$L$2004,0)),""))</f>
        <v/>
      </c>
      <c r="P124" s="16" t="str">
        <f aca="false">IF($A124="","",COUNTIFS(アクションログ!$B$5:$B$2004,$A124,アクションログ!$A$5:$A$2004,"&gt;="&amp;設定!$C$5))</f>
        <v/>
      </c>
      <c r="Q124" s="16" t="str">
        <f aca="false">IF($A124="","",SUMIFS(月次実績!$D$5:$D$3004,月次実績!$B$5:$B$3004,$A124,月次実績!$A$5:$A$3004,"&gt;="&amp;EDATE(設定!$C$5,-(設定!$C$6-1))))</f>
        <v/>
      </c>
      <c r="R124" s="16" t="str">
        <f aca="false">IF($A124="","",SUMIFS(月次実績!$D$5:$D$3004,月次実績!$B$5:$B$3004,$A124))</f>
        <v/>
      </c>
      <c r="S124" s="16" t="str">
        <f aca="false">IF($A124="","",SUMIFS(月次実績!$F$5:$F$3004,月次実績!$B$5:$B$3004,$A124))</f>
        <v/>
      </c>
      <c r="T124" s="19" t="str">
        <f aca="false">IF(OR($A124="",R124=0),"",S124/R124)</f>
        <v/>
      </c>
      <c r="U124" s="20" t="str">
        <f aca="false">IF($A124="","",SUMIFS(月次実績!$G$5:$G$3004,月次実績!$B$5:$B$3004,$A124))</f>
        <v/>
      </c>
      <c r="V124" s="17" t="str">
        <f aca="false">IF($A124="","",IF(Q124&gt;=設定!$C$7,"稼働中",IF(Q124&gt;=1,"低稼働","休眠")))</f>
        <v/>
      </c>
      <c r="W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15"/>
      <c r="H125" s="21"/>
      <c r="I125" s="15" t="str">
        <f aca="false">IF($A125="","",IF(_xlfn.MAXIFS(アクションログ!$A$5:$A$2004,アクションログ!$B$5:$B$2004,$A125)=0,"",_xlfn.MAXIFS(アクションログ!$A$5:$A$2004,アクションログ!$B$5:$B$2004,$A125)))</f>
        <v/>
      </c>
      <c r="J125" s="16" t="str">
        <f aca="false">IF(OR($A125="",I125=""),"",設定!$C$4-I125)</f>
        <v/>
      </c>
      <c r="K125" s="16" t="str">
        <f aca="false">IF($A125="","",IFERROR(INDEX(設定!$D$14:$D$17,MATCH(F125,設定!$B$14:$B$17,0)),""))</f>
        <v/>
      </c>
      <c r="L125" s="15" t="str">
        <f aca="false">IF(OR($A125="",K125=""),"",IF(I125="",設定!$C$4,I125+K125))</f>
        <v/>
      </c>
      <c r="M125" s="17" t="str">
        <f aca="false">IF($A125="","",IF(F125="","ランク未設定",IF(I125="","未接触",IF(設定!$C$4&gt;L125,"期限超過",IF(L125-設定!$C$4&lt;=設定!$C$8,"今週連絡","OK")))))</f>
        <v/>
      </c>
      <c r="N125" s="15" t="str">
        <f aca="false">IF($A125="","",IF(_xlfn.MINIFS(アクションログ!$J$5:$J$2004,アクションログ!$B$5:$B$2004,$A125,アクションログ!$K$5:$K$2004,"&lt;&gt;済",アクションログ!$J$5:$J$2004,"&gt;0")=0,"",_xlfn.MINIFS(アクションログ!$J$5:$J$2004,アクションログ!$B$5:$B$2004,$A125,アクションログ!$K$5:$K$2004,"&lt;&gt;済",アクションログ!$J$5:$J$2004,"&gt;0")))</f>
        <v/>
      </c>
      <c r="O125" s="18" t="str">
        <f aca="false">IF(N125="","",IFERROR(INDEX(アクションログ!$I$5:$I$2004,MATCH($A125&amp;"|"&amp;N125,アクションログ!$L$5:$L$2004,0)),""))</f>
        <v/>
      </c>
      <c r="P125" s="16" t="str">
        <f aca="false">IF($A125="","",COUNTIFS(アクションログ!$B$5:$B$2004,$A125,アクションログ!$A$5:$A$2004,"&gt;="&amp;設定!$C$5))</f>
        <v/>
      </c>
      <c r="Q125" s="16" t="str">
        <f aca="false">IF($A125="","",SUMIFS(月次実績!$D$5:$D$3004,月次実績!$B$5:$B$3004,$A125,月次実績!$A$5:$A$3004,"&gt;="&amp;EDATE(設定!$C$5,-(設定!$C$6-1))))</f>
        <v/>
      </c>
      <c r="R125" s="16" t="str">
        <f aca="false">IF($A125="","",SUMIFS(月次実績!$D$5:$D$3004,月次実績!$B$5:$B$3004,$A125))</f>
        <v/>
      </c>
      <c r="S125" s="16" t="str">
        <f aca="false">IF($A125="","",SUMIFS(月次実績!$F$5:$F$3004,月次実績!$B$5:$B$3004,$A125))</f>
        <v/>
      </c>
      <c r="T125" s="19" t="str">
        <f aca="false">IF(OR($A125="",R125=0),"",S125/R125)</f>
        <v/>
      </c>
      <c r="U125" s="20" t="str">
        <f aca="false">IF($A125="","",SUMIFS(月次実績!$G$5:$G$3004,月次実績!$B$5:$B$3004,$A125))</f>
        <v/>
      </c>
      <c r="V125" s="17" t="str">
        <f aca="false">IF($A125="","",IF(Q125&gt;=設定!$C$7,"稼働中",IF(Q125&gt;=1,"低稼働","休眠")))</f>
        <v/>
      </c>
      <c r="W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15"/>
      <c r="H126" s="21"/>
      <c r="I126" s="15" t="str">
        <f aca="false">IF($A126="","",IF(_xlfn.MAXIFS(アクションログ!$A$5:$A$2004,アクションログ!$B$5:$B$2004,$A126)=0,"",_xlfn.MAXIFS(アクションログ!$A$5:$A$2004,アクションログ!$B$5:$B$2004,$A126)))</f>
        <v/>
      </c>
      <c r="J126" s="16" t="str">
        <f aca="false">IF(OR($A126="",I126=""),"",設定!$C$4-I126)</f>
        <v/>
      </c>
      <c r="K126" s="16" t="str">
        <f aca="false">IF($A126="","",IFERROR(INDEX(設定!$D$14:$D$17,MATCH(F126,設定!$B$14:$B$17,0)),""))</f>
        <v/>
      </c>
      <c r="L126" s="15" t="str">
        <f aca="false">IF(OR($A126="",K126=""),"",IF(I126="",設定!$C$4,I126+K126))</f>
        <v/>
      </c>
      <c r="M126" s="17" t="str">
        <f aca="false">IF($A126="","",IF(F126="","ランク未設定",IF(I126="","未接触",IF(設定!$C$4&gt;L126,"期限超過",IF(L126-設定!$C$4&lt;=設定!$C$8,"今週連絡","OK")))))</f>
        <v/>
      </c>
      <c r="N126" s="15" t="str">
        <f aca="false">IF($A126="","",IF(_xlfn.MINIFS(アクションログ!$J$5:$J$2004,アクションログ!$B$5:$B$2004,$A126,アクションログ!$K$5:$K$2004,"&lt;&gt;済",アクションログ!$J$5:$J$2004,"&gt;0")=0,"",_xlfn.MINIFS(アクションログ!$J$5:$J$2004,アクションログ!$B$5:$B$2004,$A126,アクションログ!$K$5:$K$2004,"&lt;&gt;済",アクションログ!$J$5:$J$2004,"&gt;0")))</f>
        <v/>
      </c>
      <c r="O126" s="18" t="str">
        <f aca="false">IF(N126="","",IFERROR(INDEX(アクションログ!$I$5:$I$2004,MATCH($A126&amp;"|"&amp;N126,アクションログ!$L$5:$L$2004,0)),""))</f>
        <v/>
      </c>
      <c r="P126" s="16" t="str">
        <f aca="false">IF($A126="","",COUNTIFS(アクションログ!$B$5:$B$2004,$A126,アクションログ!$A$5:$A$2004,"&gt;="&amp;設定!$C$5))</f>
        <v/>
      </c>
      <c r="Q126" s="16" t="str">
        <f aca="false">IF($A126="","",SUMIFS(月次実績!$D$5:$D$3004,月次実績!$B$5:$B$3004,$A126,月次実績!$A$5:$A$3004,"&gt;="&amp;EDATE(設定!$C$5,-(設定!$C$6-1))))</f>
        <v/>
      </c>
      <c r="R126" s="16" t="str">
        <f aca="false">IF($A126="","",SUMIFS(月次実績!$D$5:$D$3004,月次実績!$B$5:$B$3004,$A126))</f>
        <v/>
      </c>
      <c r="S126" s="16" t="str">
        <f aca="false">IF($A126="","",SUMIFS(月次実績!$F$5:$F$3004,月次実績!$B$5:$B$3004,$A126))</f>
        <v/>
      </c>
      <c r="T126" s="19" t="str">
        <f aca="false">IF(OR($A126="",R126=0),"",S126/R126)</f>
        <v/>
      </c>
      <c r="U126" s="20" t="str">
        <f aca="false">IF($A126="","",SUMIFS(月次実績!$G$5:$G$3004,月次実績!$B$5:$B$3004,$A126))</f>
        <v/>
      </c>
      <c r="V126" s="17" t="str">
        <f aca="false">IF($A126="","",IF(Q126&gt;=設定!$C$7,"稼働中",IF(Q126&gt;=1,"低稼働","休眠")))</f>
        <v/>
      </c>
      <c r="W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15"/>
      <c r="H127" s="21"/>
      <c r="I127" s="15" t="str">
        <f aca="false">IF($A127="","",IF(_xlfn.MAXIFS(アクションログ!$A$5:$A$2004,アクションログ!$B$5:$B$2004,$A127)=0,"",_xlfn.MAXIFS(アクションログ!$A$5:$A$2004,アクションログ!$B$5:$B$2004,$A127)))</f>
        <v/>
      </c>
      <c r="J127" s="16" t="str">
        <f aca="false">IF(OR($A127="",I127=""),"",設定!$C$4-I127)</f>
        <v/>
      </c>
      <c r="K127" s="16" t="str">
        <f aca="false">IF($A127="","",IFERROR(INDEX(設定!$D$14:$D$17,MATCH(F127,設定!$B$14:$B$17,0)),""))</f>
        <v/>
      </c>
      <c r="L127" s="15" t="str">
        <f aca="false">IF(OR($A127="",K127=""),"",IF(I127="",設定!$C$4,I127+K127))</f>
        <v/>
      </c>
      <c r="M127" s="17" t="str">
        <f aca="false">IF($A127="","",IF(F127="","ランク未設定",IF(I127="","未接触",IF(設定!$C$4&gt;L127,"期限超過",IF(L127-設定!$C$4&lt;=設定!$C$8,"今週連絡","OK")))))</f>
        <v/>
      </c>
      <c r="N127" s="15" t="str">
        <f aca="false">IF($A127="","",IF(_xlfn.MINIFS(アクションログ!$J$5:$J$2004,アクションログ!$B$5:$B$2004,$A127,アクションログ!$K$5:$K$2004,"&lt;&gt;済",アクションログ!$J$5:$J$2004,"&gt;0")=0,"",_xlfn.MINIFS(アクションログ!$J$5:$J$2004,アクションログ!$B$5:$B$2004,$A127,アクションログ!$K$5:$K$2004,"&lt;&gt;済",アクションログ!$J$5:$J$2004,"&gt;0")))</f>
        <v/>
      </c>
      <c r="O127" s="18" t="str">
        <f aca="false">IF(N127="","",IFERROR(INDEX(アクションログ!$I$5:$I$2004,MATCH($A127&amp;"|"&amp;N127,アクションログ!$L$5:$L$2004,0)),""))</f>
        <v/>
      </c>
      <c r="P127" s="16" t="str">
        <f aca="false">IF($A127="","",COUNTIFS(アクションログ!$B$5:$B$2004,$A127,アクションログ!$A$5:$A$2004,"&gt;="&amp;設定!$C$5))</f>
        <v/>
      </c>
      <c r="Q127" s="16" t="str">
        <f aca="false">IF($A127="","",SUMIFS(月次実績!$D$5:$D$3004,月次実績!$B$5:$B$3004,$A127,月次実績!$A$5:$A$3004,"&gt;="&amp;EDATE(設定!$C$5,-(設定!$C$6-1))))</f>
        <v/>
      </c>
      <c r="R127" s="16" t="str">
        <f aca="false">IF($A127="","",SUMIFS(月次実績!$D$5:$D$3004,月次実績!$B$5:$B$3004,$A127))</f>
        <v/>
      </c>
      <c r="S127" s="16" t="str">
        <f aca="false">IF($A127="","",SUMIFS(月次実績!$F$5:$F$3004,月次実績!$B$5:$B$3004,$A127))</f>
        <v/>
      </c>
      <c r="T127" s="19" t="str">
        <f aca="false">IF(OR($A127="",R127=0),"",S127/R127)</f>
        <v/>
      </c>
      <c r="U127" s="20" t="str">
        <f aca="false">IF($A127="","",SUMIFS(月次実績!$G$5:$G$3004,月次実績!$B$5:$B$3004,$A127))</f>
        <v/>
      </c>
      <c r="V127" s="17" t="str">
        <f aca="false">IF($A127="","",IF(Q127&gt;=設定!$C$7,"稼働中",IF(Q127&gt;=1,"低稼働","休眠")))</f>
        <v/>
      </c>
      <c r="W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15"/>
      <c r="H128" s="21"/>
      <c r="I128" s="15" t="str">
        <f aca="false">IF($A128="","",IF(_xlfn.MAXIFS(アクションログ!$A$5:$A$2004,アクションログ!$B$5:$B$2004,$A128)=0,"",_xlfn.MAXIFS(アクションログ!$A$5:$A$2004,アクションログ!$B$5:$B$2004,$A128)))</f>
        <v/>
      </c>
      <c r="J128" s="16" t="str">
        <f aca="false">IF(OR($A128="",I128=""),"",設定!$C$4-I128)</f>
        <v/>
      </c>
      <c r="K128" s="16" t="str">
        <f aca="false">IF($A128="","",IFERROR(INDEX(設定!$D$14:$D$17,MATCH(F128,設定!$B$14:$B$17,0)),""))</f>
        <v/>
      </c>
      <c r="L128" s="15" t="str">
        <f aca="false">IF(OR($A128="",K128=""),"",IF(I128="",設定!$C$4,I128+K128))</f>
        <v/>
      </c>
      <c r="M128" s="17" t="str">
        <f aca="false">IF($A128="","",IF(F128="","ランク未設定",IF(I128="","未接触",IF(設定!$C$4&gt;L128,"期限超過",IF(L128-設定!$C$4&lt;=設定!$C$8,"今週連絡","OK")))))</f>
        <v/>
      </c>
      <c r="N128" s="15" t="str">
        <f aca="false">IF($A128="","",IF(_xlfn.MINIFS(アクションログ!$J$5:$J$2004,アクションログ!$B$5:$B$2004,$A128,アクションログ!$K$5:$K$2004,"&lt;&gt;済",アクションログ!$J$5:$J$2004,"&gt;0")=0,"",_xlfn.MINIFS(アクションログ!$J$5:$J$2004,アクションログ!$B$5:$B$2004,$A128,アクションログ!$K$5:$K$2004,"&lt;&gt;済",アクションログ!$J$5:$J$2004,"&gt;0")))</f>
        <v/>
      </c>
      <c r="O128" s="18" t="str">
        <f aca="false">IF(N128="","",IFERROR(INDEX(アクションログ!$I$5:$I$2004,MATCH($A128&amp;"|"&amp;N128,アクションログ!$L$5:$L$2004,0)),""))</f>
        <v/>
      </c>
      <c r="P128" s="16" t="str">
        <f aca="false">IF($A128="","",COUNTIFS(アクションログ!$B$5:$B$2004,$A128,アクションログ!$A$5:$A$2004,"&gt;="&amp;設定!$C$5))</f>
        <v/>
      </c>
      <c r="Q128" s="16" t="str">
        <f aca="false">IF($A128="","",SUMIFS(月次実績!$D$5:$D$3004,月次実績!$B$5:$B$3004,$A128,月次実績!$A$5:$A$3004,"&gt;="&amp;EDATE(設定!$C$5,-(設定!$C$6-1))))</f>
        <v/>
      </c>
      <c r="R128" s="16" t="str">
        <f aca="false">IF($A128="","",SUMIFS(月次実績!$D$5:$D$3004,月次実績!$B$5:$B$3004,$A128))</f>
        <v/>
      </c>
      <c r="S128" s="16" t="str">
        <f aca="false">IF($A128="","",SUMIFS(月次実績!$F$5:$F$3004,月次実績!$B$5:$B$3004,$A128))</f>
        <v/>
      </c>
      <c r="T128" s="19" t="str">
        <f aca="false">IF(OR($A128="",R128=0),"",S128/R128)</f>
        <v/>
      </c>
      <c r="U128" s="20" t="str">
        <f aca="false">IF($A128="","",SUMIFS(月次実績!$G$5:$G$3004,月次実績!$B$5:$B$3004,$A128))</f>
        <v/>
      </c>
      <c r="V128" s="17" t="str">
        <f aca="false">IF($A128="","",IF(Q128&gt;=設定!$C$7,"稼働中",IF(Q128&gt;=1,"低稼働","休眠")))</f>
        <v/>
      </c>
      <c r="W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15"/>
      <c r="H129" s="21"/>
      <c r="I129" s="15" t="str">
        <f aca="false">IF($A129="","",IF(_xlfn.MAXIFS(アクションログ!$A$5:$A$2004,アクションログ!$B$5:$B$2004,$A129)=0,"",_xlfn.MAXIFS(アクションログ!$A$5:$A$2004,アクションログ!$B$5:$B$2004,$A129)))</f>
        <v/>
      </c>
      <c r="J129" s="16" t="str">
        <f aca="false">IF(OR($A129="",I129=""),"",設定!$C$4-I129)</f>
        <v/>
      </c>
      <c r="K129" s="16" t="str">
        <f aca="false">IF($A129="","",IFERROR(INDEX(設定!$D$14:$D$17,MATCH(F129,設定!$B$14:$B$17,0)),""))</f>
        <v/>
      </c>
      <c r="L129" s="15" t="str">
        <f aca="false">IF(OR($A129="",K129=""),"",IF(I129="",設定!$C$4,I129+K129))</f>
        <v/>
      </c>
      <c r="M129" s="17" t="str">
        <f aca="false">IF($A129="","",IF(F129="","ランク未設定",IF(I129="","未接触",IF(設定!$C$4&gt;L129,"期限超過",IF(L129-設定!$C$4&lt;=設定!$C$8,"今週連絡","OK")))))</f>
        <v/>
      </c>
      <c r="N129" s="15" t="str">
        <f aca="false">IF($A129="","",IF(_xlfn.MINIFS(アクションログ!$J$5:$J$2004,アクションログ!$B$5:$B$2004,$A129,アクションログ!$K$5:$K$2004,"&lt;&gt;済",アクションログ!$J$5:$J$2004,"&gt;0")=0,"",_xlfn.MINIFS(アクションログ!$J$5:$J$2004,アクションログ!$B$5:$B$2004,$A129,アクションログ!$K$5:$K$2004,"&lt;&gt;済",アクションログ!$J$5:$J$2004,"&gt;0")))</f>
        <v/>
      </c>
      <c r="O129" s="18" t="str">
        <f aca="false">IF(N129="","",IFERROR(INDEX(アクションログ!$I$5:$I$2004,MATCH($A129&amp;"|"&amp;N129,アクションログ!$L$5:$L$2004,0)),""))</f>
        <v/>
      </c>
      <c r="P129" s="16" t="str">
        <f aca="false">IF($A129="","",COUNTIFS(アクションログ!$B$5:$B$2004,$A129,アクションログ!$A$5:$A$2004,"&gt;="&amp;設定!$C$5))</f>
        <v/>
      </c>
      <c r="Q129" s="16" t="str">
        <f aca="false">IF($A129="","",SUMIFS(月次実績!$D$5:$D$3004,月次実績!$B$5:$B$3004,$A129,月次実績!$A$5:$A$3004,"&gt;="&amp;EDATE(設定!$C$5,-(設定!$C$6-1))))</f>
        <v/>
      </c>
      <c r="R129" s="16" t="str">
        <f aca="false">IF($A129="","",SUMIFS(月次実績!$D$5:$D$3004,月次実績!$B$5:$B$3004,$A129))</f>
        <v/>
      </c>
      <c r="S129" s="16" t="str">
        <f aca="false">IF($A129="","",SUMIFS(月次実績!$F$5:$F$3004,月次実績!$B$5:$B$3004,$A129))</f>
        <v/>
      </c>
      <c r="T129" s="19" t="str">
        <f aca="false">IF(OR($A129="",R129=0),"",S129/R129)</f>
        <v/>
      </c>
      <c r="U129" s="20" t="str">
        <f aca="false">IF($A129="","",SUMIFS(月次実績!$G$5:$G$3004,月次実績!$B$5:$B$3004,$A129))</f>
        <v/>
      </c>
      <c r="V129" s="17" t="str">
        <f aca="false">IF($A129="","",IF(Q129&gt;=設定!$C$7,"稼働中",IF(Q129&gt;=1,"低稼働","休眠")))</f>
        <v/>
      </c>
      <c r="W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15"/>
      <c r="H130" s="21"/>
      <c r="I130" s="15" t="str">
        <f aca="false">IF($A130="","",IF(_xlfn.MAXIFS(アクションログ!$A$5:$A$2004,アクションログ!$B$5:$B$2004,$A130)=0,"",_xlfn.MAXIFS(アクションログ!$A$5:$A$2004,アクションログ!$B$5:$B$2004,$A130)))</f>
        <v/>
      </c>
      <c r="J130" s="16" t="str">
        <f aca="false">IF(OR($A130="",I130=""),"",設定!$C$4-I130)</f>
        <v/>
      </c>
      <c r="K130" s="16" t="str">
        <f aca="false">IF($A130="","",IFERROR(INDEX(設定!$D$14:$D$17,MATCH(F130,設定!$B$14:$B$17,0)),""))</f>
        <v/>
      </c>
      <c r="L130" s="15" t="str">
        <f aca="false">IF(OR($A130="",K130=""),"",IF(I130="",設定!$C$4,I130+K130))</f>
        <v/>
      </c>
      <c r="M130" s="17" t="str">
        <f aca="false">IF($A130="","",IF(F130="","ランク未設定",IF(I130="","未接触",IF(設定!$C$4&gt;L130,"期限超過",IF(L130-設定!$C$4&lt;=設定!$C$8,"今週連絡","OK")))))</f>
        <v/>
      </c>
      <c r="N130" s="15" t="str">
        <f aca="false">IF($A130="","",IF(_xlfn.MINIFS(アクションログ!$J$5:$J$2004,アクションログ!$B$5:$B$2004,$A130,アクションログ!$K$5:$K$2004,"&lt;&gt;済",アクションログ!$J$5:$J$2004,"&gt;0")=0,"",_xlfn.MINIFS(アクションログ!$J$5:$J$2004,アクションログ!$B$5:$B$2004,$A130,アクションログ!$K$5:$K$2004,"&lt;&gt;済",アクションログ!$J$5:$J$2004,"&gt;0")))</f>
        <v/>
      </c>
      <c r="O130" s="18" t="str">
        <f aca="false">IF(N130="","",IFERROR(INDEX(アクションログ!$I$5:$I$2004,MATCH($A130&amp;"|"&amp;N130,アクションログ!$L$5:$L$2004,0)),""))</f>
        <v/>
      </c>
      <c r="P130" s="16" t="str">
        <f aca="false">IF($A130="","",COUNTIFS(アクションログ!$B$5:$B$2004,$A130,アクションログ!$A$5:$A$2004,"&gt;="&amp;設定!$C$5))</f>
        <v/>
      </c>
      <c r="Q130" s="16" t="str">
        <f aca="false">IF($A130="","",SUMIFS(月次実績!$D$5:$D$3004,月次実績!$B$5:$B$3004,$A130,月次実績!$A$5:$A$3004,"&gt;="&amp;EDATE(設定!$C$5,-(設定!$C$6-1))))</f>
        <v/>
      </c>
      <c r="R130" s="16" t="str">
        <f aca="false">IF($A130="","",SUMIFS(月次実績!$D$5:$D$3004,月次実績!$B$5:$B$3004,$A130))</f>
        <v/>
      </c>
      <c r="S130" s="16" t="str">
        <f aca="false">IF($A130="","",SUMIFS(月次実績!$F$5:$F$3004,月次実績!$B$5:$B$3004,$A130))</f>
        <v/>
      </c>
      <c r="T130" s="19" t="str">
        <f aca="false">IF(OR($A130="",R130=0),"",S130/R130)</f>
        <v/>
      </c>
      <c r="U130" s="20" t="str">
        <f aca="false">IF($A130="","",SUMIFS(月次実績!$G$5:$G$3004,月次実績!$B$5:$B$3004,$A130))</f>
        <v/>
      </c>
      <c r="V130" s="17" t="str">
        <f aca="false">IF($A130="","",IF(Q130&gt;=設定!$C$7,"稼働中",IF(Q130&gt;=1,"低稼働","休眠")))</f>
        <v/>
      </c>
      <c r="W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15"/>
      <c r="H131" s="21"/>
      <c r="I131" s="15" t="str">
        <f aca="false">IF($A131="","",IF(_xlfn.MAXIFS(アクションログ!$A$5:$A$2004,アクションログ!$B$5:$B$2004,$A131)=0,"",_xlfn.MAXIFS(アクションログ!$A$5:$A$2004,アクションログ!$B$5:$B$2004,$A131)))</f>
        <v/>
      </c>
      <c r="J131" s="16" t="str">
        <f aca="false">IF(OR($A131="",I131=""),"",設定!$C$4-I131)</f>
        <v/>
      </c>
      <c r="K131" s="16" t="str">
        <f aca="false">IF($A131="","",IFERROR(INDEX(設定!$D$14:$D$17,MATCH(F131,設定!$B$14:$B$17,0)),""))</f>
        <v/>
      </c>
      <c r="L131" s="15" t="str">
        <f aca="false">IF(OR($A131="",K131=""),"",IF(I131="",設定!$C$4,I131+K131))</f>
        <v/>
      </c>
      <c r="M131" s="17" t="str">
        <f aca="false">IF($A131="","",IF(F131="","ランク未設定",IF(I131="","未接触",IF(設定!$C$4&gt;L131,"期限超過",IF(L131-設定!$C$4&lt;=設定!$C$8,"今週連絡","OK")))))</f>
        <v/>
      </c>
      <c r="N131" s="15" t="str">
        <f aca="false">IF($A131="","",IF(_xlfn.MINIFS(アクションログ!$J$5:$J$2004,アクションログ!$B$5:$B$2004,$A131,アクションログ!$K$5:$K$2004,"&lt;&gt;済",アクションログ!$J$5:$J$2004,"&gt;0")=0,"",_xlfn.MINIFS(アクションログ!$J$5:$J$2004,アクションログ!$B$5:$B$2004,$A131,アクションログ!$K$5:$K$2004,"&lt;&gt;済",アクションログ!$J$5:$J$2004,"&gt;0")))</f>
        <v/>
      </c>
      <c r="O131" s="18" t="str">
        <f aca="false">IF(N131="","",IFERROR(INDEX(アクションログ!$I$5:$I$2004,MATCH($A131&amp;"|"&amp;N131,アクションログ!$L$5:$L$2004,0)),""))</f>
        <v/>
      </c>
      <c r="P131" s="16" t="str">
        <f aca="false">IF($A131="","",COUNTIFS(アクションログ!$B$5:$B$2004,$A131,アクションログ!$A$5:$A$2004,"&gt;="&amp;設定!$C$5))</f>
        <v/>
      </c>
      <c r="Q131" s="16" t="str">
        <f aca="false">IF($A131="","",SUMIFS(月次実績!$D$5:$D$3004,月次実績!$B$5:$B$3004,$A131,月次実績!$A$5:$A$3004,"&gt;="&amp;EDATE(設定!$C$5,-(設定!$C$6-1))))</f>
        <v/>
      </c>
      <c r="R131" s="16" t="str">
        <f aca="false">IF($A131="","",SUMIFS(月次実績!$D$5:$D$3004,月次実績!$B$5:$B$3004,$A131))</f>
        <v/>
      </c>
      <c r="S131" s="16" t="str">
        <f aca="false">IF($A131="","",SUMIFS(月次実績!$F$5:$F$3004,月次実績!$B$5:$B$3004,$A131))</f>
        <v/>
      </c>
      <c r="T131" s="19" t="str">
        <f aca="false">IF(OR($A131="",R131=0),"",S131/R131)</f>
        <v/>
      </c>
      <c r="U131" s="20" t="str">
        <f aca="false">IF($A131="","",SUMIFS(月次実績!$G$5:$G$3004,月次実績!$B$5:$B$3004,$A131))</f>
        <v/>
      </c>
      <c r="V131" s="17" t="str">
        <f aca="false">IF($A131="","",IF(Q131&gt;=設定!$C$7,"稼働中",IF(Q131&gt;=1,"低稼働","休眠")))</f>
        <v/>
      </c>
      <c r="W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15"/>
      <c r="H132" s="21"/>
      <c r="I132" s="15" t="str">
        <f aca="false">IF($A132="","",IF(_xlfn.MAXIFS(アクションログ!$A$5:$A$2004,アクションログ!$B$5:$B$2004,$A132)=0,"",_xlfn.MAXIFS(アクションログ!$A$5:$A$2004,アクションログ!$B$5:$B$2004,$A132)))</f>
        <v/>
      </c>
      <c r="J132" s="16" t="str">
        <f aca="false">IF(OR($A132="",I132=""),"",設定!$C$4-I132)</f>
        <v/>
      </c>
      <c r="K132" s="16" t="str">
        <f aca="false">IF($A132="","",IFERROR(INDEX(設定!$D$14:$D$17,MATCH(F132,設定!$B$14:$B$17,0)),""))</f>
        <v/>
      </c>
      <c r="L132" s="15" t="str">
        <f aca="false">IF(OR($A132="",K132=""),"",IF(I132="",設定!$C$4,I132+K132))</f>
        <v/>
      </c>
      <c r="M132" s="17" t="str">
        <f aca="false">IF($A132="","",IF(F132="","ランク未設定",IF(I132="","未接触",IF(設定!$C$4&gt;L132,"期限超過",IF(L132-設定!$C$4&lt;=設定!$C$8,"今週連絡","OK")))))</f>
        <v/>
      </c>
      <c r="N132" s="15" t="str">
        <f aca="false">IF($A132="","",IF(_xlfn.MINIFS(アクションログ!$J$5:$J$2004,アクションログ!$B$5:$B$2004,$A132,アクションログ!$K$5:$K$2004,"&lt;&gt;済",アクションログ!$J$5:$J$2004,"&gt;0")=0,"",_xlfn.MINIFS(アクションログ!$J$5:$J$2004,アクションログ!$B$5:$B$2004,$A132,アクションログ!$K$5:$K$2004,"&lt;&gt;済",アクションログ!$J$5:$J$2004,"&gt;0")))</f>
        <v/>
      </c>
      <c r="O132" s="18" t="str">
        <f aca="false">IF(N132="","",IFERROR(INDEX(アクションログ!$I$5:$I$2004,MATCH($A132&amp;"|"&amp;N132,アクションログ!$L$5:$L$2004,0)),""))</f>
        <v/>
      </c>
      <c r="P132" s="16" t="str">
        <f aca="false">IF($A132="","",COUNTIFS(アクションログ!$B$5:$B$2004,$A132,アクションログ!$A$5:$A$2004,"&gt;="&amp;設定!$C$5))</f>
        <v/>
      </c>
      <c r="Q132" s="16" t="str">
        <f aca="false">IF($A132="","",SUMIFS(月次実績!$D$5:$D$3004,月次実績!$B$5:$B$3004,$A132,月次実績!$A$5:$A$3004,"&gt;="&amp;EDATE(設定!$C$5,-(設定!$C$6-1))))</f>
        <v/>
      </c>
      <c r="R132" s="16" t="str">
        <f aca="false">IF($A132="","",SUMIFS(月次実績!$D$5:$D$3004,月次実績!$B$5:$B$3004,$A132))</f>
        <v/>
      </c>
      <c r="S132" s="16" t="str">
        <f aca="false">IF($A132="","",SUMIFS(月次実績!$F$5:$F$3004,月次実績!$B$5:$B$3004,$A132))</f>
        <v/>
      </c>
      <c r="T132" s="19" t="str">
        <f aca="false">IF(OR($A132="",R132=0),"",S132/R132)</f>
        <v/>
      </c>
      <c r="U132" s="20" t="str">
        <f aca="false">IF($A132="","",SUMIFS(月次実績!$G$5:$G$3004,月次実績!$B$5:$B$3004,$A132))</f>
        <v/>
      </c>
      <c r="V132" s="17" t="str">
        <f aca="false">IF($A132="","",IF(Q132&gt;=設定!$C$7,"稼働中",IF(Q132&gt;=1,"低稼働","休眠")))</f>
        <v/>
      </c>
      <c r="W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15"/>
      <c r="H133" s="21"/>
      <c r="I133" s="15" t="str">
        <f aca="false">IF($A133="","",IF(_xlfn.MAXIFS(アクションログ!$A$5:$A$2004,アクションログ!$B$5:$B$2004,$A133)=0,"",_xlfn.MAXIFS(アクションログ!$A$5:$A$2004,アクションログ!$B$5:$B$2004,$A133)))</f>
        <v/>
      </c>
      <c r="J133" s="16" t="str">
        <f aca="false">IF(OR($A133="",I133=""),"",設定!$C$4-I133)</f>
        <v/>
      </c>
      <c r="K133" s="16" t="str">
        <f aca="false">IF($A133="","",IFERROR(INDEX(設定!$D$14:$D$17,MATCH(F133,設定!$B$14:$B$17,0)),""))</f>
        <v/>
      </c>
      <c r="L133" s="15" t="str">
        <f aca="false">IF(OR($A133="",K133=""),"",IF(I133="",設定!$C$4,I133+K133))</f>
        <v/>
      </c>
      <c r="M133" s="17" t="str">
        <f aca="false">IF($A133="","",IF(F133="","ランク未設定",IF(I133="","未接触",IF(設定!$C$4&gt;L133,"期限超過",IF(L133-設定!$C$4&lt;=設定!$C$8,"今週連絡","OK")))))</f>
        <v/>
      </c>
      <c r="N133" s="15" t="str">
        <f aca="false">IF($A133="","",IF(_xlfn.MINIFS(アクションログ!$J$5:$J$2004,アクションログ!$B$5:$B$2004,$A133,アクションログ!$K$5:$K$2004,"&lt;&gt;済",アクションログ!$J$5:$J$2004,"&gt;0")=0,"",_xlfn.MINIFS(アクションログ!$J$5:$J$2004,アクションログ!$B$5:$B$2004,$A133,アクションログ!$K$5:$K$2004,"&lt;&gt;済",アクションログ!$J$5:$J$2004,"&gt;0")))</f>
        <v/>
      </c>
      <c r="O133" s="18" t="str">
        <f aca="false">IF(N133="","",IFERROR(INDEX(アクションログ!$I$5:$I$2004,MATCH($A133&amp;"|"&amp;N133,アクションログ!$L$5:$L$2004,0)),""))</f>
        <v/>
      </c>
      <c r="P133" s="16" t="str">
        <f aca="false">IF($A133="","",COUNTIFS(アクションログ!$B$5:$B$2004,$A133,アクションログ!$A$5:$A$2004,"&gt;="&amp;設定!$C$5))</f>
        <v/>
      </c>
      <c r="Q133" s="16" t="str">
        <f aca="false">IF($A133="","",SUMIFS(月次実績!$D$5:$D$3004,月次実績!$B$5:$B$3004,$A133,月次実績!$A$5:$A$3004,"&gt;="&amp;EDATE(設定!$C$5,-(設定!$C$6-1))))</f>
        <v/>
      </c>
      <c r="R133" s="16" t="str">
        <f aca="false">IF($A133="","",SUMIFS(月次実績!$D$5:$D$3004,月次実績!$B$5:$B$3004,$A133))</f>
        <v/>
      </c>
      <c r="S133" s="16" t="str">
        <f aca="false">IF($A133="","",SUMIFS(月次実績!$F$5:$F$3004,月次実績!$B$5:$B$3004,$A133))</f>
        <v/>
      </c>
      <c r="T133" s="19" t="str">
        <f aca="false">IF(OR($A133="",R133=0),"",S133/R133)</f>
        <v/>
      </c>
      <c r="U133" s="20" t="str">
        <f aca="false">IF($A133="","",SUMIFS(月次実績!$G$5:$G$3004,月次実績!$B$5:$B$3004,$A133))</f>
        <v/>
      </c>
      <c r="V133" s="17" t="str">
        <f aca="false">IF($A133="","",IF(Q133&gt;=設定!$C$7,"稼働中",IF(Q133&gt;=1,"低稼働","休眠")))</f>
        <v/>
      </c>
      <c r="W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15"/>
      <c r="H134" s="21"/>
      <c r="I134" s="15" t="str">
        <f aca="false">IF($A134="","",IF(_xlfn.MAXIFS(アクションログ!$A$5:$A$2004,アクションログ!$B$5:$B$2004,$A134)=0,"",_xlfn.MAXIFS(アクションログ!$A$5:$A$2004,アクションログ!$B$5:$B$2004,$A134)))</f>
        <v/>
      </c>
      <c r="J134" s="16" t="str">
        <f aca="false">IF(OR($A134="",I134=""),"",設定!$C$4-I134)</f>
        <v/>
      </c>
      <c r="K134" s="16" t="str">
        <f aca="false">IF($A134="","",IFERROR(INDEX(設定!$D$14:$D$17,MATCH(F134,設定!$B$14:$B$17,0)),""))</f>
        <v/>
      </c>
      <c r="L134" s="15" t="str">
        <f aca="false">IF(OR($A134="",K134=""),"",IF(I134="",設定!$C$4,I134+K134))</f>
        <v/>
      </c>
      <c r="M134" s="17" t="str">
        <f aca="false">IF($A134="","",IF(F134="","ランク未設定",IF(I134="","未接触",IF(設定!$C$4&gt;L134,"期限超過",IF(L134-設定!$C$4&lt;=設定!$C$8,"今週連絡","OK")))))</f>
        <v/>
      </c>
      <c r="N134" s="15" t="str">
        <f aca="false">IF($A134="","",IF(_xlfn.MINIFS(アクションログ!$J$5:$J$2004,アクションログ!$B$5:$B$2004,$A134,アクションログ!$K$5:$K$2004,"&lt;&gt;済",アクションログ!$J$5:$J$2004,"&gt;0")=0,"",_xlfn.MINIFS(アクションログ!$J$5:$J$2004,アクションログ!$B$5:$B$2004,$A134,アクションログ!$K$5:$K$2004,"&lt;&gt;済",アクションログ!$J$5:$J$2004,"&gt;0")))</f>
        <v/>
      </c>
      <c r="O134" s="18" t="str">
        <f aca="false">IF(N134="","",IFERROR(INDEX(アクションログ!$I$5:$I$2004,MATCH($A134&amp;"|"&amp;N134,アクションログ!$L$5:$L$2004,0)),""))</f>
        <v/>
      </c>
      <c r="P134" s="16" t="str">
        <f aca="false">IF($A134="","",COUNTIFS(アクションログ!$B$5:$B$2004,$A134,アクションログ!$A$5:$A$2004,"&gt;="&amp;設定!$C$5))</f>
        <v/>
      </c>
      <c r="Q134" s="16" t="str">
        <f aca="false">IF($A134="","",SUMIFS(月次実績!$D$5:$D$3004,月次実績!$B$5:$B$3004,$A134,月次実績!$A$5:$A$3004,"&gt;="&amp;EDATE(設定!$C$5,-(設定!$C$6-1))))</f>
        <v/>
      </c>
      <c r="R134" s="16" t="str">
        <f aca="false">IF($A134="","",SUMIFS(月次実績!$D$5:$D$3004,月次実績!$B$5:$B$3004,$A134))</f>
        <v/>
      </c>
      <c r="S134" s="16" t="str">
        <f aca="false">IF($A134="","",SUMIFS(月次実績!$F$5:$F$3004,月次実績!$B$5:$B$3004,$A134))</f>
        <v/>
      </c>
      <c r="T134" s="19" t="str">
        <f aca="false">IF(OR($A134="",R134=0),"",S134/R134)</f>
        <v/>
      </c>
      <c r="U134" s="20" t="str">
        <f aca="false">IF($A134="","",SUMIFS(月次実績!$G$5:$G$3004,月次実績!$B$5:$B$3004,$A134))</f>
        <v/>
      </c>
      <c r="V134" s="17" t="str">
        <f aca="false">IF($A134="","",IF(Q134&gt;=設定!$C$7,"稼働中",IF(Q134&gt;=1,"低稼働","休眠")))</f>
        <v/>
      </c>
      <c r="W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15"/>
      <c r="H135" s="21"/>
      <c r="I135" s="15" t="str">
        <f aca="false">IF($A135="","",IF(_xlfn.MAXIFS(アクションログ!$A$5:$A$2004,アクションログ!$B$5:$B$2004,$A135)=0,"",_xlfn.MAXIFS(アクションログ!$A$5:$A$2004,アクションログ!$B$5:$B$2004,$A135)))</f>
        <v/>
      </c>
      <c r="J135" s="16" t="str">
        <f aca="false">IF(OR($A135="",I135=""),"",設定!$C$4-I135)</f>
        <v/>
      </c>
      <c r="K135" s="16" t="str">
        <f aca="false">IF($A135="","",IFERROR(INDEX(設定!$D$14:$D$17,MATCH(F135,設定!$B$14:$B$17,0)),""))</f>
        <v/>
      </c>
      <c r="L135" s="15" t="str">
        <f aca="false">IF(OR($A135="",K135=""),"",IF(I135="",設定!$C$4,I135+K135))</f>
        <v/>
      </c>
      <c r="M135" s="17" t="str">
        <f aca="false">IF($A135="","",IF(F135="","ランク未設定",IF(I135="","未接触",IF(設定!$C$4&gt;L135,"期限超過",IF(L135-設定!$C$4&lt;=設定!$C$8,"今週連絡","OK")))))</f>
        <v/>
      </c>
      <c r="N135" s="15" t="str">
        <f aca="false">IF($A135="","",IF(_xlfn.MINIFS(アクションログ!$J$5:$J$2004,アクションログ!$B$5:$B$2004,$A135,アクションログ!$K$5:$K$2004,"&lt;&gt;済",アクションログ!$J$5:$J$2004,"&gt;0")=0,"",_xlfn.MINIFS(アクションログ!$J$5:$J$2004,アクションログ!$B$5:$B$2004,$A135,アクションログ!$K$5:$K$2004,"&lt;&gt;済",アクションログ!$J$5:$J$2004,"&gt;0")))</f>
        <v/>
      </c>
      <c r="O135" s="18" t="str">
        <f aca="false">IF(N135="","",IFERROR(INDEX(アクションログ!$I$5:$I$2004,MATCH($A135&amp;"|"&amp;N135,アクションログ!$L$5:$L$2004,0)),""))</f>
        <v/>
      </c>
      <c r="P135" s="16" t="str">
        <f aca="false">IF($A135="","",COUNTIFS(アクションログ!$B$5:$B$2004,$A135,アクションログ!$A$5:$A$2004,"&gt;="&amp;設定!$C$5))</f>
        <v/>
      </c>
      <c r="Q135" s="16" t="str">
        <f aca="false">IF($A135="","",SUMIFS(月次実績!$D$5:$D$3004,月次実績!$B$5:$B$3004,$A135,月次実績!$A$5:$A$3004,"&gt;="&amp;EDATE(設定!$C$5,-(設定!$C$6-1))))</f>
        <v/>
      </c>
      <c r="R135" s="16" t="str">
        <f aca="false">IF($A135="","",SUMIFS(月次実績!$D$5:$D$3004,月次実績!$B$5:$B$3004,$A135))</f>
        <v/>
      </c>
      <c r="S135" s="16" t="str">
        <f aca="false">IF($A135="","",SUMIFS(月次実績!$F$5:$F$3004,月次実績!$B$5:$B$3004,$A135))</f>
        <v/>
      </c>
      <c r="T135" s="19" t="str">
        <f aca="false">IF(OR($A135="",R135=0),"",S135/R135)</f>
        <v/>
      </c>
      <c r="U135" s="20" t="str">
        <f aca="false">IF($A135="","",SUMIFS(月次実績!$G$5:$G$3004,月次実績!$B$5:$B$3004,$A135))</f>
        <v/>
      </c>
      <c r="V135" s="17" t="str">
        <f aca="false">IF($A135="","",IF(Q135&gt;=設定!$C$7,"稼働中",IF(Q135&gt;=1,"低稼働","休眠")))</f>
        <v/>
      </c>
      <c r="W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15"/>
      <c r="H136" s="21"/>
      <c r="I136" s="15" t="str">
        <f aca="false">IF($A136="","",IF(_xlfn.MAXIFS(アクションログ!$A$5:$A$2004,アクションログ!$B$5:$B$2004,$A136)=0,"",_xlfn.MAXIFS(アクションログ!$A$5:$A$2004,アクションログ!$B$5:$B$2004,$A136)))</f>
        <v/>
      </c>
      <c r="J136" s="16" t="str">
        <f aca="false">IF(OR($A136="",I136=""),"",設定!$C$4-I136)</f>
        <v/>
      </c>
      <c r="K136" s="16" t="str">
        <f aca="false">IF($A136="","",IFERROR(INDEX(設定!$D$14:$D$17,MATCH(F136,設定!$B$14:$B$17,0)),""))</f>
        <v/>
      </c>
      <c r="L136" s="15" t="str">
        <f aca="false">IF(OR($A136="",K136=""),"",IF(I136="",設定!$C$4,I136+K136))</f>
        <v/>
      </c>
      <c r="M136" s="17" t="str">
        <f aca="false">IF($A136="","",IF(F136="","ランク未設定",IF(I136="","未接触",IF(設定!$C$4&gt;L136,"期限超過",IF(L136-設定!$C$4&lt;=設定!$C$8,"今週連絡","OK")))))</f>
        <v/>
      </c>
      <c r="N136" s="15" t="str">
        <f aca="false">IF($A136="","",IF(_xlfn.MINIFS(アクションログ!$J$5:$J$2004,アクションログ!$B$5:$B$2004,$A136,アクションログ!$K$5:$K$2004,"&lt;&gt;済",アクションログ!$J$5:$J$2004,"&gt;0")=0,"",_xlfn.MINIFS(アクションログ!$J$5:$J$2004,アクションログ!$B$5:$B$2004,$A136,アクションログ!$K$5:$K$2004,"&lt;&gt;済",アクションログ!$J$5:$J$2004,"&gt;0")))</f>
        <v/>
      </c>
      <c r="O136" s="18" t="str">
        <f aca="false">IF(N136="","",IFERROR(INDEX(アクションログ!$I$5:$I$2004,MATCH($A136&amp;"|"&amp;N136,アクションログ!$L$5:$L$2004,0)),""))</f>
        <v/>
      </c>
      <c r="P136" s="16" t="str">
        <f aca="false">IF($A136="","",COUNTIFS(アクションログ!$B$5:$B$2004,$A136,アクションログ!$A$5:$A$2004,"&gt;="&amp;設定!$C$5))</f>
        <v/>
      </c>
      <c r="Q136" s="16" t="str">
        <f aca="false">IF($A136="","",SUMIFS(月次実績!$D$5:$D$3004,月次実績!$B$5:$B$3004,$A136,月次実績!$A$5:$A$3004,"&gt;="&amp;EDATE(設定!$C$5,-(設定!$C$6-1))))</f>
        <v/>
      </c>
      <c r="R136" s="16" t="str">
        <f aca="false">IF($A136="","",SUMIFS(月次実績!$D$5:$D$3004,月次実績!$B$5:$B$3004,$A136))</f>
        <v/>
      </c>
      <c r="S136" s="16" t="str">
        <f aca="false">IF($A136="","",SUMIFS(月次実績!$F$5:$F$3004,月次実績!$B$5:$B$3004,$A136))</f>
        <v/>
      </c>
      <c r="T136" s="19" t="str">
        <f aca="false">IF(OR($A136="",R136=0),"",S136/R136)</f>
        <v/>
      </c>
      <c r="U136" s="20" t="str">
        <f aca="false">IF($A136="","",SUMIFS(月次実績!$G$5:$G$3004,月次実績!$B$5:$B$3004,$A136))</f>
        <v/>
      </c>
      <c r="V136" s="17" t="str">
        <f aca="false">IF($A136="","",IF(Q136&gt;=設定!$C$7,"稼働中",IF(Q136&gt;=1,"低稼働","休眠")))</f>
        <v/>
      </c>
      <c r="W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15"/>
      <c r="H137" s="21"/>
      <c r="I137" s="15" t="str">
        <f aca="false">IF($A137="","",IF(_xlfn.MAXIFS(アクションログ!$A$5:$A$2004,アクションログ!$B$5:$B$2004,$A137)=0,"",_xlfn.MAXIFS(アクションログ!$A$5:$A$2004,アクションログ!$B$5:$B$2004,$A137)))</f>
        <v/>
      </c>
      <c r="J137" s="16" t="str">
        <f aca="false">IF(OR($A137="",I137=""),"",設定!$C$4-I137)</f>
        <v/>
      </c>
      <c r="K137" s="16" t="str">
        <f aca="false">IF($A137="","",IFERROR(INDEX(設定!$D$14:$D$17,MATCH(F137,設定!$B$14:$B$17,0)),""))</f>
        <v/>
      </c>
      <c r="L137" s="15" t="str">
        <f aca="false">IF(OR($A137="",K137=""),"",IF(I137="",設定!$C$4,I137+K137))</f>
        <v/>
      </c>
      <c r="M137" s="17" t="str">
        <f aca="false">IF($A137="","",IF(F137="","ランク未設定",IF(I137="","未接触",IF(設定!$C$4&gt;L137,"期限超過",IF(L137-設定!$C$4&lt;=設定!$C$8,"今週連絡","OK")))))</f>
        <v/>
      </c>
      <c r="N137" s="15" t="str">
        <f aca="false">IF($A137="","",IF(_xlfn.MINIFS(アクションログ!$J$5:$J$2004,アクションログ!$B$5:$B$2004,$A137,アクションログ!$K$5:$K$2004,"&lt;&gt;済",アクションログ!$J$5:$J$2004,"&gt;0")=0,"",_xlfn.MINIFS(アクションログ!$J$5:$J$2004,アクションログ!$B$5:$B$2004,$A137,アクションログ!$K$5:$K$2004,"&lt;&gt;済",アクションログ!$J$5:$J$2004,"&gt;0")))</f>
        <v/>
      </c>
      <c r="O137" s="18" t="str">
        <f aca="false">IF(N137="","",IFERROR(INDEX(アクションログ!$I$5:$I$2004,MATCH($A137&amp;"|"&amp;N137,アクションログ!$L$5:$L$2004,0)),""))</f>
        <v/>
      </c>
      <c r="P137" s="16" t="str">
        <f aca="false">IF($A137="","",COUNTIFS(アクションログ!$B$5:$B$2004,$A137,アクションログ!$A$5:$A$2004,"&gt;="&amp;設定!$C$5))</f>
        <v/>
      </c>
      <c r="Q137" s="16" t="str">
        <f aca="false">IF($A137="","",SUMIFS(月次実績!$D$5:$D$3004,月次実績!$B$5:$B$3004,$A137,月次実績!$A$5:$A$3004,"&gt;="&amp;EDATE(設定!$C$5,-(設定!$C$6-1))))</f>
        <v/>
      </c>
      <c r="R137" s="16" t="str">
        <f aca="false">IF($A137="","",SUMIFS(月次実績!$D$5:$D$3004,月次実績!$B$5:$B$3004,$A137))</f>
        <v/>
      </c>
      <c r="S137" s="16" t="str">
        <f aca="false">IF($A137="","",SUMIFS(月次実績!$F$5:$F$3004,月次実績!$B$5:$B$3004,$A137))</f>
        <v/>
      </c>
      <c r="T137" s="19" t="str">
        <f aca="false">IF(OR($A137="",R137=0),"",S137/R137)</f>
        <v/>
      </c>
      <c r="U137" s="20" t="str">
        <f aca="false">IF($A137="","",SUMIFS(月次実績!$G$5:$G$3004,月次実績!$B$5:$B$3004,$A137))</f>
        <v/>
      </c>
      <c r="V137" s="17" t="str">
        <f aca="false">IF($A137="","",IF(Q137&gt;=設定!$C$7,"稼働中",IF(Q137&gt;=1,"低稼働","休眠")))</f>
        <v/>
      </c>
      <c r="W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15"/>
      <c r="H138" s="21"/>
      <c r="I138" s="15" t="str">
        <f aca="false">IF($A138="","",IF(_xlfn.MAXIFS(アクションログ!$A$5:$A$2004,アクションログ!$B$5:$B$2004,$A138)=0,"",_xlfn.MAXIFS(アクションログ!$A$5:$A$2004,アクションログ!$B$5:$B$2004,$A138)))</f>
        <v/>
      </c>
      <c r="J138" s="16" t="str">
        <f aca="false">IF(OR($A138="",I138=""),"",設定!$C$4-I138)</f>
        <v/>
      </c>
      <c r="K138" s="16" t="str">
        <f aca="false">IF($A138="","",IFERROR(INDEX(設定!$D$14:$D$17,MATCH(F138,設定!$B$14:$B$17,0)),""))</f>
        <v/>
      </c>
      <c r="L138" s="15" t="str">
        <f aca="false">IF(OR($A138="",K138=""),"",IF(I138="",設定!$C$4,I138+K138))</f>
        <v/>
      </c>
      <c r="M138" s="17" t="str">
        <f aca="false">IF($A138="","",IF(F138="","ランク未設定",IF(I138="","未接触",IF(設定!$C$4&gt;L138,"期限超過",IF(L138-設定!$C$4&lt;=設定!$C$8,"今週連絡","OK")))))</f>
        <v/>
      </c>
      <c r="N138" s="15" t="str">
        <f aca="false">IF($A138="","",IF(_xlfn.MINIFS(アクションログ!$J$5:$J$2004,アクションログ!$B$5:$B$2004,$A138,アクションログ!$K$5:$K$2004,"&lt;&gt;済",アクションログ!$J$5:$J$2004,"&gt;0")=0,"",_xlfn.MINIFS(アクションログ!$J$5:$J$2004,アクションログ!$B$5:$B$2004,$A138,アクションログ!$K$5:$K$2004,"&lt;&gt;済",アクションログ!$J$5:$J$2004,"&gt;0")))</f>
        <v/>
      </c>
      <c r="O138" s="18" t="str">
        <f aca="false">IF(N138="","",IFERROR(INDEX(アクションログ!$I$5:$I$2004,MATCH($A138&amp;"|"&amp;N138,アクションログ!$L$5:$L$2004,0)),""))</f>
        <v/>
      </c>
      <c r="P138" s="16" t="str">
        <f aca="false">IF($A138="","",COUNTIFS(アクションログ!$B$5:$B$2004,$A138,アクションログ!$A$5:$A$2004,"&gt;="&amp;設定!$C$5))</f>
        <v/>
      </c>
      <c r="Q138" s="16" t="str">
        <f aca="false">IF($A138="","",SUMIFS(月次実績!$D$5:$D$3004,月次実績!$B$5:$B$3004,$A138,月次実績!$A$5:$A$3004,"&gt;="&amp;EDATE(設定!$C$5,-(設定!$C$6-1))))</f>
        <v/>
      </c>
      <c r="R138" s="16" t="str">
        <f aca="false">IF($A138="","",SUMIFS(月次実績!$D$5:$D$3004,月次実績!$B$5:$B$3004,$A138))</f>
        <v/>
      </c>
      <c r="S138" s="16" t="str">
        <f aca="false">IF($A138="","",SUMIFS(月次実績!$F$5:$F$3004,月次実績!$B$5:$B$3004,$A138))</f>
        <v/>
      </c>
      <c r="T138" s="19" t="str">
        <f aca="false">IF(OR($A138="",R138=0),"",S138/R138)</f>
        <v/>
      </c>
      <c r="U138" s="20" t="str">
        <f aca="false">IF($A138="","",SUMIFS(月次実績!$G$5:$G$3004,月次実績!$B$5:$B$3004,$A138))</f>
        <v/>
      </c>
      <c r="V138" s="17" t="str">
        <f aca="false">IF($A138="","",IF(Q138&gt;=設定!$C$7,"稼働中",IF(Q138&gt;=1,"低稼働","休眠")))</f>
        <v/>
      </c>
      <c r="W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15"/>
      <c r="H139" s="21"/>
      <c r="I139" s="15" t="str">
        <f aca="false">IF($A139="","",IF(_xlfn.MAXIFS(アクションログ!$A$5:$A$2004,アクションログ!$B$5:$B$2004,$A139)=0,"",_xlfn.MAXIFS(アクションログ!$A$5:$A$2004,アクションログ!$B$5:$B$2004,$A139)))</f>
        <v/>
      </c>
      <c r="J139" s="16" t="str">
        <f aca="false">IF(OR($A139="",I139=""),"",設定!$C$4-I139)</f>
        <v/>
      </c>
      <c r="K139" s="16" t="str">
        <f aca="false">IF($A139="","",IFERROR(INDEX(設定!$D$14:$D$17,MATCH(F139,設定!$B$14:$B$17,0)),""))</f>
        <v/>
      </c>
      <c r="L139" s="15" t="str">
        <f aca="false">IF(OR($A139="",K139=""),"",IF(I139="",設定!$C$4,I139+K139))</f>
        <v/>
      </c>
      <c r="M139" s="17" t="str">
        <f aca="false">IF($A139="","",IF(F139="","ランク未設定",IF(I139="","未接触",IF(設定!$C$4&gt;L139,"期限超過",IF(L139-設定!$C$4&lt;=設定!$C$8,"今週連絡","OK")))))</f>
        <v/>
      </c>
      <c r="N139" s="15" t="str">
        <f aca="false">IF($A139="","",IF(_xlfn.MINIFS(アクションログ!$J$5:$J$2004,アクションログ!$B$5:$B$2004,$A139,アクションログ!$K$5:$K$2004,"&lt;&gt;済",アクションログ!$J$5:$J$2004,"&gt;0")=0,"",_xlfn.MINIFS(アクションログ!$J$5:$J$2004,アクションログ!$B$5:$B$2004,$A139,アクションログ!$K$5:$K$2004,"&lt;&gt;済",アクションログ!$J$5:$J$2004,"&gt;0")))</f>
        <v/>
      </c>
      <c r="O139" s="18" t="str">
        <f aca="false">IF(N139="","",IFERROR(INDEX(アクションログ!$I$5:$I$2004,MATCH($A139&amp;"|"&amp;N139,アクションログ!$L$5:$L$2004,0)),""))</f>
        <v/>
      </c>
      <c r="P139" s="16" t="str">
        <f aca="false">IF($A139="","",COUNTIFS(アクションログ!$B$5:$B$2004,$A139,アクションログ!$A$5:$A$2004,"&gt;="&amp;設定!$C$5))</f>
        <v/>
      </c>
      <c r="Q139" s="16" t="str">
        <f aca="false">IF($A139="","",SUMIFS(月次実績!$D$5:$D$3004,月次実績!$B$5:$B$3004,$A139,月次実績!$A$5:$A$3004,"&gt;="&amp;EDATE(設定!$C$5,-(設定!$C$6-1))))</f>
        <v/>
      </c>
      <c r="R139" s="16" t="str">
        <f aca="false">IF($A139="","",SUMIFS(月次実績!$D$5:$D$3004,月次実績!$B$5:$B$3004,$A139))</f>
        <v/>
      </c>
      <c r="S139" s="16" t="str">
        <f aca="false">IF($A139="","",SUMIFS(月次実績!$F$5:$F$3004,月次実績!$B$5:$B$3004,$A139))</f>
        <v/>
      </c>
      <c r="T139" s="19" t="str">
        <f aca="false">IF(OR($A139="",R139=0),"",S139/R139)</f>
        <v/>
      </c>
      <c r="U139" s="20" t="str">
        <f aca="false">IF($A139="","",SUMIFS(月次実績!$G$5:$G$3004,月次実績!$B$5:$B$3004,$A139))</f>
        <v/>
      </c>
      <c r="V139" s="17" t="str">
        <f aca="false">IF($A139="","",IF(Q139&gt;=設定!$C$7,"稼働中",IF(Q139&gt;=1,"低稼働","休眠")))</f>
        <v/>
      </c>
      <c r="W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15"/>
      <c r="H140" s="21"/>
      <c r="I140" s="15" t="str">
        <f aca="false">IF($A140="","",IF(_xlfn.MAXIFS(アクションログ!$A$5:$A$2004,アクションログ!$B$5:$B$2004,$A140)=0,"",_xlfn.MAXIFS(アクションログ!$A$5:$A$2004,アクションログ!$B$5:$B$2004,$A140)))</f>
        <v/>
      </c>
      <c r="J140" s="16" t="str">
        <f aca="false">IF(OR($A140="",I140=""),"",設定!$C$4-I140)</f>
        <v/>
      </c>
      <c r="K140" s="16" t="str">
        <f aca="false">IF($A140="","",IFERROR(INDEX(設定!$D$14:$D$17,MATCH(F140,設定!$B$14:$B$17,0)),""))</f>
        <v/>
      </c>
      <c r="L140" s="15" t="str">
        <f aca="false">IF(OR($A140="",K140=""),"",IF(I140="",設定!$C$4,I140+K140))</f>
        <v/>
      </c>
      <c r="M140" s="17" t="str">
        <f aca="false">IF($A140="","",IF(F140="","ランク未設定",IF(I140="","未接触",IF(設定!$C$4&gt;L140,"期限超過",IF(L140-設定!$C$4&lt;=設定!$C$8,"今週連絡","OK")))))</f>
        <v/>
      </c>
      <c r="N140" s="15" t="str">
        <f aca="false">IF($A140="","",IF(_xlfn.MINIFS(アクションログ!$J$5:$J$2004,アクションログ!$B$5:$B$2004,$A140,アクションログ!$K$5:$K$2004,"&lt;&gt;済",アクションログ!$J$5:$J$2004,"&gt;0")=0,"",_xlfn.MINIFS(アクションログ!$J$5:$J$2004,アクションログ!$B$5:$B$2004,$A140,アクションログ!$K$5:$K$2004,"&lt;&gt;済",アクションログ!$J$5:$J$2004,"&gt;0")))</f>
        <v/>
      </c>
      <c r="O140" s="18" t="str">
        <f aca="false">IF(N140="","",IFERROR(INDEX(アクションログ!$I$5:$I$2004,MATCH($A140&amp;"|"&amp;N140,アクションログ!$L$5:$L$2004,0)),""))</f>
        <v/>
      </c>
      <c r="P140" s="16" t="str">
        <f aca="false">IF($A140="","",COUNTIFS(アクションログ!$B$5:$B$2004,$A140,アクションログ!$A$5:$A$2004,"&gt;="&amp;設定!$C$5))</f>
        <v/>
      </c>
      <c r="Q140" s="16" t="str">
        <f aca="false">IF($A140="","",SUMIFS(月次実績!$D$5:$D$3004,月次実績!$B$5:$B$3004,$A140,月次実績!$A$5:$A$3004,"&gt;="&amp;EDATE(設定!$C$5,-(設定!$C$6-1))))</f>
        <v/>
      </c>
      <c r="R140" s="16" t="str">
        <f aca="false">IF($A140="","",SUMIFS(月次実績!$D$5:$D$3004,月次実績!$B$5:$B$3004,$A140))</f>
        <v/>
      </c>
      <c r="S140" s="16" t="str">
        <f aca="false">IF($A140="","",SUMIFS(月次実績!$F$5:$F$3004,月次実績!$B$5:$B$3004,$A140))</f>
        <v/>
      </c>
      <c r="T140" s="19" t="str">
        <f aca="false">IF(OR($A140="",R140=0),"",S140/R140)</f>
        <v/>
      </c>
      <c r="U140" s="20" t="str">
        <f aca="false">IF($A140="","",SUMIFS(月次実績!$G$5:$G$3004,月次実績!$B$5:$B$3004,$A140))</f>
        <v/>
      </c>
      <c r="V140" s="17" t="str">
        <f aca="false">IF($A140="","",IF(Q140&gt;=設定!$C$7,"稼働中",IF(Q140&gt;=1,"低稼働","休眠")))</f>
        <v/>
      </c>
      <c r="W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15"/>
      <c r="H141" s="21"/>
      <c r="I141" s="15" t="str">
        <f aca="false">IF($A141="","",IF(_xlfn.MAXIFS(アクションログ!$A$5:$A$2004,アクションログ!$B$5:$B$2004,$A141)=0,"",_xlfn.MAXIFS(アクションログ!$A$5:$A$2004,アクションログ!$B$5:$B$2004,$A141)))</f>
        <v/>
      </c>
      <c r="J141" s="16" t="str">
        <f aca="false">IF(OR($A141="",I141=""),"",設定!$C$4-I141)</f>
        <v/>
      </c>
      <c r="K141" s="16" t="str">
        <f aca="false">IF($A141="","",IFERROR(INDEX(設定!$D$14:$D$17,MATCH(F141,設定!$B$14:$B$17,0)),""))</f>
        <v/>
      </c>
      <c r="L141" s="15" t="str">
        <f aca="false">IF(OR($A141="",K141=""),"",IF(I141="",設定!$C$4,I141+K141))</f>
        <v/>
      </c>
      <c r="M141" s="17" t="str">
        <f aca="false">IF($A141="","",IF(F141="","ランク未設定",IF(I141="","未接触",IF(設定!$C$4&gt;L141,"期限超過",IF(L141-設定!$C$4&lt;=設定!$C$8,"今週連絡","OK")))))</f>
        <v/>
      </c>
      <c r="N141" s="15" t="str">
        <f aca="false">IF($A141="","",IF(_xlfn.MINIFS(アクションログ!$J$5:$J$2004,アクションログ!$B$5:$B$2004,$A141,アクションログ!$K$5:$K$2004,"&lt;&gt;済",アクションログ!$J$5:$J$2004,"&gt;0")=0,"",_xlfn.MINIFS(アクションログ!$J$5:$J$2004,アクションログ!$B$5:$B$2004,$A141,アクションログ!$K$5:$K$2004,"&lt;&gt;済",アクションログ!$J$5:$J$2004,"&gt;0")))</f>
        <v/>
      </c>
      <c r="O141" s="18" t="str">
        <f aca="false">IF(N141="","",IFERROR(INDEX(アクションログ!$I$5:$I$2004,MATCH($A141&amp;"|"&amp;N141,アクションログ!$L$5:$L$2004,0)),""))</f>
        <v/>
      </c>
      <c r="P141" s="16" t="str">
        <f aca="false">IF($A141="","",COUNTIFS(アクションログ!$B$5:$B$2004,$A141,アクションログ!$A$5:$A$2004,"&gt;="&amp;設定!$C$5))</f>
        <v/>
      </c>
      <c r="Q141" s="16" t="str">
        <f aca="false">IF($A141="","",SUMIFS(月次実績!$D$5:$D$3004,月次実績!$B$5:$B$3004,$A141,月次実績!$A$5:$A$3004,"&gt;="&amp;EDATE(設定!$C$5,-(設定!$C$6-1))))</f>
        <v/>
      </c>
      <c r="R141" s="16" t="str">
        <f aca="false">IF($A141="","",SUMIFS(月次実績!$D$5:$D$3004,月次実績!$B$5:$B$3004,$A141))</f>
        <v/>
      </c>
      <c r="S141" s="16" t="str">
        <f aca="false">IF($A141="","",SUMIFS(月次実績!$F$5:$F$3004,月次実績!$B$5:$B$3004,$A141))</f>
        <v/>
      </c>
      <c r="T141" s="19" t="str">
        <f aca="false">IF(OR($A141="",R141=0),"",S141/R141)</f>
        <v/>
      </c>
      <c r="U141" s="20" t="str">
        <f aca="false">IF($A141="","",SUMIFS(月次実績!$G$5:$G$3004,月次実績!$B$5:$B$3004,$A141))</f>
        <v/>
      </c>
      <c r="V141" s="17" t="str">
        <f aca="false">IF($A141="","",IF(Q141&gt;=設定!$C$7,"稼働中",IF(Q141&gt;=1,"低稼働","休眠")))</f>
        <v/>
      </c>
      <c r="W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15"/>
      <c r="H142" s="21"/>
      <c r="I142" s="15" t="str">
        <f aca="false">IF($A142="","",IF(_xlfn.MAXIFS(アクションログ!$A$5:$A$2004,アクションログ!$B$5:$B$2004,$A142)=0,"",_xlfn.MAXIFS(アクションログ!$A$5:$A$2004,アクションログ!$B$5:$B$2004,$A142)))</f>
        <v/>
      </c>
      <c r="J142" s="16" t="str">
        <f aca="false">IF(OR($A142="",I142=""),"",設定!$C$4-I142)</f>
        <v/>
      </c>
      <c r="K142" s="16" t="str">
        <f aca="false">IF($A142="","",IFERROR(INDEX(設定!$D$14:$D$17,MATCH(F142,設定!$B$14:$B$17,0)),""))</f>
        <v/>
      </c>
      <c r="L142" s="15" t="str">
        <f aca="false">IF(OR($A142="",K142=""),"",IF(I142="",設定!$C$4,I142+K142))</f>
        <v/>
      </c>
      <c r="M142" s="17" t="str">
        <f aca="false">IF($A142="","",IF(F142="","ランク未設定",IF(I142="","未接触",IF(設定!$C$4&gt;L142,"期限超過",IF(L142-設定!$C$4&lt;=設定!$C$8,"今週連絡","OK")))))</f>
        <v/>
      </c>
      <c r="N142" s="15" t="str">
        <f aca="false">IF($A142="","",IF(_xlfn.MINIFS(アクションログ!$J$5:$J$2004,アクションログ!$B$5:$B$2004,$A142,アクションログ!$K$5:$K$2004,"&lt;&gt;済",アクションログ!$J$5:$J$2004,"&gt;0")=0,"",_xlfn.MINIFS(アクションログ!$J$5:$J$2004,アクションログ!$B$5:$B$2004,$A142,アクションログ!$K$5:$K$2004,"&lt;&gt;済",アクションログ!$J$5:$J$2004,"&gt;0")))</f>
        <v/>
      </c>
      <c r="O142" s="18" t="str">
        <f aca="false">IF(N142="","",IFERROR(INDEX(アクションログ!$I$5:$I$2004,MATCH($A142&amp;"|"&amp;N142,アクションログ!$L$5:$L$2004,0)),""))</f>
        <v/>
      </c>
      <c r="P142" s="16" t="str">
        <f aca="false">IF($A142="","",COUNTIFS(アクションログ!$B$5:$B$2004,$A142,アクションログ!$A$5:$A$2004,"&gt;="&amp;設定!$C$5))</f>
        <v/>
      </c>
      <c r="Q142" s="16" t="str">
        <f aca="false">IF($A142="","",SUMIFS(月次実績!$D$5:$D$3004,月次実績!$B$5:$B$3004,$A142,月次実績!$A$5:$A$3004,"&gt;="&amp;EDATE(設定!$C$5,-(設定!$C$6-1))))</f>
        <v/>
      </c>
      <c r="R142" s="16" t="str">
        <f aca="false">IF($A142="","",SUMIFS(月次実績!$D$5:$D$3004,月次実績!$B$5:$B$3004,$A142))</f>
        <v/>
      </c>
      <c r="S142" s="16" t="str">
        <f aca="false">IF($A142="","",SUMIFS(月次実績!$F$5:$F$3004,月次実績!$B$5:$B$3004,$A142))</f>
        <v/>
      </c>
      <c r="T142" s="19" t="str">
        <f aca="false">IF(OR($A142="",R142=0),"",S142/R142)</f>
        <v/>
      </c>
      <c r="U142" s="20" t="str">
        <f aca="false">IF($A142="","",SUMIFS(月次実績!$G$5:$G$3004,月次実績!$B$5:$B$3004,$A142))</f>
        <v/>
      </c>
      <c r="V142" s="17" t="str">
        <f aca="false">IF($A142="","",IF(Q142&gt;=設定!$C$7,"稼働中",IF(Q142&gt;=1,"低稼働","休眠")))</f>
        <v/>
      </c>
      <c r="W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15"/>
      <c r="H143" s="21"/>
      <c r="I143" s="15" t="str">
        <f aca="false">IF($A143="","",IF(_xlfn.MAXIFS(アクションログ!$A$5:$A$2004,アクションログ!$B$5:$B$2004,$A143)=0,"",_xlfn.MAXIFS(アクションログ!$A$5:$A$2004,アクションログ!$B$5:$B$2004,$A143)))</f>
        <v/>
      </c>
      <c r="J143" s="16" t="str">
        <f aca="false">IF(OR($A143="",I143=""),"",設定!$C$4-I143)</f>
        <v/>
      </c>
      <c r="K143" s="16" t="str">
        <f aca="false">IF($A143="","",IFERROR(INDEX(設定!$D$14:$D$17,MATCH(F143,設定!$B$14:$B$17,0)),""))</f>
        <v/>
      </c>
      <c r="L143" s="15" t="str">
        <f aca="false">IF(OR($A143="",K143=""),"",IF(I143="",設定!$C$4,I143+K143))</f>
        <v/>
      </c>
      <c r="M143" s="17" t="str">
        <f aca="false">IF($A143="","",IF(F143="","ランク未設定",IF(I143="","未接触",IF(設定!$C$4&gt;L143,"期限超過",IF(L143-設定!$C$4&lt;=設定!$C$8,"今週連絡","OK")))))</f>
        <v/>
      </c>
      <c r="N143" s="15" t="str">
        <f aca="false">IF($A143="","",IF(_xlfn.MINIFS(アクションログ!$J$5:$J$2004,アクションログ!$B$5:$B$2004,$A143,アクションログ!$K$5:$K$2004,"&lt;&gt;済",アクションログ!$J$5:$J$2004,"&gt;0")=0,"",_xlfn.MINIFS(アクションログ!$J$5:$J$2004,アクションログ!$B$5:$B$2004,$A143,アクションログ!$K$5:$K$2004,"&lt;&gt;済",アクションログ!$J$5:$J$2004,"&gt;0")))</f>
        <v/>
      </c>
      <c r="O143" s="18" t="str">
        <f aca="false">IF(N143="","",IFERROR(INDEX(アクションログ!$I$5:$I$2004,MATCH($A143&amp;"|"&amp;N143,アクションログ!$L$5:$L$2004,0)),""))</f>
        <v/>
      </c>
      <c r="P143" s="16" t="str">
        <f aca="false">IF($A143="","",COUNTIFS(アクションログ!$B$5:$B$2004,$A143,アクションログ!$A$5:$A$2004,"&gt;="&amp;設定!$C$5))</f>
        <v/>
      </c>
      <c r="Q143" s="16" t="str">
        <f aca="false">IF($A143="","",SUMIFS(月次実績!$D$5:$D$3004,月次実績!$B$5:$B$3004,$A143,月次実績!$A$5:$A$3004,"&gt;="&amp;EDATE(設定!$C$5,-(設定!$C$6-1))))</f>
        <v/>
      </c>
      <c r="R143" s="16" t="str">
        <f aca="false">IF($A143="","",SUMIFS(月次実績!$D$5:$D$3004,月次実績!$B$5:$B$3004,$A143))</f>
        <v/>
      </c>
      <c r="S143" s="16" t="str">
        <f aca="false">IF($A143="","",SUMIFS(月次実績!$F$5:$F$3004,月次実績!$B$5:$B$3004,$A143))</f>
        <v/>
      </c>
      <c r="T143" s="19" t="str">
        <f aca="false">IF(OR($A143="",R143=0),"",S143/R143)</f>
        <v/>
      </c>
      <c r="U143" s="20" t="str">
        <f aca="false">IF($A143="","",SUMIFS(月次実績!$G$5:$G$3004,月次実績!$B$5:$B$3004,$A143))</f>
        <v/>
      </c>
      <c r="V143" s="17" t="str">
        <f aca="false">IF($A143="","",IF(Q143&gt;=設定!$C$7,"稼働中",IF(Q143&gt;=1,"低稼働","休眠")))</f>
        <v/>
      </c>
      <c r="W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15"/>
      <c r="H144" s="21"/>
      <c r="I144" s="15" t="str">
        <f aca="false">IF($A144="","",IF(_xlfn.MAXIFS(アクションログ!$A$5:$A$2004,アクションログ!$B$5:$B$2004,$A144)=0,"",_xlfn.MAXIFS(アクションログ!$A$5:$A$2004,アクションログ!$B$5:$B$2004,$A144)))</f>
        <v/>
      </c>
      <c r="J144" s="16" t="str">
        <f aca="false">IF(OR($A144="",I144=""),"",設定!$C$4-I144)</f>
        <v/>
      </c>
      <c r="K144" s="16" t="str">
        <f aca="false">IF($A144="","",IFERROR(INDEX(設定!$D$14:$D$17,MATCH(F144,設定!$B$14:$B$17,0)),""))</f>
        <v/>
      </c>
      <c r="L144" s="15" t="str">
        <f aca="false">IF(OR($A144="",K144=""),"",IF(I144="",設定!$C$4,I144+K144))</f>
        <v/>
      </c>
      <c r="M144" s="17" t="str">
        <f aca="false">IF($A144="","",IF(F144="","ランク未設定",IF(I144="","未接触",IF(設定!$C$4&gt;L144,"期限超過",IF(L144-設定!$C$4&lt;=設定!$C$8,"今週連絡","OK")))))</f>
        <v/>
      </c>
      <c r="N144" s="15" t="str">
        <f aca="false">IF($A144="","",IF(_xlfn.MINIFS(アクションログ!$J$5:$J$2004,アクションログ!$B$5:$B$2004,$A144,アクションログ!$K$5:$K$2004,"&lt;&gt;済",アクションログ!$J$5:$J$2004,"&gt;0")=0,"",_xlfn.MINIFS(アクションログ!$J$5:$J$2004,アクションログ!$B$5:$B$2004,$A144,アクションログ!$K$5:$K$2004,"&lt;&gt;済",アクションログ!$J$5:$J$2004,"&gt;0")))</f>
        <v/>
      </c>
      <c r="O144" s="18" t="str">
        <f aca="false">IF(N144="","",IFERROR(INDEX(アクションログ!$I$5:$I$2004,MATCH($A144&amp;"|"&amp;N144,アクションログ!$L$5:$L$2004,0)),""))</f>
        <v/>
      </c>
      <c r="P144" s="16" t="str">
        <f aca="false">IF($A144="","",COUNTIFS(アクションログ!$B$5:$B$2004,$A144,アクションログ!$A$5:$A$2004,"&gt;="&amp;設定!$C$5))</f>
        <v/>
      </c>
      <c r="Q144" s="16" t="str">
        <f aca="false">IF($A144="","",SUMIFS(月次実績!$D$5:$D$3004,月次実績!$B$5:$B$3004,$A144,月次実績!$A$5:$A$3004,"&gt;="&amp;EDATE(設定!$C$5,-(設定!$C$6-1))))</f>
        <v/>
      </c>
      <c r="R144" s="16" t="str">
        <f aca="false">IF($A144="","",SUMIFS(月次実績!$D$5:$D$3004,月次実績!$B$5:$B$3004,$A144))</f>
        <v/>
      </c>
      <c r="S144" s="16" t="str">
        <f aca="false">IF($A144="","",SUMIFS(月次実績!$F$5:$F$3004,月次実績!$B$5:$B$3004,$A144))</f>
        <v/>
      </c>
      <c r="T144" s="19" t="str">
        <f aca="false">IF(OR($A144="",R144=0),"",S144/R144)</f>
        <v/>
      </c>
      <c r="U144" s="20" t="str">
        <f aca="false">IF($A144="","",SUMIFS(月次実績!$G$5:$G$3004,月次実績!$B$5:$B$3004,$A144))</f>
        <v/>
      </c>
      <c r="V144" s="17" t="str">
        <f aca="false">IF($A144="","",IF(Q144&gt;=設定!$C$7,"稼働中",IF(Q144&gt;=1,"低稼働","休眠")))</f>
        <v/>
      </c>
      <c r="W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15"/>
      <c r="H145" s="21"/>
      <c r="I145" s="15" t="str">
        <f aca="false">IF($A145="","",IF(_xlfn.MAXIFS(アクションログ!$A$5:$A$2004,アクションログ!$B$5:$B$2004,$A145)=0,"",_xlfn.MAXIFS(アクションログ!$A$5:$A$2004,アクションログ!$B$5:$B$2004,$A145)))</f>
        <v/>
      </c>
      <c r="J145" s="16" t="str">
        <f aca="false">IF(OR($A145="",I145=""),"",設定!$C$4-I145)</f>
        <v/>
      </c>
      <c r="K145" s="16" t="str">
        <f aca="false">IF($A145="","",IFERROR(INDEX(設定!$D$14:$D$17,MATCH(F145,設定!$B$14:$B$17,0)),""))</f>
        <v/>
      </c>
      <c r="L145" s="15" t="str">
        <f aca="false">IF(OR($A145="",K145=""),"",IF(I145="",設定!$C$4,I145+K145))</f>
        <v/>
      </c>
      <c r="M145" s="17" t="str">
        <f aca="false">IF($A145="","",IF(F145="","ランク未設定",IF(I145="","未接触",IF(設定!$C$4&gt;L145,"期限超過",IF(L145-設定!$C$4&lt;=設定!$C$8,"今週連絡","OK")))))</f>
        <v/>
      </c>
      <c r="N145" s="15" t="str">
        <f aca="false">IF($A145="","",IF(_xlfn.MINIFS(アクションログ!$J$5:$J$2004,アクションログ!$B$5:$B$2004,$A145,アクションログ!$K$5:$K$2004,"&lt;&gt;済",アクションログ!$J$5:$J$2004,"&gt;0")=0,"",_xlfn.MINIFS(アクションログ!$J$5:$J$2004,アクションログ!$B$5:$B$2004,$A145,アクションログ!$K$5:$K$2004,"&lt;&gt;済",アクションログ!$J$5:$J$2004,"&gt;0")))</f>
        <v/>
      </c>
      <c r="O145" s="18" t="str">
        <f aca="false">IF(N145="","",IFERROR(INDEX(アクションログ!$I$5:$I$2004,MATCH($A145&amp;"|"&amp;N145,アクションログ!$L$5:$L$2004,0)),""))</f>
        <v/>
      </c>
      <c r="P145" s="16" t="str">
        <f aca="false">IF($A145="","",COUNTIFS(アクションログ!$B$5:$B$2004,$A145,アクションログ!$A$5:$A$2004,"&gt;="&amp;設定!$C$5))</f>
        <v/>
      </c>
      <c r="Q145" s="16" t="str">
        <f aca="false">IF($A145="","",SUMIFS(月次実績!$D$5:$D$3004,月次実績!$B$5:$B$3004,$A145,月次実績!$A$5:$A$3004,"&gt;="&amp;EDATE(設定!$C$5,-(設定!$C$6-1))))</f>
        <v/>
      </c>
      <c r="R145" s="16" t="str">
        <f aca="false">IF($A145="","",SUMIFS(月次実績!$D$5:$D$3004,月次実績!$B$5:$B$3004,$A145))</f>
        <v/>
      </c>
      <c r="S145" s="16" t="str">
        <f aca="false">IF($A145="","",SUMIFS(月次実績!$F$5:$F$3004,月次実績!$B$5:$B$3004,$A145))</f>
        <v/>
      </c>
      <c r="T145" s="19" t="str">
        <f aca="false">IF(OR($A145="",R145=0),"",S145/R145)</f>
        <v/>
      </c>
      <c r="U145" s="20" t="str">
        <f aca="false">IF($A145="","",SUMIFS(月次実績!$G$5:$G$3004,月次実績!$B$5:$B$3004,$A145))</f>
        <v/>
      </c>
      <c r="V145" s="17" t="str">
        <f aca="false">IF($A145="","",IF(Q145&gt;=設定!$C$7,"稼働中",IF(Q145&gt;=1,"低稼働","休眠")))</f>
        <v/>
      </c>
      <c r="W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15"/>
      <c r="H146" s="21"/>
      <c r="I146" s="15" t="str">
        <f aca="false">IF($A146="","",IF(_xlfn.MAXIFS(アクションログ!$A$5:$A$2004,アクションログ!$B$5:$B$2004,$A146)=0,"",_xlfn.MAXIFS(アクションログ!$A$5:$A$2004,アクションログ!$B$5:$B$2004,$A146)))</f>
        <v/>
      </c>
      <c r="J146" s="16" t="str">
        <f aca="false">IF(OR($A146="",I146=""),"",設定!$C$4-I146)</f>
        <v/>
      </c>
      <c r="K146" s="16" t="str">
        <f aca="false">IF($A146="","",IFERROR(INDEX(設定!$D$14:$D$17,MATCH(F146,設定!$B$14:$B$17,0)),""))</f>
        <v/>
      </c>
      <c r="L146" s="15" t="str">
        <f aca="false">IF(OR($A146="",K146=""),"",IF(I146="",設定!$C$4,I146+K146))</f>
        <v/>
      </c>
      <c r="M146" s="17" t="str">
        <f aca="false">IF($A146="","",IF(F146="","ランク未設定",IF(I146="","未接触",IF(設定!$C$4&gt;L146,"期限超過",IF(L146-設定!$C$4&lt;=設定!$C$8,"今週連絡","OK")))))</f>
        <v/>
      </c>
      <c r="N146" s="15" t="str">
        <f aca="false">IF($A146="","",IF(_xlfn.MINIFS(アクションログ!$J$5:$J$2004,アクションログ!$B$5:$B$2004,$A146,アクションログ!$K$5:$K$2004,"&lt;&gt;済",アクションログ!$J$5:$J$2004,"&gt;0")=0,"",_xlfn.MINIFS(アクションログ!$J$5:$J$2004,アクションログ!$B$5:$B$2004,$A146,アクションログ!$K$5:$K$2004,"&lt;&gt;済",アクションログ!$J$5:$J$2004,"&gt;0")))</f>
        <v/>
      </c>
      <c r="O146" s="18" t="str">
        <f aca="false">IF(N146="","",IFERROR(INDEX(アクションログ!$I$5:$I$2004,MATCH($A146&amp;"|"&amp;N146,アクションログ!$L$5:$L$2004,0)),""))</f>
        <v/>
      </c>
      <c r="P146" s="16" t="str">
        <f aca="false">IF($A146="","",COUNTIFS(アクションログ!$B$5:$B$2004,$A146,アクションログ!$A$5:$A$2004,"&gt;="&amp;設定!$C$5))</f>
        <v/>
      </c>
      <c r="Q146" s="16" t="str">
        <f aca="false">IF($A146="","",SUMIFS(月次実績!$D$5:$D$3004,月次実績!$B$5:$B$3004,$A146,月次実績!$A$5:$A$3004,"&gt;="&amp;EDATE(設定!$C$5,-(設定!$C$6-1))))</f>
        <v/>
      </c>
      <c r="R146" s="16" t="str">
        <f aca="false">IF($A146="","",SUMIFS(月次実績!$D$5:$D$3004,月次実績!$B$5:$B$3004,$A146))</f>
        <v/>
      </c>
      <c r="S146" s="16" t="str">
        <f aca="false">IF($A146="","",SUMIFS(月次実績!$F$5:$F$3004,月次実績!$B$5:$B$3004,$A146))</f>
        <v/>
      </c>
      <c r="T146" s="19" t="str">
        <f aca="false">IF(OR($A146="",R146=0),"",S146/R146)</f>
        <v/>
      </c>
      <c r="U146" s="20" t="str">
        <f aca="false">IF($A146="","",SUMIFS(月次実績!$G$5:$G$3004,月次実績!$B$5:$B$3004,$A146))</f>
        <v/>
      </c>
      <c r="V146" s="17" t="str">
        <f aca="false">IF($A146="","",IF(Q146&gt;=設定!$C$7,"稼働中",IF(Q146&gt;=1,"低稼働","休眠")))</f>
        <v/>
      </c>
      <c r="W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15"/>
      <c r="H147" s="21"/>
      <c r="I147" s="15" t="str">
        <f aca="false">IF($A147="","",IF(_xlfn.MAXIFS(アクションログ!$A$5:$A$2004,アクションログ!$B$5:$B$2004,$A147)=0,"",_xlfn.MAXIFS(アクションログ!$A$5:$A$2004,アクションログ!$B$5:$B$2004,$A147)))</f>
        <v/>
      </c>
      <c r="J147" s="16" t="str">
        <f aca="false">IF(OR($A147="",I147=""),"",設定!$C$4-I147)</f>
        <v/>
      </c>
      <c r="K147" s="16" t="str">
        <f aca="false">IF($A147="","",IFERROR(INDEX(設定!$D$14:$D$17,MATCH(F147,設定!$B$14:$B$17,0)),""))</f>
        <v/>
      </c>
      <c r="L147" s="15" t="str">
        <f aca="false">IF(OR($A147="",K147=""),"",IF(I147="",設定!$C$4,I147+K147))</f>
        <v/>
      </c>
      <c r="M147" s="17" t="str">
        <f aca="false">IF($A147="","",IF(F147="","ランク未設定",IF(I147="","未接触",IF(設定!$C$4&gt;L147,"期限超過",IF(L147-設定!$C$4&lt;=設定!$C$8,"今週連絡","OK")))))</f>
        <v/>
      </c>
      <c r="N147" s="15" t="str">
        <f aca="false">IF($A147="","",IF(_xlfn.MINIFS(アクションログ!$J$5:$J$2004,アクションログ!$B$5:$B$2004,$A147,アクションログ!$K$5:$K$2004,"&lt;&gt;済",アクションログ!$J$5:$J$2004,"&gt;0")=0,"",_xlfn.MINIFS(アクションログ!$J$5:$J$2004,アクションログ!$B$5:$B$2004,$A147,アクションログ!$K$5:$K$2004,"&lt;&gt;済",アクションログ!$J$5:$J$2004,"&gt;0")))</f>
        <v/>
      </c>
      <c r="O147" s="18" t="str">
        <f aca="false">IF(N147="","",IFERROR(INDEX(アクションログ!$I$5:$I$2004,MATCH($A147&amp;"|"&amp;N147,アクションログ!$L$5:$L$2004,0)),""))</f>
        <v/>
      </c>
      <c r="P147" s="16" t="str">
        <f aca="false">IF($A147="","",COUNTIFS(アクションログ!$B$5:$B$2004,$A147,アクションログ!$A$5:$A$2004,"&gt;="&amp;設定!$C$5))</f>
        <v/>
      </c>
      <c r="Q147" s="16" t="str">
        <f aca="false">IF($A147="","",SUMIFS(月次実績!$D$5:$D$3004,月次実績!$B$5:$B$3004,$A147,月次実績!$A$5:$A$3004,"&gt;="&amp;EDATE(設定!$C$5,-(設定!$C$6-1))))</f>
        <v/>
      </c>
      <c r="R147" s="16" t="str">
        <f aca="false">IF($A147="","",SUMIFS(月次実績!$D$5:$D$3004,月次実績!$B$5:$B$3004,$A147))</f>
        <v/>
      </c>
      <c r="S147" s="16" t="str">
        <f aca="false">IF($A147="","",SUMIFS(月次実績!$F$5:$F$3004,月次実績!$B$5:$B$3004,$A147))</f>
        <v/>
      </c>
      <c r="T147" s="19" t="str">
        <f aca="false">IF(OR($A147="",R147=0),"",S147/R147)</f>
        <v/>
      </c>
      <c r="U147" s="20" t="str">
        <f aca="false">IF($A147="","",SUMIFS(月次実績!$G$5:$G$3004,月次実績!$B$5:$B$3004,$A147))</f>
        <v/>
      </c>
      <c r="V147" s="17" t="str">
        <f aca="false">IF($A147="","",IF(Q147&gt;=設定!$C$7,"稼働中",IF(Q147&gt;=1,"低稼働","休眠")))</f>
        <v/>
      </c>
      <c r="W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15"/>
      <c r="H148" s="21"/>
      <c r="I148" s="15" t="str">
        <f aca="false">IF($A148="","",IF(_xlfn.MAXIFS(アクションログ!$A$5:$A$2004,アクションログ!$B$5:$B$2004,$A148)=0,"",_xlfn.MAXIFS(アクションログ!$A$5:$A$2004,アクションログ!$B$5:$B$2004,$A148)))</f>
        <v/>
      </c>
      <c r="J148" s="16" t="str">
        <f aca="false">IF(OR($A148="",I148=""),"",設定!$C$4-I148)</f>
        <v/>
      </c>
      <c r="K148" s="16" t="str">
        <f aca="false">IF($A148="","",IFERROR(INDEX(設定!$D$14:$D$17,MATCH(F148,設定!$B$14:$B$17,0)),""))</f>
        <v/>
      </c>
      <c r="L148" s="15" t="str">
        <f aca="false">IF(OR($A148="",K148=""),"",IF(I148="",設定!$C$4,I148+K148))</f>
        <v/>
      </c>
      <c r="M148" s="17" t="str">
        <f aca="false">IF($A148="","",IF(F148="","ランク未設定",IF(I148="","未接触",IF(設定!$C$4&gt;L148,"期限超過",IF(L148-設定!$C$4&lt;=設定!$C$8,"今週連絡","OK")))))</f>
        <v/>
      </c>
      <c r="N148" s="15" t="str">
        <f aca="false">IF($A148="","",IF(_xlfn.MINIFS(アクションログ!$J$5:$J$2004,アクションログ!$B$5:$B$2004,$A148,アクションログ!$K$5:$K$2004,"&lt;&gt;済",アクションログ!$J$5:$J$2004,"&gt;0")=0,"",_xlfn.MINIFS(アクションログ!$J$5:$J$2004,アクションログ!$B$5:$B$2004,$A148,アクションログ!$K$5:$K$2004,"&lt;&gt;済",アクションログ!$J$5:$J$2004,"&gt;0")))</f>
        <v/>
      </c>
      <c r="O148" s="18" t="str">
        <f aca="false">IF(N148="","",IFERROR(INDEX(アクションログ!$I$5:$I$2004,MATCH($A148&amp;"|"&amp;N148,アクションログ!$L$5:$L$2004,0)),""))</f>
        <v/>
      </c>
      <c r="P148" s="16" t="str">
        <f aca="false">IF($A148="","",COUNTIFS(アクションログ!$B$5:$B$2004,$A148,アクションログ!$A$5:$A$2004,"&gt;="&amp;設定!$C$5))</f>
        <v/>
      </c>
      <c r="Q148" s="16" t="str">
        <f aca="false">IF($A148="","",SUMIFS(月次実績!$D$5:$D$3004,月次実績!$B$5:$B$3004,$A148,月次実績!$A$5:$A$3004,"&gt;="&amp;EDATE(設定!$C$5,-(設定!$C$6-1))))</f>
        <v/>
      </c>
      <c r="R148" s="16" t="str">
        <f aca="false">IF($A148="","",SUMIFS(月次実績!$D$5:$D$3004,月次実績!$B$5:$B$3004,$A148))</f>
        <v/>
      </c>
      <c r="S148" s="16" t="str">
        <f aca="false">IF($A148="","",SUMIFS(月次実績!$F$5:$F$3004,月次実績!$B$5:$B$3004,$A148))</f>
        <v/>
      </c>
      <c r="T148" s="19" t="str">
        <f aca="false">IF(OR($A148="",R148=0),"",S148/R148)</f>
        <v/>
      </c>
      <c r="U148" s="20" t="str">
        <f aca="false">IF($A148="","",SUMIFS(月次実績!$G$5:$G$3004,月次実績!$B$5:$B$3004,$A148))</f>
        <v/>
      </c>
      <c r="V148" s="17" t="str">
        <f aca="false">IF($A148="","",IF(Q148&gt;=設定!$C$7,"稼働中",IF(Q148&gt;=1,"低稼働","休眠")))</f>
        <v/>
      </c>
      <c r="W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15"/>
      <c r="H149" s="21"/>
      <c r="I149" s="15" t="str">
        <f aca="false">IF($A149="","",IF(_xlfn.MAXIFS(アクションログ!$A$5:$A$2004,アクションログ!$B$5:$B$2004,$A149)=0,"",_xlfn.MAXIFS(アクションログ!$A$5:$A$2004,アクションログ!$B$5:$B$2004,$A149)))</f>
        <v/>
      </c>
      <c r="J149" s="16" t="str">
        <f aca="false">IF(OR($A149="",I149=""),"",設定!$C$4-I149)</f>
        <v/>
      </c>
      <c r="K149" s="16" t="str">
        <f aca="false">IF($A149="","",IFERROR(INDEX(設定!$D$14:$D$17,MATCH(F149,設定!$B$14:$B$17,0)),""))</f>
        <v/>
      </c>
      <c r="L149" s="15" t="str">
        <f aca="false">IF(OR($A149="",K149=""),"",IF(I149="",設定!$C$4,I149+K149))</f>
        <v/>
      </c>
      <c r="M149" s="17" t="str">
        <f aca="false">IF($A149="","",IF(F149="","ランク未設定",IF(I149="","未接触",IF(設定!$C$4&gt;L149,"期限超過",IF(L149-設定!$C$4&lt;=設定!$C$8,"今週連絡","OK")))))</f>
        <v/>
      </c>
      <c r="N149" s="15" t="str">
        <f aca="false">IF($A149="","",IF(_xlfn.MINIFS(アクションログ!$J$5:$J$2004,アクションログ!$B$5:$B$2004,$A149,アクションログ!$K$5:$K$2004,"&lt;&gt;済",アクションログ!$J$5:$J$2004,"&gt;0")=0,"",_xlfn.MINIFS(アクションログ!$J$5:$J$2004,アクションログ!$B$5:$B$2004,$A149,アクションログ!$K$5:$K$2004,"&lt;&gt;済",アクションログ!$J$5:$J$2004,"&gt;0")))</f>
        <v/>
      </c>
      <c r="O149" s="18" t="str">
        <f aca="false">IF(N149="","",IFERROR(INDEX(アクションログ!$I$5:$I$2004,MATCH($A149&amp;"|"&amp;N149,アクションログ!$L$5:$L$2004,0)),""))</f>
        <v/>
      </c>
      <c r="P149" s="16" t="str">
        <f aca="false">IF($A149="","",COUNTIFS(アクションログ!$B$5:$B$2004,$A149,アクションログ!$A$5:$A$2004,"&gt;="&amp;設定!$C$5))</f>
        <v/>
      </c>
      <c r="Q149" s="16" t="str">
        <f aca="false">IF($A149="","",SUMIFS(月次実績!$D$5:$D$3004,月次実績!$B$5:$B$3004,$A149,月次実績!$A$5:$A$3004,"&gt;="&amp;EDATE(設定!$C$5,-(設定!$C$6-1))))</f>
        <v/>
      </c>
      <c r="R149" s="16" t="str">
        <f aca="false">IF($A149="","",SUMIFS(月次実績!$D$5:$D$3004,月次実績!$B$5:$B$3004,$A149))</f>
        <v/>
      </c>
      <c r="S149" s="16" t="str">
        <f aca="false">IF($A149="","",SUMIFS(月次実績!$F$5:$F$3004,月次実績!$B$5:$B$3004,$A149))</f>
        <v/>
      </c>
      <c r="T149" s="19" t="str">
        <f aca="false">IF(OR($A149="",R149=0),"",S149/R149)</f>
        <v/>
      </c>
      <c r="U149" s="20" t="str">
        <f aca="false">IF($A149="","",SUMIFS(月次実績!$G$5:$G$3004,月次実績!$B$5:$B$3004,$A149))</f>
        <v/>
      </c>
      <c r="V149" s="17" t="str">
        <f aca="false">IF($A149="","",IF(Q149&gt;=設定!$C$7,"稼働中",IF(Q149&gt;=1,"低稼働","休眠")))</f>
        <v/>
      </c>
      <c r="W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15"/>
      <c r="H150" s="21"/>
      <c r="I150" s="15" t="str">
        <f aca="false">IF($A150="","",IF(_xlfn.MAXIFS(アクションログ!$A$5:$A$2004,アクションログ!$B$5:$B$2004,$A150)=0,"",_xlfn.MAXIFS(アクションログ!$A$5:$A$2004,アクションログ!$B$5:$B$2004,$A150)))</f>
        <v/>
      </c>
      <c r="J150" s="16" t="str">
        <f aca="false">IF(OR($A150="",I150=""),"",設定!$C$4-I150)</f>
        <v/>
      </c>
      <c r="K150" s="16" t="str">
        <f aca="false">IF($A150="","",IFERROR(INDEX(設定!$D$14:$D$17,MATCH(F150,設定!$B$14:$B$17,0)),""))</f>
        <v/>
      </c>
      <c r="L150" s="15" t="str">
        <f aca="false">IF(OR($A150="",K150=""),"",IF(I150="",設定!$C$4,I150+K150))</f>
        <v/>
      </c>
      <c r="M150" s="17" t="str">
        <f aca="false">IF($A150="","",IF(F150="","ランク未設定",IF(I150="","未接触",IF(設定!$C$4&gt;L150,"期限超過",IF(L150-設定!$C$4&lt;=設定!$C$8,"今週連絡","OK")))))</f>
        <v/>
      </c>
      <c r="N150" s="15" t="str">
        <f aca="false">IF($A150="","",IF(_xlfn.MINIFS(アクションログ!$J$5:$J$2004,アクションログ!$B$5:$B$2004,$A150,アクションログ!$K$5:$K$2004,"&lt;&gt;済",アクションログ!$J$5:$J$2004,"&gt;0")=0,"",_xlfn.MINIFS(アクションログ!$J$5:$J$2004,アクションログ!$B$5:$B$2004,$A150,アクションログ!$K$5:$K$2004,"&lt;&gt;済",アクションログ!$J$5:$J$2004,"&gt;0")))</f>
        <v/>
      </c>
      <c r="O150" s="18" t="str">
        <f aca="false">IF(N150="","",IFERROR(INDEX(アクションログ!$I$5:$I$2004,MATCH($A150&amp;"|"&amp;N150,アクションログ!$L$5:$L$2004,0)),""))</f>
        <v/>
      </c>
      <c r="P150" s="16" t="str">
        <f aca="false">IF($A150="","",COUNTIFS(アクションログ!$B$5:$B$2004,$A150,アクションログ!$A$5:$A$2004,"&gt;="&amp;設定!$C$5))</f>
        <v/>
      </c>
      <c r="Q150" s="16" t="str">
        <f aca="false">IF($A150="","",SUMIFS(月次実績!$D$5:$D$3004,月次実績!$B$5:$B$3004,$A150,月次実績!$A$5:$A$3004,"&gt;="&amp;EDATE(設定!$C$5,-(設定!$C$6-1))))</f>
        <v/>
      </c>
      <c r="R150" s="16" t="str">
        <f aca="false">IF($A150="","",SUMIFS(月次実績!$D$5:$D$3004,月次実績!$B$5:$B$3004,$A150))</f>
        <v/>
      </c>
      <c r="S150" s="16" t="str">
        <f aca="false">IF($A150="","",SUMIFS(月次実績!$F$5:$F$3004,月次実績!$B$5:$B$3004,$A150))</f>
        <v/>
      </c>
      <c r="T150" s="19" t="str">
        <f aca="false">IF(OR($A150="",R150=0),"",S150/R150)</f>
        <v/>
      </c>
      <c r="U150" s="20" t="str">
        <f aca="false">IF($A150="","",SUMIFS(月次実績!$G$5:$G$3004,月次実績!$B$5:$B$3004,$A150))</f>
        <v/>
      </c>
      <c r="V150" s="17" t="str">
        <f aca="false">IF($A150="","",IF(Q150&gt;=設定!$C$7,"稼働中",IF(Q150&gt;=1,"低稼働","休眠")))</f>
        <v/>
      </c>
      <c r="W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15"/>
      <c r="H151" s="21"/>
      <c r="I151" s="15" t="str">
        <f aca="false">IF($A151="","",IF(_xlfn.MAXIFS(アクションログ!$A$5:$A$2004,アクションログ!$B$5:$B$2004,$A151)=0,"",_xlfn.MAXIFS(アクションログ!$A$5:$A$2004,アクションログ!$B$5:$B$2004,$A151)))</f>
        <v/>
      </c>
      <c r="J151" s="16" t="str">
        <f aca="false">IF(OR($A151="",I151=""),"",設定!$C$4-I151)</f>
        <v/>
      </c>
      <c r="K151" s="16" t="str">
        <f aca="false">IF($A151="","",IFERROR(INDEX(設定!$D$14:$D$17,MATCH(F151,設定!$B$14:$B$17,0)),""))</f>
        <v/>
      </c>
      <c r="L151" s="15" t="str">
        <f aca="false">IF(OR($A151="",K151=""),"",IF(I151="",設定!$C$4,I151+K151))</f>
        <v/>
      </c>
      <c r="M151" s="17" t="str">
        <f aca="false">IF($A151="","",IF(F151="","ランク未設定",IF(I151="","未接触",IF(設定!$C$4&gt;L151,"期限超過",IF(L151-設定!$C$4&lt;=設定!$C$8,"今週連絡","OK")))))</f>
        <v/>
      </c>
      <c r="N151" s="15" t="str">
        <f aca="false">IF($A151="","",IF(_xlfn.MINIFS(アクションログ!$J$5:$J$2004,アクションログ!$B$5:$B$2004,$A151,アクションログ!$K$5:$K$2004,"&lt;&gt;済",アクションログ!$J$5:$J$2004,"&gt;0")=0,"",_xlfn.MINIFS(アクションログ!$J$5:$J$2004,アクションログ!$B$5:$B$2004,$A151,アクションログ!$K$5:$K$2004,"&lt;&gt;済",アクションログ!$J$5:$J$2004,"&gt;0")))</f>
        <v/>
      </c>
      <c r="O151" s="18" t="str">
        <f aca="false">IF(N151="","",IFERROR(INDEX(アクションログ!$I$5:$I$2004,MATCH($A151&amp;"|"&amp;N151,アクションログ!$L$5:$L$2004,0)),""))</f>
        <v/>
      </c>
      <c r="P151" s="16" t="str">
        <f aca="false">IF($A151="","",COUNTIFS(アクションログ!$B$5:$B$2004,$A151,アクションログ!$A$5:$A$2004,"&gt;="&amp;設定!$C$5))</f>
        <v/>
      </c>
      <c r="Q151" s="16" t="str">
        <f aca="false">IF($A151="","",SUMIFS(月次実績!$D$5:$D$3004,月次実績!$B$5:$B$3004,$A151,月次実績!$A$5:$A$3004,"&gt;="&amp;EDATE(設定!$C$5,-(設定!$C$6-1))))</f>
        <v/>
      </c>
      <c r="R151" s="16" t="str">
        <f aca="false">IF($A151="","",SUMIFS(月次実績!$D$5:$D$3004,月次実績!$B$5:$B$3004,$A151))</f>
        <v/>
      </c>
      <c r="S151" s="16" t="str">
        <f aca="false">IF($A151="","",SUMIFS(月次実績!$F$5:$F$3004,月次実績!$B$5:$B$3004,$A151))</f>
        <v/>
      </c>
      <c r="T151" s="19" t="str">
        <f aca="false">IF(OR($A151="",R151=0),"",S151/R151)</f>
        <v/>
      </c>
      <c r="U151" s="20" t="str">
        <f aca="false">IF($A151="","",SUMIFS(月次実績!$G$5:$G$3004,月次実績!$B$5:$B$3004,$A151))</f>
        <v/>
      </c>
      <c r="V151" s="17" t="str">
        <f aca="false">IF($A151="","",IF(Q151&gt;=設定!$C$7,"稼働中",IF(Q151&gt;=1,"低稼働","休眠")))</f>
        <v/>
      </c>
      <c r="W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15"/>
      <c r="H152" s="21"/>
      <c r="I152" s="15" t="str">
        <f aca="false">IF($A152="","",IF(_xlfn.MAXIFS(アクションログ!$A$5:$A$2004,アクションログ!$B$5:$B$2004,$A152)=0,"",_xlfn.MAXIFS(アクションログ!$A$5:$A$2004,アクションログ!$B$5:$B$2004,$A152)))</f>
        <v/>
      </c>
      <c r="J152" s="16" t="str">
        <f aca="false">IF(OR($A152="",I152=""),"",設定!$C$4-I152)</f>
        <v/>
      </c>
      <c r="K152" s="16" t="str">
        <f aca="false">IF($A152="","",IFERROR(INDEX(設定!$D$14:$D$17,MATCH(F152,設定!$B$14:$B$17,0)),""))</f>
        <v/>
      </c>
      <c r="L152" s="15" t="str">
        <f aca="false">IF(OR($A152="",K152=""),"",IF(I152="",設定!$C$4,I152+K152))</f>
        <v/>
      </c>
      <c r="M152" s="17" t="str">
        <f aca="false">IF($A152="","",IF(F152="","ランク未設定",IF(I152="","未接触",IF(設定!$C$4&gt;L152,"期限超過",IF(L152-設定!$C$4&lt;=設定!$C$8,"今週連絡","OK")))))</f>
        <v/>
      </c>
      <c r="N152" s="15" t="str">
        <f aca="false">IF($A152="","",IF(_xlfn.MINIFS(アクションログ!$J$5:$J$2004,アクションログ!$B$5:$B$2004,$A152,アクションログ!$K$5:$K$2004,"&lt;&gt;済",アクションログ!$J$5:$J$2004,"&gt;0")=0,"",_xlfn.MINIFS(アクションログ!$J$5:$J$2004,アクションログ!$B$5:$B$2004,$A152,アクションログ!$K$5:$K$2004,"&lt;&gt;済",アクションログ!$J$5:$J$2004,"&gt;0")))</f>
        <v/>
      </c>
      <c r="O152" s="18" t="str">
        <f aca="false">IF(N152="","",IFERROR(INDEX(アクションログ!$I$5:$I$2004,MATCH($A152&amp;"|"&amp;N152,アクションログ!$L$5:$L$2004,0)),""))</f>
        <v/>
      </c>
      <c r="P152" s="16" t="str">
        <f aca="false">IF($A152="","",COUNTIFS(アクションログ!$B$5:$B$2004,$A152,アクションログ!$A$5:$A$2004,"&gt;="&amp;設定!$C$5))</f>
        <v/>
      </c>
      <c r="Q152" s="16" t="str">
        <f aca="false">IF($A152="","",SUMIFS(月次実績!$D$5:$D$3004,月次実績!$B$5:$B$3004,$A152,月次実績!$A$5:$A$3004,"&gt;="&amp;EDATE(設定!$C$5,-(設定!$C$6-1))))</f>
        <v/>
      </c>
      <c r="R152" s="16" t="str">
        <f aca="false">IF($A152="","",SUMIFS(月次実績!$D$5:$D$3004,月次実績!$B$5:$B$3004,$A152))</f>
        <v/>
      </c>
      <c r="S152" s="16" t="str">
        <f aca="false">IF($A152="","",SUMIFS(月次実績!$F$5:$F$3004,月次実績!$B$5:$B$3004,$A152))</f>
        <v/>
      </c>
      <c r="T152" s="19" t="str">
        <f aca="false">IF(OR($A152="",R152=0),"",S152/R152)</f>
        <v/>
      </c>
      <c r="U152" s="20" t="str">
        <f aca="false">IF($A152="","",SUMIFS(月次実績!$G$5:$G$3004,月次実績!$B$5:$B$3004,$A152))</f>
        <v/>
      </c>
      <c r="V152" s="17" t="str">
        <f aca="false">IF($A152="","",IF(Q152&gt;=設定!$C$7,"稼働中",IF(Q152&gt;=1,"低稼働","休眠")))</f>
        <v/>
      </c>
      <c r="W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15"/>
      <c r="H153" s="21"/>
      <c r="I153" s="15" t="str">
        <f aca="false">IF($A153="","",IF(_xlfn.MAXIFS(アクションログ!$A$5:$A$2004,アクションログ!$B$5:$B$2004,$A153)=0,"",_xlfn.MAXIFS(アクションログ!$A$5:$A$2004,アクションログ!$B$5:$B$2004,$A153)))</f>
        <v/>
      </c>
      <c r="J153" s="16" t="str">
        <f aca="false">IF(OR($A153="",I153=""),"",設定!$C$4-I153)</f>
        <v/>
      </c>
      <c r="K153" s="16" t="str">
        <f aca="false">IF($A153="","",IFERROR(INDEX(設定!$D$14:$D$17,MATCH(F153,設定!$B$14:$B$17,0)),""))</f>
        <v/>
      </c>
      <c r="L153" s="15" t="str">
        <f aca="false">IF(OR($A153="",K153=""),"",IF(I153="",設定!$C$4,I153+K153))</f>
        <v/>
      </c>
      <c r="M153" s="17" t="str">
        <f aca="false">IF($A153="","",IF(F153="","ランク未設定",IF(I153="","未接触",IF(設定!$C$4&gt;L153,"期限超過",IF(L153-設定!$C$4&lt;=設定!$C$8,"今週連絡","OK")))))</f>
        <v/>
      </c>
      <c r="N153" s="15" t="str">
        <f aca="false">IF($A153="","",IF(_xlfn.MINIFS(アクションログ!$J$5:$J$2004,アクションログ!$B$5:$B$2004,$A153,アクションログ!$K$5:$K$2004,"&lt;&gt;済",アクションログ!$J$5:$J$2004,"&gt;0")=0,"",_xlfn.MINIFS(アクションログ!$J$5:$J$2004,アクションログ!$B$5:$B$2004,$A153,アクションログ!$K$5:$K$2004,"&lt;&gt;済",アクションログ!$J$5:$J$2004,"&gt;0")))</f>
        <v/>
      </c>
      <c r="O153" s="18" t="str">
        <f aca="false">IF(N153="","",IFERROR(INDEX(アクションログ!$I$5:$I$2004,MATCH($A153&amp;"|"&amp;N153,アクションログ!$L$5:$L$2004,0)),""))</f>
        <v/>
      </c>
      <c r="P153" s="16" t="str">
        <f aca="false">IF($A153="","",COUNTIFS(アクションログ!$B$5:$B$2004,$A153,アクションログ!$A$5:$A$2004,"&gt;="&amp;設定!$C$5))</f>
        <v/>
      </c>
      <c r="Q153" s="16" t="str">
        <f aca="false">IF($A153="","",SUMIFS(月次実績!$D$5:$D$3004,月次実績!$B$5:$B$3004,$A153,月次実績!$A$5:$A$3004,"&gt;="&amp;EDATE(設定!$C$5,-(設定!$C$6-1))))</f>
        <v/>
      </c>
      <c r="R153" s="16" t="str">
        <f aca="false">IF($A153="","",SUMIFS(月次実績!$D$5:$D$3004,月次実績!$B$5:$B$3004,$A153))</f>
        <v/>
      </c>
      <c r="S153" s="16" t="str">
        <f aca="false">IF($A153="","",SUMIFS(月次実績!$F$5:$F$3004,月次実績!$B$5:$B$3004,$A153))</f>
        <v/>
      </c>
      <c r="T153" s="19" t="str">
        <f aca="false">IF(OR($A153="",R153=0),"",S153/R153)</f>
        <v/>
      </c>
      <c r="U153" s="20" t="str">
        <f aca="false">IF($A153="","",SUMIFS(月次実績!$G$5:$G$3004,月次実績!$B$5:$B$3004,$A153))</f>
        <v/>
      </c>
      <c r="V153" s="17" t="str">
        <f aca="false">IF($A153="","",IF(Q153&gt;=設定!$C$7,"稼働中",IF(Q153&gt;=1,"低稼働","休眠")))</f>
        <v/>
      </c>
      <c r="W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15"/>
      <c r="H154" s="21"/>
      <c r="I154" s="15" t="str">
        <f aca="false">IF($A154="","",IF(_xlfn.MAXIFS(アクションログ!$A$5:$A$2004,アクションログ!$B$5:$B$2004,$A154)=0,"",_xlfn.MAXIFS(アクションログ!$A$5:$A$2004,アクションログ!$B$5:$B$2004,$A154)))</f>
        <v/>
      </c>
      <c r="J154" s="16" t="str">
        <f aca="false">IF(OR($A154="",I154=""),"",設定!$C$4-I154)</f>
        <v/>
      </c>
      <c r="K154" s="16" t="str">
        <f aca="false">IF($A154="","",IFERROR(INDEX(設定!$D$14:$D$17,MATCH(F154,設定!$B$14:$B$17,0)),""))</f>
        <v/>
      </c>
      <c r="L154" s="15" t="str">
        <f aca="false">IF(OR($A154="",K154=""),"",IF(I154="",設定!$C$4,I154+K154))</f>
        <v/>
      </c>
      <c r="M154" s="17" t="str">
        <f aca="false">IF($A154="","",IF(F154="","ランク未設定",IF(I154="","未接触",IF(設定!$C$4&gt;L154,"期限超過",IF(L154-設定!$C$4&lt;=設定!$C$8,"今週連絡","OK")))))</f>
        <v/>
      </c>
      <c r="N154" s="15" t="str">
        <f aca="false">IF($A154="","",IF(_xlfn.MINIFS(アクションログ!$J$5:$J$2004,アクションログ!$B$5:$B$2004,$A154,アクションログ!$K$5:$K$2004,"&lt;&gt;済",アクションログ!$J$5:$J$2004,"&gt;0")=0,"",_xlfn.MINIFS(アクションログ!$J$5:$J$2004,アクションログ!$B$5:$B$2004,$A154,アクションログ!$K$5:$K$2004,"&lt;&gt;済",アクションログ!$J$5:$J$2004,"&gt;0")))</f>
        <v/>
      </c>
      <c r="O154" s="18" t="str">
        <f aca="false">IF(N154="","",IFERROR(INDEX(アクションログ!$I$5:$I$2004,MATCH($A154&amp;"|"&amp;N154,アクションログ!$L$5:$L$2004,0)),""))</f>
        <v/>
      </c>
      <c r="P154" s="16" t="str">
        <f aca="false">IF($A154="","",COUNTIFS(アクションログ!$B$5:$B$2004,$A154,アクションログ!$A$5:$A$2004,"&gt;="&amp;設定!$C$5))</f>
        <v/>
      </c>
      <c r="Q154" s="16" t="str">
        <f aca="false">IF($A154="","",SUMIFS(月次実績!$D$5:$D$3004,月次実績!$B$5:$B$3004,$A154,月次実績!$A$5:$A$3004,"&gt;="&amp;EDATE(設定!$C$5,-(設定!$C$6-1))))</f>
        <v/>
      </c>
      <c r="R154" s="16" t="str">
        <f aca="false">IF($A154="","",SUMIFS(月次実績!$D$5:$D$3004,月次実績!$B$5:$B$3004,$A154))</f>
        <v/>
      </c>
      <c r="S154" s="16" t="str">
        <f aca="false">IF($A154="","",SUMIFS(月次実績!$F$5:$F$3004,月次実績!$B$5:$B$3004,$A154))</f>
        <v/>
      </c>
      <c r="T154" s="19" t="str">
        <f aca="false">IF(OR($A154="",R154=0),"",S154/R154)</f>
        <v/>
      </c>
      <c r="U154" s="20" t="str">
        <f aca="false">IF($A154="","",SUMIFS(月次実績!$G$5:$G$3004,月次実績!$B$5:$B$3004,$A154))</f>
        <v/>
      </c>
      <c r="V154" s="17" t="str">
        <f aca="false">IF($A154="","",IF(Q154&gt;=設定!$C$7,"稼働中",IF(Q154&gt;=1,"低稼働","休眠")))</f>
        <v/>
      </c>
      <c r="W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15"/>
      <c r="H155" s="21"/>
      <c r="I155" s="15" t="str">
        <f aca="false">IF($A155="","",IF(_xlfn.MAXIFS(アクションログ!$A$5:$A$2004,アクションログ!$B$5:$B$2004,$A155)=0,"",_xlfn.MAXIFS(アクションログ!$A$5:$A$2004,アクションログ!$B$5:$B$2004,$A155)))</f>
        <v/>
      </c>
      <c r="J155" s="16" t="str">
        <f aca="false">IF(OR($A155="",I155=""),"",設定!$C$4-I155)</f>
        <v/>
      </c>
      <c r="K155" s="16" t="str">
        <f aca="false">IF($A155="","",IFERROR(INDEX(設定!$D$14:$D$17,MATCH(F155,設定!$B$14:$B$17,0)),""))</f>
        <v/>
      </c>
      <c r="L155" s="15" t="str">
        <f aca="false">IF(OR($A155="",K155=""),"",IF(I155="",設定!$C$4,I155+K155))</f>
        <v/>
      </c>
      <c r="M155" s="17" t="str">
        <f aca="false">IF($A155="","",IF(F155="","ランク未設定",IF(I155="","未接触",IF(設定!$C$4&gt;L155,"期限超過",IF(L155-設定!$C$4&lt;=設定!$C$8,"今週連絡","OK")))))</f>
        <v/>
      </c>
      <c r="N155" s="15" t="str">
        <f aca="false">IF($A155="","",IF(_xlfn.MINIFS(アクションログ!$J$5:$J$2004,アクションログ!$B$5:$B$2004,$A155,アクションログ!$K$5:$K$2004,"&lt;&gt;済",アクションログ!$J$5:$J$2004,"&gt;0")=0,"",_xlfn.MINIFS(アクションログ!$J$5:$J$2004,アクションログ!$B$5:$B$2004,$A155,アクションログ!$K$5:$K$2004,"&lt;&gt;済",アクションログ!$J$5:$J$2004,"&gt;0")))</f>
        <v/>
      </c>
      <c r="O155" s="18" t="str">
        <f aca="false">IF(N155="","",IFERROR(INDEX(アクションログ!$I$5:$I$2004,MATCH($A155&amp;"|"&amp;N155,アクションログ!$L$5:$L$2004,0)),""))</f>
        <v/>
      </c>
      <c r="P155" s="16" t="str">
        <f aca="false">IF($A155="","",COUNTIFS(アクションログ!$B$5:$B$2004,$A155,アクションログ!$A$5:$A$2004,"&gt;="&amp;設定!$C$5))</f>
        <v/>
      </c>
      <c r="Q155" s="16" t="str">
        <f aca="false">IF($A155="","",SUMIFS(月次実績!$D$5:$D$3004,月次実績!$B$5:$B$3004,$A155,月次実績!$A$5:$A$3004,"&gt;="&amp;EDATE(設定!$C$5,-(設定!$C$6-1))))</f>
        <v/>
      </c>
      <c r="R155" s="16" t="str">
        <f aca="false">IF($A155="","",SUMIFS(月次実績!$D$5:$D$3004,月次実績!$B$5:$B$3004,$A155))</f>
        <v/>
      </c>
      <c r="S155" s="16" t="str">
        <f aca="false">IF($A155="","",SUMIFS(月次実績!$F$5:$F$3004,月次実績!$B$5:$B$3004,$A155))</f>
        <v/>
      </c>
      <c r="T155" s="19" t="str">
        <f aca="false">IF(OR($A155="",R155=0),"",S155/R155)</f>
        <v/>
      </c>
      <c r="U155" s="20" t="str">
        <f aca="false">IF($A155="","",SUMIFS(月次実績!$G$5:$G$3004,月次実績!$B$5:$B$3004,$A155))</f>
        <v/>
      </c>
      <c r="V155" s="17" t="str">
        <f aca="false">IF($A155="","",IF(Q155&gt;=設定!$C$7,"稼働中",IF(Q155&gt;=1,"低稼働","休眠")))</f>
        <v/>
      </c>
      <c r="W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15"/>
      <c r="H156" s="21"/>
      <c r="I156" s="15" t="str">
        <f aca="false">IF($A156="","",IF(_xlfn.MAXIFS(アクションログ!$A$5:$A$2004,アクションログ!$B$5:$B$2004,$A156)=0,"",_xlfn.MAXIFS(アクションログ!$A$5:$A$2004,アクションログ!$B$5:$B$2004,$A156)))</f>
        <v/>
      </c>
      <c r="J156" s="16" t="str">
        <f aca="false">IF(OR($A156="",I156=""),"",設定!$C$4-I156)</f>
        <v/>
      </c>
      <c r="K156" s="16" t="str">
        <f aca="false">IF($A156="","",IFERROR(INDEX(設定!$D$14:$D$17,MATCH(F156,設定!$B$14:$B$17,0)),""))</f>
        <v/>
      </c>
      <c r="L156" s="15" t="str">
        <f aca="false">IF(OR($A156="",K156=""),"",IF(I156="",設定!$C$4,I156+K156))</f>
        <v/>
      </c>
      <c r="M156" s="17" t="str">
        <f aca="false">IF($A156="","",IF(F156="","ランク未設定",IF(I156="","未接触",IF(設定!$C$4&gt;L156,"期限超過",IF(L156-設定!$C$4&lt;=設定!$C$8,"今週連絡","OK")))))</f>
        <v/>
      </c>
      <c r="N156" s="15" t="str">
        <f aca="false">IF($A156="","",IF(_xlfn.MINIFS(アクションログ!$J$5:$J$2004,アクションログ!$B$5:$B$2004,$A156,アクションログ!$K$5:$K$2004,"&lt;&gt;済",アクションログ!$J$5:$J$2004,"&gt;0")=0,"",_xlfn.MINIFS(アクションログ!$J$5:$J$2004,アクションログ!$B$5:$B$2004,$A156,アクションログ!$K$5:$K$2004,"&lt;&gt;済",アクションログ!$J$5:$J$2004,"&gt;0")))</f>
        <v/>
      </c>
      <c r="O156" s="18" t="str">
        <f aca="false">IF(N156="","",IFERROR(INDEX(アクションログ!$I$5:$I$2004,MATCH($A156&amp;"|"&amp;N156,アクションログ!$L$5:$L$2004,0)),""))</f>
        <v/>
      </c>
      <c r="P156" s="16" t="str">
        <f aca="false">IF($A156="","",COUNTIFS(アクションログ!$B$5:$B$2004,$A156,アクションログ!$A$5:$A$2004,"&gt;="&amp;設定!$C$5))</f>
        <v/>
      </c>
      <c r="Q156" s="16" t="str">
        <f aca="false">IF($A156="","",SUMIFS(月次実績!$D$5:$D$3004,月次実績!$B$5:$B$3004,$A156,月次実績!$A$5:$A$3004,"&gt;="&amp;EDATE(設定!$C$5,-(設定!$C$6-1))))</f>
        <v/>
      </c>
      <c r="R156" s="16" t="str">
        <f aca="false">IF($A156="","",SUMIFS(月次実績!$D$5:$D$3004,月次実績!$B$5:$B$3004,$A156))</f>
        <v/>
      </c>
      <c r="S156" s="16" t="str">
        <f aca="false">IF($A156="","",SUMIFS(月次実績!$F$5:$F$3004,月次実績!$B$5:$B$3004,$A156))</f>
        <v/>
      </c>
      <c r="T156" s="19" t="str">
        <f aca="false">IF(OR($A156="",R156=0),"",S156/R156)</f>
        <v/>
      </c>
      <c r="U156" s="20" t="str">
        <f aca="false">IF($A156="","",SUMIFS(月次実績!$G$5:$G$3004,月次実績!$B$5:$B$3004,$A156))</f>
        <v/>
      </c>
      <c r="V156" s="17" t="str">
        <f aca="false">IF($A156="","",IF(Q156&gt;=設定!$C$7,"稼働中",IF(Q156&gt;=1,"低稼働","休眠")))</f>
        <v/>
      </c>
      <c r="W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15"/>
      <c r="H157" s="21"/>
      <c r="I157" s="15" t="str">
        <f aca="false">IF($A157="","",IF(_xlfn.MAXIFS(アクションログ!$A$5:$A$2004,アクションログ!$B$5:$B$2004,$A157)=0,"",_xlfn.MAXIFS(アクションログ!$A$5:$A$2004,アクションログ!$B$5:$B$2004,$A157)))</f>
        <v/>
      </c>
      <c r="J157" s="16" t="str">
        <f aca="false">IF(OR($A157="",I157=""),"",設定!$C$4-I157)</f>
        <v/>
      </c>
      <c r="K157" s="16" t="str">
        <f aca="false">IF($A157="","",IFERROR(INDEX(設定!$D$14:$D$17,MATCH(F157,設定!$B$14:$B$17,0)),""))</f>
        <v/>
      </c>
      <c r="L157" s="15" t="str">
        <f aca="false">IF(OR($A157="",K157=""),"",IF(I157="",設定!$C$4,I157+K157))</f>
        <v/>
      </c>
      <c r="M157" s="17" t="str">
        <f aca="false">IF($A157="","",IF(F157="","ランク未設定",IF(I157="","未接触",IF(設定!$C$4&gt;L157,"期限超過",IF(L157-設定!$C$4&lt;=設定!$C$8,"今週連絡","OK")))))</f>
        <v/>
      </c>
      <c r="N157" s="15" t="str">
        <f aca="false">IF($A157="","",IF(_xlfn.MINIFS(アクションログ!$J$5:$J$2004,アクションログ!$B$5:$B$2004,$A157,アクションログ!$K$5:$K$2004,"&lt;&gt;済",アクションログ!$J$5:$J$2004,"&gt;0")=0,"",_xlfn.MINIFS(アクションログ!$J$5:$J$2004,アクションログ!$B$5:$B$2004,$A157,アクションログ!$K$5:$K$2004,"&lt;&gt;済",アクションログ!$J$5:$J$2004,"&gt;0")))</f>
        <v/>
      </c>
      <c r="O157" s="18" t="str">
        <f aca="false">IF(N157="","",IFERROR(INDEX(アクションログ!$I$5:$I$2004,MATCH($A157&amp;"|"&amp;N157,アクションログ!$L$5:$L$2004,0)),""))</f>
        <v/>
      </c>
      <c r="P157" s="16" t="str">
        <f aca="false">IF($A157="","",COUNTIFS(アクションログ!$B$5:$B$2004,$A157,アクションログ!$A$5:$A$2004,"&gt;="&amp;設定!$C$5))</f>
        <v/>
      </c>
      <c r="Q157" s="16" t="str">
        <f aca="false">IF($A157="","",SUMIFS(月次実績!$D$5:$D$3004,月次実績!$B$5:$B$3004,$A157,月次実績!$A$5:$A$3004,"&gt;="&amp;EDATE(設定!$C$5,-(設定!$C$6-1))))</f>
        <v/>
      </c>
      <c r="R157" s="16" t="str">
        <f aca="false">IF($A157="","",SUMIFS(月次実績!$D$5:$D$3004,月次実績!$B$5:$B$3004,$A157))</f>
        <v/>
      </c>
      <c r="S157" s="16" t="str">
        <f aca="false">IF($A157="","",SUMIFS(月次実績!$F$5:$F$3004,月次実績!$B$5:$B$3004,$A157))</f>
        <v/>
      </c>
      <c r="T157" s="19" t="str">
        <f aca="false">IF(OR($A157="",R157=0),"",S157/R157)</f>
        <v/>
      </c>
      <c r="U157" s="20" t="str">
        <f aca="false">IF($A157="","",SUMIFS(月次実績!$G$5:$G$3004,月次実績!$B$5:$B$3004,$A157))</f>
        <v/>
      </c>
      <c r="V157" s="17" t="str">
        <f aca="false">IF($A157="","",IF(Q157&gt;=設定!$C$7,"稼働中",IF(Q157&gt;=1,"低稼働","休眠")))</f>
        <v/>
      </c>
      <c r="W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15"/>
      <c r="H158" s="21"/>
      <c r="I158" s="15" t="str">
        <f aca="false">IF($A158="","",IF(_xlfn.MAXIFS(アクションログ!$A$5:$A$2004,アクションログ!$B$5:$B$2004,$A158)=0,"",_xlfn.MAXIFS(アクションログ!$A$5:$A$2004,アクションログ!$B$5:$B$2004,$A158)))</f>
        <v/>
      </c>
      <c r="J158" s="16" t="str">
        <f aca="false">IF(OR($A158="",I158=""),"",設定!$C$4-I158)</f>
        <v/>
      </c>
      <c r="K158" s="16" t="str">
        <f aca="false">IF($A158="","",IFERROR(INDEX(設定!$D$14:$D$17,MATCH(F158,設定!$B$14:$B$17,0)),""))</f>
        <v/>
      </c>
      <c r="L158" s="15" t="str">
        <f aca="false">IF(OR($A158="",K158=""),"",IF(I158="",設定!$C$4,I158+K158))</f>
        <v/>
      </c>
      <c r="M158" s="17" t="str">
        <f aca="false">IF($A158="","",IF(F158="","ランク未設定",IF(I158="","未接触",IF(設定!$C$4&gt;L158,"期限超過",IF(L158-設定!$C$4&lt;=設定!$C$8,"今週連絡","OK")))))</f>
        <v/>
      </c>
      <c r="N158" s="15" t="str">
        <f aca="false">IF($A158="","",IF(_xlfn.MINIFS(アクションログ!$J$5:$J$2004,アクションログ!$B$5:$B$2004,$A158,アクションログ!$K$5:$K$2004,"&lt;&gt;済",アクションログ!$J$5:$J$2004,"&gt;0")=0,"",_xlfn.MINIFS(アクションログ!$J$5:$J$2004,アクションログ!$B$5:$B$2004,$A158,アクションログ!$K$5:$K$2004,"&lt;&gt;済",アクションログ!$J$5:$J$2004,"&gt;0")))</f>
        <v/>
      </c>
      <c r="O158" s="18" t="str">
        <f aca="false">IF(N158="","",IFERROR(INDEX(アクションログ!$I$5:$I$2004,MATCH($A158&amp;"|"&amp;N158,アクションログ!$L$5:$L$2004,0)),""))</f>
        <v/>
      </c>
      <c r="P158" s="16" t="str">
        <f aca="false">IF($A158="","",COUNTIFS(アクションログ!$B$5:$B$2004,$A158,アクションログ!$A$5:$A$2004,"&gt;="&amp;設定!$C$5))</f>
        <v/>
      </c>
      <c r="Q158" s="16" t="str">
        <f aca="false">IF($A158="","",SUMIFS(月次実績!$D$5:$D$3004,月次実績!$B$5:$B$3004,$A158,月次実績!$A$5:$A$3004,"&gt;="&amp;EDATE(設定!$C$5,-(設定!$C$6-1))))</f>
        <v/>
      </c>
      <c r="R158" s="16" t="str">
        <f aca="false">IF($A158="","",SUMIFS(月次実績!$D$5:$D$3004,月次実績!$B$5:$B$3004,$A158))</f>
        <v/>
      </c>
      <c r="S158" s="16" t="str">
        <f aca="false">IF($A158="","",SUMIFS(月次実績!$F$5:$F$3004,月次実績!$B$5:$B$3004,$A158))</f>
        <v/>
      </c>
      <c r="T158" s="19" t="str">
        <f aca="false">IF(OR($A158="",R158=0),"",S158/R158)</f>
        <v/>
      </c>
      <c r="U158" s="20" t="str">
        <f aca="false">IF($A158="","",SUMIFS(月次実績!$G$5:$G$3004,月次実績!$B$5:$B$3004,$A158))</f>
        <v/>
      </c>
      <c r="V158" s="17" t="str">
        <f aca="false">IF($A158="","",IF(Q158&gt;=設定!$C$7,"稼働中",IF(Q158&gt;=1,"低稼働","休眠")))</f>
        <v/>
      </c>
      <c r="W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15"/>
      <c r="H159" s="21"/>
      <c r="I159" s="15" t="str">
        <f aca="false">IF($A159="","",IF(_xlfn.MAXIFS(アクションログ!$A$5:$A$2004,アクションログ!$B$5:$B$2004,$A159)=0,"",_xlfn.MAXIFS(アクションログ!$A$5:$A$2004,アクションログ!$B$5:$B$2004,$A159)))</f>
        <v/>
      </c>
      <c r="J159" s="16" t="str">
        <f aca="false">IF(OR($A159="",I159=""),"",設定!$C$4-I159)</f>
        <v/>
      </c>
      <c r="K159" s="16" t="str">
        <f aca="false">IF($A159="","",IFERROR(INDEX(設定!$D$14:$D$17,MATCH(F159,設定!$B$14:$B$17,0)),""))</f>
        <v/>
      </c>
      <c r="L159" s="15" t="str">
        <f aca="false">IF(OR($A159="",K159=""),"",IF(I159="",設定!$C$4,I159+K159))</f>
        <v/>
      </c>
      <c r="M159" s="17" t="str">
        <f aca="false">IF($A159="","",IF(F159="","ランク未設定",IF(I159="","未接触",IF(設定!$C$4&gt;L159,"期限超過",IF(L159-設定!$C$4&lt;=設定!$C$8,"今週連絡","OK")))))</f>
        <v/>
      </c>
      <c r="N159" s="15" t="str">
        <f aca="false">IF($A159="","",IF(_xlfn.MINIFS(アクションログ!$J$5:$J$2004,アクションログ!$B$5:$B$2004,$A159,アクションログ!$K$5:$K$2004,"&lt;&gt;済",アクションログ!$J$5:$J$2004,"&gt;0")=0,"",_xlfn.MINIFS(アクションログ!$J$5:$J$2004,アクションログ!$B$5:$B$2004,$A159,アクションログ!$K$5:$K$2004,"&lt;&gt;済",アクションログ!$J$5:$J$2004,"&gt;0")))</f>
        <v/>
      </c>
      <c r="O159" s="18" t="str">
        <f aca="false">IF(N159="","",IFERROR(INDEX(アクションログ!$I$5:$I$2004,MATCH($A159&amp;"|"&amp;N159,アクションログ!$L$5:$L$2004,0)),""))</f>
        <v/>
      </c>
      <c r="P159" s="16" t="str">
        <f aca="false">IF($A159="","",COUNTIFS(アクションログ!$B$5:$B$2004,$A159,アクションログ!$A$5:$A$2004,"&gt;="&amp;設定!$C$5))</f>
        <v/>
      </c>
      <c r="Q159" s="16" t="str">
        <f aca="false">IF($A159="","",SUMIFS(月次実績!$D$5:$D$3004,月次実績!$B$5:$B$3004,$A159,月次実績!$A$5:$A$3004,"&gt;="&amp;EDATE(設定!$C$5,-(設定!$C$6-1))))</f>
        <v/>
      </c>
      <c r="R159" s="16" t="str">
        <f aca="false">IF($A159="","",SUMIFS(月次実績!$D$5:$D$3004,月次実績!$B$5:$B$3004,$A159))</f>
        <v/>
      </c>
      <c r="S159" s="16" t="str">
        <f aca="false">IF($A159="","",SUMIFS(月次実績!$F$5:$F$3004,月次実績!$B$5:$B$3004,$A159))</f>
        <v/>
      </c>
      <c r="T159" s="19" t="str">
        <f aca="false">IF(OR($A159="",R159=0),"",S159/R159)</f>
        <v/>
      </c>
      <c r="U159" s="20" t="str">
        <f aca="false">IF($A159="","",SUMIFS(月次実績!$G$5:$G$3004,月次実績!$B$5:$B$3004,$A159))</f>
        <v/>
      </c>
      <c r="V159" s="17" t="str">
        <f aca="false">IF($A159="","",IF(Q159&gt;=設定!$C$7,"稼働中",IF(Q159&gt;=1,"低稼働","休眠")))</f>
        <v/>
      </c>
      <c r="W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15"/>
      <c r="H160" s="21"/>
      <c r="I160" s="15" t="str">
        <f aca="false">IF($A160="","",IF(_xlfn.MAXIFS(アクションログ!$A$5:$A$2004,アクションログ!$B$5:$B$2004,$A160)=0,"",_xlfn.MAXIFS(アクションログ!$A$5:$A$2004,アクションログ!$B$5:$B$2004,$A160)))</f>
        <v/>
      </c>
      <c r="J160" s="16" t="str">
        <f aca="false">IF(OR($A160="",I160=""),"",設定!$C$4-I160)</f>
        <v/>
      </c>
      <c r="K160" s="16" t="str">
        <f aca="false">IF($A160="","",IFERROR(INDEX(設定!$D$14:$D$17,MATCH(F160,設定!$B$14:$B$17,0)),""))</f>
        <v/>
      </c>
      <c r="L160" s="15" t="str">
        <f aca="false">IF(OR($A160="",K160=""),"",IF(I160="",設定!$C$4,I160+K160))</f>
        <v/>
      </c>
      <c r="M160" s="17" t="str">
        <f aca="false">IF($A160="","",IF(F160="","ランク未設定",IF(I160="","未接触",IF(設定!$C$4&gt;L160,"期限超過",IF(L160-設定!$C$4&lt;=設定!$C$8,"今週連絡","OK")))))</f>
        <v/>
      </c>
      <c r="N160" s="15" t="str">
        <f aca="false">IF($A160="","",IF(_xlfn.MINIFS(アクションログ!$J$5:$J$2004,アクションログ!$B$5:$B$2004,$A160,アクションログ!$K$5:$K$2004,"&lt;&gt;済",アクションログ!$J$5:$J$2004,"&gt;0")=0,"",_xlfn.MINIFS(アクションログ!$J$5:$J$2004,アクションログ!$B$5:$B$2004,$A160,アクションログ!$K$5:$K$2004,"&lt;&gt;済",アクションログ!$J$5:$J$2004,"&gt;0")))</f>
        <v/>
      </c>
      <c r="O160" s="18" t="str">
        <f aca="false">IF(N160="","",IFERROR(INDEX(アクションログ!$I$5:$I$2004,MATCH($A160&amp;"|"&amp;N160,アクションログ!$L$5:$L$2004,0)),""))</f>
        <v/>
      </c>
      <c r="P160" s="16" t="str">
        <f aca="false">IF($A160="","",COUNTIFS(アクションログ!$B$5:$B$2004,$A160,アクションログ!$A$5:$A$2004,"&gt;="&amp;設定!$C$5))</f>
        <v/>
      </c>
      <c r="Q160" s="16" t="str">
        <f aca="false">IF($A160="","",SUMIFS(月次実績!$D$5:$D$3004,月次実績!$B$5:$B$3004,$A160,月次実績!$A$5:$A$3004,"&gt;="&amp;EDATE(設定!$C$5,-(設定!$C$6-1))))</f>
        <v/>
      </c>
      <c r="R160" s="16" t="str">
        <f aca="false">IF($A160="","",SUMIFS(月次実績!$D$5:$D$3004,月次実績!$B$5:$B$3004,$A160))</f>
        <v/>
      </c>
      <c r="S160" s="16" t="str">
        <f aca="false">IF($A160="","",SUMIFS(月次実績!$F$5:$F$3004,月次実績!$B$5:$B$3004,$A160))</f>
        <v/>
      </c>
      <c r="T160" s="19" t="str">
        <f aca="false">IF(OR($A160="",R160=0),"",S160/R160)</f>
        <v/>
      </c>
      <c r="U160" s="20" t="str">
        <f aca="false">IF($A160="","",SUMIFS(月次実績!$G$5:$G$3004,月次実績!$B$5:$B$3004,$A160))</f>
        <v/>
      </c>
      <c r="V160" s="17" t="str">
        <f aca="false">IF($A160="","",IF(Q160&gt;=設定!$C$7,"稼働中",IF(Q160&gt;=1,"低稼働","休眠")))</f>
        <v/>
      </c>
      <c r="W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15"/>
      <c r="H161" s="21"/>
      <c r="I161" s="15" t="str">
        <f aca="false">IF($A161="","",IF(_xlfn.MAXIFS(アクションログ!$A$5:$A$2004,アクションログ!$B$5:$B$2004,$A161)=0,"",_xlfn.MAXIFS(アクションログ!$A$5:$A$2004,アクションログ!$B$5:$B$2004,$A161)))</f>
        <v/>
      </c>
      <c r="J161" s="16" t="str">
        <f aca="false">IF(OR($A161="",I161=""),"",設定!$C$4-I161)</f>
        <v/>
      </c>
      <c r="K161" s="16" t="str">
        <f aca="false">IF($A161="","",IFERROR(INDEX(設定!$D$14:$D$17,MATCH(F161,設定!$B$14:$B$17,0)),""))</f>
        <v/>
      </c>
      <c r="L161" s="15" t="str">
        <f aca="false">IF(OR($A161="",K161=""),"",IF(I161="",設定!$C$4,I161+K161))</f>
        <v/>
      </c>
      <c r="M161" s="17" t="str">
        <f aca="false">IF($A161="","",IF(F161="","ランク未設定",IF(I161="","未接触",IF(設定!$C$4&gt;L161,"期限超過",IF(L161-設定!$C$4&lt;=設定!$C$8,"今週連絡","OK")))))</f>
        <v/>
      </c>
      <c r="N161" s="15" t="str">
        <f aca="false">IF($A161="","",IF(_xlfn.MINIFS(アクションログ!$J$5:$J$2004,アクションログ!$B$5:$B$2004,$A161,アクションログ!$K$5:$K$2004,"&lt;&gt;済",アクションログ!$J$5:$J$2004,"&gt;0")=0,"",_xlfn.MINIFS(アクションログ!$J$5:$J$2004,アクションログ!$B$5:$B$2004,$A161,アクションログ!$K$5:$K$2004,"&lt;&gt;済",アクションログ!$J$5:$J$2004,"&gt;0")))</f>
        <v/>
      </c>
      <c r="O161" s="18" t="str">
        <f aca="false">IF(N161="","",IFERROR(INDEX(アクションログ!$I$5:$I$2004,MATCH($A161&amp;"|"&amp;N161,アクションログ!$L$5:$L$2004,0)),""))</f>
        <v/>
      </c>
      <c r="P161" s="16" t="str">
        <f aca="false">IF($A161="","",COUNTIFS(アクションログ!$B$5:$B$2004,$A161,アクションログ!$A$5:$A$2004,"&gt;="&amp;設定!$C$5))</f>
        <v/>
      </c>
      <c r="Q161" s="16" t="str">
        <f aca="false">IF($A161="","",SUMIFS(月次実績!$D$5:$D$3004,月次実績!$B$5:$B$3004,$A161,月次実績!$A$5:$A$3004,"&gt;="&amp;EDATE(設定!$C$5,-(設定!$C$6-1))))</f>
        <v/>
      </c>
      <c r="R161" s="16" t="str">
        <f aca="false">IF($A161="","",SUMIFS(月次実績!$D$5:$D$3004,月次実績!$B$5:$B$3004,$A161))</f>
        <v/>
      </c>
      <c r="S161" s="16" t="str">
        <f aca="false">IF($A161="","",SUMIFS(月次実績!$F$5:$F$3004,月次実績!$B$5:$B$3004,$A161))</f>
        <v/>
      </c>
      <c r="T161" s="19" t="str">
        <f aca="false">IF(OR($A161="",R161=0),"",S161/R161)</f>
        <v/>
      </c>
      <c r="U161" s="20" t="str">
        <f aca="false">IF($A161="","",SUMIFS(月次実績!$G$5:$G$3004,月次実績!$B$5:$B$3004,$A161))</f>
        <v/>
      </c>
      <c r="V161" s="17" t="str">
        <f aca="false">IF($A161="","",IF(Q161&gt;=設定!$C$7,"稼働中",IF(Q161&gt;=1,"低稼働","休眠")))</f>
        <v/>
      </c>
      <c r="W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15"/>
      <c r="H162" s="21"/>
      <c r="I162" s="15" t="str">
        <f aca="false">IF($A162="","",IF(_xlfn.MAXIFS(アクションログ!$A$5:$A$2004,アクションログ!$B$5:$B$2004,$A162)=0,"",_xlfn.MAXIFS(アクションログ!$A$5:$A$2004,アクションログ!$B$5:$B$2004,$A162)))</f>
        <v/>
      </c>
      <c r="J162" s="16" t="str">
        <f aca="false">IF(OR($A162="",I162=""),"",設定!$C$4-I162)</f>
        <v/>
      </c>
      <c r="K162" s="16" t="str">
        <f aca="false">IF($A162="","",IFERROR(INDEX(設定!$D$14:$D$17,MATCH(F162,設定!$B$14:$B$17,0)),""))</f>
        <v/>
      </c>
      <c r="L162" s="15" t="str">
        <f aca="false">IF(OR($A162="",K162=""),"",IF(I162="",設定!$C$4,I162+K162))</f>
        <v/>
      </c>
      <c r="M162" s="17" t="str">
        <f aca="false">IF($A162="","",IF(F162="","ランク未設定",IF(I162="","未接触",IF(設定!$C$4&gt;L162,"期限超過",IF(L162-設定!$C$4&lt;=設定!$C$8,"今週連絡","OK")))))</f>
        <v/>
      </c>
      <c r="N162" s="15" t="str">
        <f aca="false">IF($A162="","",IF(_xlfn.MINIFS(アクションログ!$J$5:$J$2004,アクションログ!$B$5:$B$2004,$A162,アクションログ!$K$5:$K$2004,"&lt;&gt;済",アクションログ!$J$5:$J$2004,"&gt;0")=0,"",_xlfn.MINIFS(アクションログ!$J$5:$J$2004,アクションログ!$B$5:$B$2004,$A162,アクションログ!$K$5:$K$2004,"&lt;&gt;済",アクションログ!$J$5:$J$2004,"&gt;0")))</f>
        <v/>
      </c>
      <c r="O162" s="18" t="str">
        <f aca="false">IF(N162="","",IFERROR(INDEX(アクションログ!$I$5:$I$2004,MATCH($A162&amp;"|"&amp;N162,アクションログ!$L$5:$L$2004,0)),""))</f>
        <v/>
      </c>
      <c r="P162" s="16" t="str">
        <f aca="false">IF($A162="","",COUNTIFS(アクションログ!$B$5:$B$2004,$A162,アクションログ!$A$5:$A$2004,"&gt;="&amp;設定!$C$5))</f>
        <v/>
      </c>
      <c r="Q162" s="16" t="str">
        <f aca="false">IF($A162="","",SUMIFS(月次実績!$D$5:$D$3004,月次実績!$B$5:$B$3004,$A162,月次実績!$A$5:$A$3004,"&gt;="&amp;EDATE(設定!$C$5,-(設定!$C$6-1))))</f>
        <v/>
      </c>
      <c r="R162" s="16" t="str">
        <f aca="false">IF($A162="","",SUMIFS(月次実績!$D$5:$D$3004,月次実績!$B$5:$B$3004,$A162))</f>
        <v/>
      </c>
      <c r="S162" s="16" t="str">
        <f aca="false">IF($A162="","",SUMIFS(月次実績!$F$5:$F$3004,月次実績!$B$5:$B$3004,$A162))</f>
        <v/>
      </c>
      <c r="T162" s="19" t="str">
        <f aca="false">IF(OR($A162="",R162=0),"",S162/R162)</f>
        <v/>
      </c>
      <c r="U162" s="20" t="str">
        <f aca="false">IF($A162="","",SUMIFS(月次実績!$G$5:$G$3004,月次実績!$B$5:$B$3004,$A162))</f>
        <v/>
      </c>
      <c r="V162" s="17" t="str">
        <f aca="false">IF($A162="","",IF(Q162&gt;=設定!$C$7,"稼働中",IF(Q162&gt;=1,"低稼働","休眠")))</f>
        <v/>
      </c>
      <c r="W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15"/>
      <c r="H163" s="21"/>
      <c r="I163" s="15" t="str">
        <f aca="false">IF($A163="","",IF(_xlfn.MAXIFS(アクションログ!$A$5:$A$2004,アクションログ!$B$5:$B$2004,$A163)=0,"",_xlfn.MAXIFS(アクションログ!$A$5:$A$2004,アクションログ!$B$5:$B$2004,$A163)))</f>
        <v/>
      </c>
      <c r="J163" s="16" t="str">
        <f aca="false">IF(OR($A163="",I163=""),"",設定!$C$4-I163)</f>
        <v/>
      </c>
      <c r="K163" s="16" t="str">
        <f aca="false">IF($A163="","",IFERROR(INDEX(設定!$D$14:$D$17,MATCH(F163,設定!$B$14:$B$17,0)),""))</f>
        <v/>
      </c>
      <c r="L163" s="15" t="str">
        <f aca="false">IF(OR($A163="",K163=""),"",IF(I163="",設定!$C$4,I163+K163))</f>
        <v/>
      </c>
      <c r="M163" s="17" t="str">
        <f aca="false">IF($A163="","",IF(F163="","ランク未設定",IF(I163="","未接触",IF(設定!$C$4&gt;L163,"期限超過",IF(L163-設定!$C$4&lt;=設定!$C$8,"今週連絡","OK")))))</f>
        <v/>
      </c>
      <c r="N163" s="15" t="str">
        <f aca="false">IF($A163="","",IF(_xlfn.MINIFS(アクションログ!$J$5:$J$2004,アクションログ!$B$5:$B$2004,$A163,アクションログ!$K$5:$K$2004,"&lt;&gt;済",アクションログ!$J$5:$J$2004,"&gt;0")=0,"",_xlfn.MINIFS(アクションログ!$J$5:$J$2004,アクションログ!$B$5:$B$2004,$A163,アクションログ!$K$5:$K$2004,"&lt;&gt;済",アクションログ!$J$5:$J$2004,"&gt;0")))</f>
        <v/>
      </c>
      <c r="O163" s="18" t="str">
        <f aca="false">IF(N163="","",IFERROR(INDEX(アクションログ!$I$5:$I$2004,MATCH($A163&amp;"|"&amp;N163,アクションログ!$L$5:$L$2004,0)),""))</f>
        <v/>
      </c>
      <c r="P163" s="16" t="str">
        <f aca="false">IF($A163="","",COUNTIFS(アクションログ!$B$5:$B$2004,$A163,アクションログ!$A$5:$A$2004,"&gt;="&amp;設定!$C$5))</f>
        <v/>
      </c>
      <c r="Q163" s="16" t="str">
        <f aca="false">IF($A163="","",SUMIFS(月次実績!$D$5:$D$3004,月次実績!$B$5:$B$3004,$A163,月次実績!$A$5:$A$3004,"&gt;="&amp;EDATE(設定!$C$5,-(設定!$C$6-1))))</f>
        <v/>
      </c>
      <c r="R163" s="16" t="str">
        <f aca="false">IF($A163="","",SUMIFS(月次実績!$D$5:$D$3004,月次実績!$B$5:$B$3004,$A163))</f>
        <v/>
      </c>
      <c r="S163" s="16" t="str">
        <f aca="false">IF($A163="","",SUMIFS(月次実績!$F$5:$F$3004,月次実績!$B$5:$B$3004,$A163))</f>
        <v/>
      </c>
      <c r="T163" s="19" t="str">
        <f aca="false">IF(OR($A163="",R163=0),"",S163/R163)</f>
        <v/>
      </c>
      <c r="U163" s="20" t="str">
        <f aca="false">IF($A163="","",SUMIFS(月次実績!$G$5:$G$3004,月次実績!$B$5:$B$3004,$A163))</f>
        <v/>
      </c>
      <c r="V163" s="17" t="str">
        <f aca="false">IF($A163="","",IF(Q163&gt;=設定!$C$7,"稼働中",IF(Q163&gt;=1,"低稼働","休眠")))</f>
        <v/>
      </c>
      <c r="W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15"/>
      <c r="H164" s="21"/>
      <c r="I164" s="15" t="str">
        <f aca="false">IF($A164="","",IF(_xlfn.MAXIFS(アクションログ!$A$5:$A$2004,アクションログ!$B$5:$B$2004,$A164)=0,"",_xlfn.MAXIFS(アクションログ!$A$5:$A$2004,アクションログ!$B$5:$B$2004,$A164)))</f>
        <v/>
      </c>
      <c r="J164" s="16" t="str">
        <f aca="false">IF(OR($A164="",I164=""),"",設定!$C$4-I164)</f>
        <v/>
      </c>
      <c r="K164" s="16" t="str">
        <f aca="false">IF($A164="","",IFERROR(INDEX(設定!$D$14:$D$17,MATCH(F164,設定!$B$14:$B$17,0)),""))</f>
        <v/>
      </c>
      <c r="L164" s="15" t="str">
        <f aca="false">IF(OR($A164="",K164=""),"",IF(I164="",設定!$C$4,I164+K164))</f>
        <v/>
      </c>
      <c r="M164" s="17" t="str">
        <f aca="false">IF($A164="","",IF(F164="","ランク未設定",IF(I164="","未接触",IF(設定!$C$4&gt;L164,"期限超過",IF(L164-設定!$C$4&lt;=設定!$C$8,"今週連絡","OK")))))</f>
        <v/>
      </c>
      <c r="N164" s="15" t="str">
        <f aca="false">IF($A164="","",IF(_xlfn.MINIFS(アクションログ!$J$5:$J$2004,アクションログ!$B$5:$B$2004,$A164,アクションログ!$K$5:$K$2004,"&lt;&gt;済",アクションログ!$J$5:$J$2004,"&gt;0")=0,"",_xlfn.MINIFS(アクションログ!$J$5:$J$2004,アクションログ!$B$5:$B$2004,$A164,アクションログ!$K$5:$K$2004,"&lt;&gt;済",アクションログ!$J$5:$J$2004,"&gt;0")))</f>
        <v/>
      </c>
      <c r="O164" s="18" t="str">
        <f aca="false">IF(N164="","",IFERROR(INDEX(アクションログ!$I$5:$I$2004,MATCH($A164&amp;"|"&amp;N164,アクションログ!$L$5:$L$2004,0)),""))</f>
        <v/>
      </c>
      <c r="P164" s="16" t="str">
        <f aca="false">IF($A164="","",COUNTIFS(アクションログ!$B$5:$B$2004,$A164,アクションログ!$A$5:$A$2004,"&gt;="&amp;設定!$C$5))</f>
        <v/>
      </c>
      <c r="Q164" s="16" t="str">
        <f aca="false">IF($A164="","",SUMIFS(月次実績!$D$5:$D$3004,月次実績!$B$5:$B$3004,$A164,月次実績!$A$5:$A$3004,"&gt;="&amp;EDATE(設定!$C$5,-(設定!$C$6-1))))</f>
        <v/>
      </c>
      <c r="R164" s="16" t="str">
        <f aca="false">IF($A164="","",SUMIFS(月次実績!$D$5:$D$3004,月次実績!$B$5:$B$3004,$A164))</f>
        <v/>
      </c>
      <c r="S164" s="16" t="str">
        <f aca="false">IF($A164="","",SUMIFS(月次実績!$F$5:$F$3004,月次実績!$B$5:$B$3004,$A164))</f>
        <v/>
      </c>
      <c r="T164" s="19" t="str">
        <f aca="false">IF(OR($A164="",R164=0),"",S164/R164)</f>
        <v/>
      </c>
      <c r="U164" s="20" t="str">
        <f aca="false">IF($A164="","",SUMIFS(月次実績!$G$5:$G$3004,月次実績!$B$5:$B$3004,$A164))</f>
        <v/>
      </c>
      <c r="V164" s="17" t="str">
        <f aca="false">IF($A164="","",IF(Q164&gt;=設定!$C$7,"稼働中",IF(Q164&gt;=1,"低稼働","休眠")))</f>
        <v/>
      </c>
      <c r="W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15"/>
      <c r="H165" s="21"/>
      <c r="I165" s="15" t="str">
        <f aca="false">IF($A165="","",IF(_xlfn.MAXIFS(アクションログ!$A$5:$A$2004,アクションログ!$B$5:$B$2004,$A165)=0,"",_xlfn.MAXIFS(アクションログ!$A$5:$A$2004,アクションログ!$B$5:$B$2004,$A165)))</f>
        <v/>
      </c>
      <c r="J165" s="16" t="str">
        <f aca="false">IF(OR($A165="",I165=""),"",設定!$C$4-I165)</f>
        <v/>
      </c>
      <c r="K165" s="16" t="str">
        <f aca="false">IF($A165="","",IFERROR(INDEX(設定!$D$14:$D$17,MATCH(F165,設定!$B$14:$B$17,0)),""))</f>
        <v/>
      </c>
      <c r="L165" s="15" t="str">
        <f aca="false">IF(OR($A165="",K165=""),"",IF(I165="",設定!$C$4,I165+K165))</f>
        <v/>
      </c>
      <c r="M165" s="17" t="str">
        <f aca="false">IF($A165="","",IF(F165="","ランク未設定",IF(I165="","未接触",IF(設定!$C$4&gt;L165,"期限超過",IF(L165-設定!$C$4&lt;=設定!$C$8,"今週連絡","OK")))))</f>
        <v/>
      </c>
      <c r="N165" s="15" t="str">
        <f aca="false">IF($A165="","",IF(_xlfn.MINIFS(アクションログ!$J$5:$J$2004,アクションログ!$B$5:$B$2004,$A165,アクションログ!$K$5:$K$2004,"&lt;&gt;済",アクションログ!$J$5:$J$2004,"&gt;0")=0,"",_xlfn.MINIFS(アクションログ!$J$5:$J$2004,アクションログ!$B$5:$B$2004,$A165,アクションログ!$K$5:$K$2004,"&lt;&gt;済",アクションログ!$J$5:$J$2004,"&gt;0")))</f>
        <v/>
      </c>
      <c r="O165" s="18" t="str">
        <f aca="false">IF(N165="","",IFERROR(INDEX(アクションログ!$I$5:$I$2004,MATCH($A165&amp;"|"&amp;N165,アクションログ!$L$5:$L$2004,0)),""))</f>
        <v/>
      </c>
      <c r="P165" s="16" t="str">
        <f aca="false">IF($A165="","",COUNTIFS(アクションログ!$B$5:$B$2004,$A165,アクションログ!$A$5:$A$2004,"&gt;="&amp;設定!$C$5))</f>
        <v/>
      </c>
      <c r="Q165" s="16" t="str">
        <f aca="false">IF($A165="","",SUMIFS(月次実績!$D$5:$D$3004,月次実績!$B$5:$B$3004,$A165,月次実績!$A$5:$A$3004,"&gt;="&amp;EDATE(設定!$C$5,-(設定!$C$6-1))))</f>
        <v/>
      </c>
      <c r="R165" s="16" t="str">
        <f aca="false">IF($A165="","",SUMIFS(月次実績!$D$5:$D$3004,月次実績!$B$5:$B$3004,$A165))</f>
        <v/>
      </c>
      <c r="S165" s="16" t="str">
        <f aca="false">IF($A165="","",SUMIFS(月次実績!$F$5:$F$3004,月次実績!$B$5:$B$3004,$A165))</f>
        <v/>
      </c>
      <c r="T165" s="19" t="str">
        <f aca="false">IF(OR($A165="",R165=0),"",S165/R165)</f>
        <v/>
      </c>
      <c r="U165" s="20" t="str">
        <f aca="false">IF($A165="","",SUMIFS(月次実績!$G$5:$G$3004,月次実績!$B$5:$B$3004,$A165))</f>
        <v/>
      </c>
      <c r="V165" s="17" t="str">
        <f aca="false">IF($A165="","",IF(Q165&gt;=設定!$C$7,"稼働中",IF(Q165&gt;=1,"低稼働","休眠")))</f>
        <v/>
      </c>
      <c r="W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15"/>
      <c r="H166" s="21"/>
      <c r="I166" s="15" t="str">
        <f aca="false">IF($A166="","",IF(_xlfn.MAXIFS(アクションログ!$A$5:$A$2004,アクションログ!$B$5:$B$2004,$A166)=0,"",_xlfn.MAXIFS(アクションログ!$A$5:$A$2004,アクションログ!$B$5:$B$2004,$A166)))</f>
        <v/>
      </c>
      <c r="J166" s="16" t="str">
        <f aca="false">IF(OR($A166="",I166=""),"",設定!$C$4-I166)</f>
        <v/>
      </c>
      <c r="K166" s="16" t="str">
        <f aca="false">IF($A166="","",IFERROR(INDEX(設定!$D$14:$D$17,MATCH(F166,設定!$B$14:$B$17,0)),""))</f>
        <v/>
      </c>
      <c r="L166" s="15" t="str">
        <f aca="false">IF(OR($A166="",K166=""),"",IF(I166="",設定!$C$4,I166+K166))</f>
        <v/>
      </c>
      <c r="M166" s="17" t="str">
        <f aca="false">IF($A166="","",IF(F166="","ランク未設定",IF(I166="","未接触",IF(設定!$C$4&gt;L166,"期限超過",IF(L166-設定!$C$4&lt;=設定!$C$8,"今週連絡","OK")))))</f>
        <v/>
      </c>
      <c r="N166" s="15" t="str">
        <f aca="false">IF($A166="","",IF(_xlfn.MINIFS(アクションログ!$J$5:$J$2004,アクションログ!$B$5:$B$2004,$A166,アクションログ!$K$5:$K$2004,"&lt;&gt;済",アクションログ!$J$5:$J$2004,"&gt;0")=0,"",_xlfn.MINIFS(アクションログ!$J$5:$J$2004,アクションログ!$B$5:$B$2004,$A166,アクションログ!$K$5:$K$2004,"&lt;&gt;済",アクションログ!$J$5:$J$2004,"&gt;0")))</f>
        <v/>
      </c>
      <c r="O166" s="18" t="str">
        <f aca="false">IF(N166="","",IFERROR(INDEX(アクションログ!$I$5:$I$2004,MATCH($A166&amp;"|"&amp;N166,アクションログ!$L$5:$L$2004,0)),""))</f>
        <v/>
      </c>
      <c r="P166" s="16" t="str">
        <f aca="false">IF($A166="","",COUNTIFS(アクションログ!$B$5:$B$2004,$A166,アクションログ!$A$5:$A$2004,"&gt;="&amp;設定!$C$5))</f>
        <v/>
      </c>
      <c r="Q166" s="16" t="str">
        <f aca="false">IF($A166="","",SUMIFS(月次実績!$D$5:$D$3004,月次実績!$B$5:$B$3004,$A166,月次実績!$A$5:$A$3004,"&gt;="&amp;EDATE(設定!$C$5,-(設定!$C$6-1))))</f>
        <v/>
      </c>
      <c r="R166" s="16" t="str">
        <f aca="false">IF($A166="","",SUMIFS(月次実績!$D$5:$D$3004,月次実績!$B$5:$B$3004,$A166))</f>
        <v/>
      </c>
      <c r="S166" s="16" t="str">
        <f aca="false">IF($A166="","",SUMIFS(月次実績!$F$5:$F$3004,月次実績!$B$5:$B$3004,$A166))</f>
        <v/>
      </c>
      <c r="T166" s="19" t="str">
        <f aca="false">IF(OR($A166="",R166=0),"",S166/R166)</f>
        <v/>
      </c>
      <c r="U166" s="20" t="str">
        <f aca="false">IF($A166="","",SUMIFS(月次実績!$G$5:$G$3004,月次実績!$B$5:$B$3004,$A166))</f>
        <v/>
      </c>
      <c r="V166" s="17" t="str">
        <f aca="false">IF($A166="","",IF(Q166&gt;=設定!$C$7,"稼働中",IF(Q166&gt;=1,"低稼働","休眠")))</f>
        <v/>
      </c>
      <c r="W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15"/>
      <c r="H167" s="21"/>
      <c r="I167" s="15" t="str">
        <f aca="false">IF($A167="","",IF(_xlfn.MAXIFS(アクションログ!$A$5:$A$2004,アクションログ!$B$5:$B$2004,$A167)=0,"",_xlfn.MAXIFS(アクションログ!$A$5:$A$2004,アクションログ!$B$5:$B$2004,$A167)))</f>
        <v/>
      </c>
      <c r="J167" s="16" t="str">
        <f aca="false">IF(OR($A167="",I167=""),"",設定!$C$4-I167)</f>
        <v/>
      </c>
      <c r="K167" s="16" t="str">
        <f aca="false">IF($A167="","",IFERROR(INDEX(設定!$D$14:$D$17,MATCH(F167,設定!$B$14:$B$17,0)),""))</f>
        <v/>
      </c>
      <c r="L167" s="15" t="str">
        <f aca="false">IF(OR($A167="",K167=""),"",IF(I167="",設定!$C$4,I167+K167))</f>
        <v/>
      </c>
      <c r="M167" s="17" t="str">
        <f aca="false">IF($A167="","",IF(F167="","ランク未設定",IF(I167="","未接触",IF(設定!$C$4&gt;L167,"期限超過",IF(L167-設定!$C$4&lt;=設定!$C$8,"今週連絡","OK")))))</f>
        <v/>
      </c>
      <c r="N167" s="15" t="str">
        <f aca="false">IF($A167="","",IF(_xlfn.MINIFS(アクションログ!$J$5:$J$2004,アクションログ!$B$5:$B$2004,$A167,アクションログ!$K$5:$K$2004,"&lt;&gt;済",アクションログ!$J$5:$J$2004,"&gt;0")=0,"",_xlfn.MINIFS(アクションログ!$J$5:$J$2004,アクションログ!$B$5:$B$2004,$A167,アクションログ!$K$5:$K$2004,"&lt;&gt;済",アクションログ!$J$5:$J$2004,"&gt;0")))</f>
        <v/>
      </c>
      <c r="O167" s="18" t="str">
        <f aca="false">IF(N167="","",IFERROR(INDEX(アクションログ!$I$5:$I$2004,MATCH($A167&amp;"|"&amp;N167,アクションログ!$L$5:$L$2004,0)),""))</f>
        <v/>
      </c>
      <c r="P167" s="16" t="str">
        <f aca="false">IF($A167="","",COUNTIFS(アクションログ!$B$5:$B$2004,$A167,アクションログ!$A$5:$A$2004,"&gt;="&amp;設定!$C$5))</f>
        <v/>
      </c>
      <c r="Q167" s="16" t="str">
        <f aca="false">IF($A167="","",SUMIFS(月次実績!$D$5:$D$3004,月次実績!$B$5:$B$3004,$A167,月次実績!$A$5:$A$3004,"&gt;="&amp;EDATE(設定!$C$5,-(設定!$C$6-1))))</f>
        <v/>
      </c>
      <c r="R167" s="16" t="str">
        <f aca="false">IF($A167="","",SUMIFS(月次実績!$D$5:$D$3004,月次実績!$B$5:$B$3004,$A167))</f>
        <v/>
      </c>
      <c r="S167" s="16" t="str">
        <f aca="false">IF($A167="","",SUMIFS(月次実績!$F$5:$F$3004,月次実績!$B$5:$B$3004,$A167))</f>
        <v/>
      </c>
      <c r="T167" s="19" t="str">
        <f aca="false">IF(OR($A167="",R167=0),"",S167/R167)</f>
        <v/>
      </c>
      <c r="U167" s="20" t="str">
        <f aca="false">IF($A167="","",SUMIFS(月次実績!$G$5:$G$3004,月次実績!$B$5:$B$3004,$A167))</f>
        <v/>
      </c>
      <c r="V167" s="17" t="str">
        <f aca="false">IF($A167="","",IF(Q167&gt;=設定!$C$7,"稼働中",IF(Q167&gt;=1,"低稼働","休眠")))</f>
        <v/>
      </c>
      <c r="W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15"/>
      <c r="H168" s="21"/>
      <c r="I168" s="15" t="str">
        <f aca="false">IF($A168="","",IF(_xlfn.MAXIFS(アクションログ!$A$5:$A$2004,アクションログ!$B$5:$B$2004,$A168)=0,"",_xlfn.MAXIFS(アクションログ!$A$5:$A$2004,アクションログ!$B$5:$B$2004,$A168)))</f>
        <v/>
      </c>
      <c r="J168" s="16" t="str">
        <f aca="false">IF(OR($A168="",I168=""),"",設定!$C$4-I168)</f>
        <v/>
      </c>
      <c r="K168" s="16" t="str">
        <f aca="false">IF($A168="","",IFERROR(INDEX(設定!$D$14:$D$17,MATCH(F168,設定!$B$14:$B$17,0)),""))</f>
        <v/>
      </c>
      <c r="L168" s="15" t="str">
        <f aca="false">IF(OR($A168="",K168=""),"",IF(I168="",設定!$C$4,I168+K168))</f>
        <v/>
      </c>
      <c r="M168" s="17" t="str">
        <f aca="false">IF($A168="","",IF(F168="","ランク未設定",IF(I168="","未接触",IF(設定!$C$4&gt;L168,"期限超過",IF(L168-設定!$C$4&lt;=設定!$C$8,"今週連絡","OK")))))</f>
        <v/>
      </c>
      <c r="N168" s="15" t="str">
        <f aca="false">IF($A168="","",IF(_xlfn.MINIFS(アクションログ!$J$5:$J$2004,アクションログ!$B$5:$B$2004,$A168,アクションログ!$K$5:$K$2004,"&lt;&gt;済",アクションログ!$J$5:$J$2004,"&gt;0")=0,"",_xlfn.MINIFS(アクションログ!$J$5:$J$2004,アクションログ!$B$5:$B$2004,$A168,アクションログ!$K$5:$K$2004,"&lt;&gt;済",アクションログ!$J$5:$J$2004,"&gt;0")))</f>
        <v/>
      </c>
      <c r="O168" s="18" t="str">
        <f aca="false">IF(N168="","",IFERROR(INDEX(アクションログ!$I$5:$I$2004,MATCH($A168&amp;"|"&amp;N168,アクションログ!$L$5:$L$2004,0)),""))</f>
        <v/>
      </c>
      <c r="P168" s="16" t="str">
        <f aca="false">IF($A168="","",COUNTIFS(アクションログ!$B$5:$B$2004,$A168,アクションログ!$A$5:$A$2004,"&gt;="&amp;設定!$C$5))</f>
        <v/>
      </c>
      <c r="Q168" s="16" t="str">
        <f aca="false">IF($A168="","",SUMIFS(月次実績!$D$5:$D$3004,月次実績!$B$5:$B$3004,$A168,月次実績!$A$5:$A$3004,"&gt;="&amp;EDATE(設定!$C$5,-(設定!$C$6-1))))</f>
        <v/>
      </c>
      <c r="R168" s="16" t="str">
        <f aca="false">IF($A168="","",SUMIFS(月次実績!$D$5:$D$3004,月次実績!$B$5:$B$3004,$A168))</f>
        <v/>
      </c>
      <c r="S168" s="16" t="str">
        <f aca="false">IF($A168="","",SUMIFS(月次実績!$F$5:$F$3004,月次実績!$B$5:$B$3004,$A168))</f>
        <v/>
      </c>
      <c r="T168" s="19" t="str">
        <f aca="false">IF(OR($A168="",R168=0),"",S168/R168)</f>
        <v/>
      </c>
      <c r="U168" s="20" t="str">
        <f aca="false">IF($A168="","",SUMIFS(月次実績!$G$5:$G$3004,月次実績!$B$5:$B$3004,$A168))</f>
        <v/>
      </c>
      <c r="V168" s="17" t="str">
        <f aca="false">IF($A168="","",IF(Q168&gt;=設定!$C$7,"稼働中",IF(Q168&gt;=1,"低稼働","休眠")))</f>
        <v/>
      </c>
      <c r="W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15"/>
      <c r="H169" s="21"/>
      <c r="I169" s="15" t="str">
        <f aca="false">IF($A169="","",IF(_xlfn.MAXIFS(アクションログ!$A$5:$A$2004,アクションログ!$B$5:$B$2004,$A169)=0,"",_xlfn.MAXIFS(アクションログ!$A$5:$A$2004,アクションログ!$B$5:$B$2004,$A169)))</f>
        <v/>
      </c>
      <c r="J169" s="16" t="str">
        <f aca="false">IF(OR($A169="",I169=""),"",設定!$C$4-I169)</f>
        <v/>
      </c>
      <c r="K169" s="16" t="str">
        <f aca="false">IF($A169="","",IFERROR(INDEX(設定!$D$14:$D$17,MATCH(F169,設定!$B$14:$B$17,0)),""))</f>
        <v/>
      </c>
      <c r="L169" s="15" t="str">
        <f aca="false">IF(OR($A169="",K169=""),"",IF(I169="",設定!$C$4,I169+K169))</f>
        <v/>
      </c>
      <c r="M169" s="17" t="str">
        <f aca="false">IF($A169="","",IF(F169="","ランク未設定",IF(I169="","未接触",IF(設定!$C$4&gt;L169,"期限超過",IF(L169-設定!$C$4&lt;=設定!$C$8,"今週連絡","OK")))))</f>
        <v/>
      </c>
      <c r="N169" s="15" t="str">
        <f aca="false">IF($A169="","",IF(_xlfn.MINIFS(アクションログ!$J$5:$J$2004,アクションログ!$B$5:$B$2004,$A169,アクションログ!$K$5:$K$2004,"&lt;&gt;済",アクションログ!$J$5:$J$2004,"&gt;0")=0,"",_xlfn.MINIFS(アクションログ!$J$5:$J$2004,アクションログ!$B$5:$B$2004,$A169,アクションログ!$K$5:$K$2004,"&lt;&gt;済",アクションログ!$J$5:$J$2004,"&gt;0")))</f>
        <v/>
      </c>
      <c r="O169" s="18" t="str">
        <f aca="false">IF(N169="","",IFERROR(INDEX(アクションログ!$I$5:$I$2004,MATCH($A169&amp;"|"&amp;N169,アクションログ!$L$5:$L$2004,0)),""))</f>
        <v/>
      </c>
      <c r="P169" s="16" t="str">
        <f aca="false">IF($A169="","",COUNTIFS(アクションログ!$B$5:$B$2004,$A169,アクションログ!$A$5:$A$2004,"&gt;="&amp;設定!$C$5))</f>
        <v/>
      </c>
      <c r="Q169" s="16" t="str">
        <f aca="false">IF($A169="","",SUMIFS(月次実績!$D$5:$D$3004,月次実績!$B$5:$B$3004,$A169,月次実績!$A$5:$A$3004,"&gt;="&amp;EDATE(設定!$C$5,-(設定!$C$6-1))))</f>
        <v/>
      </c>
      <c r="R169" s="16" t="str">
        <f aca="false">IF($A169="","",SUMIFS(月次実績!$D$5:$D$3004,月次実績!$B$5:$B$3004,$A169))</f>
        <v/>
      </c>
      <c r="S169" s="16" t="str">
        <f aca="false">IF($A169="","",SUMIFS(月次実績!$F$5:$F$3004,月次実績!$B$5:$B$3004,$A169))</f>
        <v/>
      </c>
      <c r="T169" s="19" t="str">
        <f aca="false">IF(OR($A169="",R169=0),"",S169/R169)</f>
        <v/>
      </c>
      <c r="U169" s="20" t="str">
        <f aca="false">IF($A169="","",SUMIFS(月次実績!$G$5:$G$3004,月次実績!$B$5:$B$3004,$A169))</f>
        <v/>
      </c>
      <c r="V169" s="17" t="str">
        <f aca="false">IF($A169="","",IF(Q169&gt;=設定!$C$7,"稼働中",IF(Q169&gt;=1,"低稼働","休眠")))</f>
        <v/>
      </c>
      <c r="W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15"/>
      <c r="H170" s="21"/>
      <c r="I170" s="15" t="str">
        <f aca="false">IF($A170="","",IF(_xlfn.MAXIFS(アクションログ!$A$5:$A$2004,アクションログ!$B$5:$B$2004,$A170)=0,"",_xlfn.MAXIFS(アクションログ!$A$5:$A$2004,アクションログ!$B$5:$B$2004,$A170)))</f>
        <v/>
      </c>
      <c r="J170" s="16" t="str">
        <f aca="false">IF(OR($A170="",I170=""),"",設定!$C$4-I170)</f>
        <v/>
      </c>
      <c r="K170" s="16" t="str">
        <f aca="false">IF($A170="","",IFERROR(INDEX(設定!$D$14:$D$17,MATCH(F170,設定!$B$14:$B$17,0)),""))</f>
        <v/>
      </c>
      <c r="L170" s="15" t="str">
        <f aca="false">IF(OR($A170="",K170=""),"",IF(I170="",設定!$C$4,I170+K170))</f>
        <v/>
      </c>
      <c r="M170" s="17" t="str">
        <f aca="false">IF($A170="","",IF(F170="","ランク未設定",IF(I170="","未接触",IF(設定!$C$4&gt;L170,"期限超過",IF(L170-設定!$C$4&lt;=設定!$C$8,"今週連絡","OK")))))</f>
        <v/>
      </c>
      <c r="N170" s="15" t="str">
        <f aca="false">IF($A170="","",IF(_xlfn.MINIFS(アクションログ!$J$5:$J$2004,アクションログ!$B$5:$B$2004,$A170,アクションログ!$K$5:$K$2004,"&lt;&gt;済",アクションログ!$J$5:$J$2004,"&gt;0")=0,"",_xlfn.MINIFS(アクションログ!$J$5:$J$2004,アクションログ!$B$5:$B$2004,$A170,アクションログ!$K$5:$K$2004,"&lt;&gt;済",アクションログ!$J$5:$J$2004,"&gt;0")))</f>
        <v/>
      </c>
      <c r="O170" s="18" t="str">
        <f aca="false">IF(N170="","",IFERROR(INDEX(アクションログ!$I$5:$I$2004,MATCH($A170&amp;"|"&amp;N170,アクションログ!$L$5:$L$2004,0)),""))</f>
        <v/>
      </c>
      <c r="P170" s="16" t="str">
        <f aca="false">IF($A170="","",COUNTIFS(アクションログ!$B$5:$B$2004,$A170,アクションログ!$A$5:$A$2004,"&gt;="&amp;設定!$C$5))</f>
        <v/>
      </c>
      <c r="Q170" s="16" t="str">
        <f aca="false">IF($A170="","",SUMIFS(月次実績!$D$5:$D$3004,月次実績!$B$5:$B$3004,$A170,月次実績!$A$5:$A$3004,"&gt;="&amp;EDATE(設定!$C$5,-(設定!$C$6-1))))</f>
        <v/>
      </c>
      <c r="R170" s="16" t="str">
        <f aca="false">IF($A170="","",SUMIFS(月次実績!$D$5:$D$3004,月次実績!$B$5:$B$3004,$A170))</f>
        <v/>
      </c>
      <c r="S170" s="16" t="str">
        <f aca="false">IF($A170="","",SUMIFS(月次実績!$F$5:$F$3004,月次実績!$B$5:$B$3004,$A170))</f>
        <v/>
      </c>
      <c r="T170" s="19" t="str">
        <f aca="false">IF(OR($A170="",R170=0),"",S170/R170)</f>
        <v/>
      </c>
      <c r="U170" s="20" t="str">
        <f aca="false">IF($A170="","",SUMIFS(月次実績!$G$5:$G$3004,月次実績!$B$5:$B$3004,$A170))</f>
        <v/>
      </c>
      <c r="V170" s="17" t="str">
        <f aca="false">IF($A170="","",IF(Q170&gt;=設定!$C$7,"稼働中",IF(Q170&gt;=1,"低稼働","休眠")))</f>
        <v/>
      </c>
      <c r="W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15"/>
      <c r="H171" s="21"/>
      <c r="I171" s="15" t="str">
        <f aca="false">IF($A171="","",IF(_xlfn.MAXIFS(アクションログ!$A$5:$A$2004,アクションログ!$B$5:$B$2004,$A171)=0,"",_xlfn.MAXIFS(アクションログ!$A$5:$A$2004,アクションログ!$B$5:$B$2004,$A171)))</f>
        <v/>
      </c>
      <c r="J171" s="16" t="str">
        <f aca="false">IF(OR($A171="",I171=""),"",設定!$C$4-I171)</f>
        <v/>
      </c>
      <c r="K171" s="16" t="str">
        <f aca="false">IF($A171="","",IFERROR(INDEX(設定!$D$14:$D$17,MATCH(F171,設定!$B$14:$B$17,0)),""))</f>
        <v/>
      </c>
      <c r="L171" s="15" t="str">
        <f aca="false">IF(OR($A171="",K171=""),"",IF(I171="",設定!$C$4,I171+K171))</f>
        <v/>
      </c>
      <c r="M171" s="17" t="str">
        <f aca="false">IF($A171="","",IF(F171="","ランク未設定",IF(I171="","未接触",IF(設定!$C$4&gt;L171,"期限超過",IF(L171-設定!$C$4&lt;=設定!$C$8,"今週連絡","OK")))))</f>
        <v/>
      </c>
      <c r="N171" s="15" t="str">
        <f aca="false">IF($A171="","",IF(_xlfn.MINIFS(アクションログ!$J$5:$J$2004,アクションログ!$B$5:$B$2004,$A171,アクションログ!$K$5:$K$2004,"&lt;&gt;済",アクションログ!$J$5:$J$2004,"&gt;0")=0,"",_xlfn.MINIFS(アクションログ!$J$5:$J$2004,アクションログ!$B$5:$B$2004,$A171,アクションログ!$K$5:$K$2004,"&lt;&gt;済",アクションログ!$J$5:$J$2004,"&gt;0")))</f>
        <v/>
      </c>
      <c r="O171" s="18" t="str">
        <f aca="false">IF(N171="","",IFERROR(INDEX(アクションログ!$I$5:$I$2004,MATCH($A171&amp;"|"&amp;N171,アクションログ!$L$5:$L$2004,0)),""))</f>
        <v/>
      </c>
      <c r="P171" s="16" t="str">
        <f aca="false">IF($A171="","",COUNTIFS(アクションログ!$B$5:$B$2004,$A171,アクションログ!$A$5:$A$2004,"&gt;="&amp;設定!$C$5))</f>
        <v/>
      </c>
      <c r="Q171" s="16" t="str">
        <f aca="false">IF($A171="","",SUMIFS(月次実績!$D$5:$D$3004,月次実績!$B$5:$B$3004,$A171,月次実績!$A$5:$A$3004,"&gt;="&amp;EDATE(設定!$C$5,-(設定!$C$6-1))))</f>
        <v/>
      </c>
      <c r="R171" s="16" t="str">
        <f aca="false">IF($A171="","",SUMIFS(月次実績!$D$5:$D$3004,月次実績!$B$5:$B$3004,$A171))</f>
        <v/>
      </c>
      <c r="S171" s="16" t="str">
        <f aca="false">IF($A171="","",SUMIFS(月次実績!$F$5:$F$3004,月次実績!$B$5:$B$3004,$A171))</f>
        <v/>
      </c>
      <c r="T171" s="19" t="str">
        <f aca="false">IF(OR($A171="",R171=0),"",S171/R171)</f>
        <v/>
      </c>
      <c r="U171" s="20" t="str">
        <f aca="false">IF($A171="","",SUMIFS(月次実績!$G$5:$G$3004,月次実績!$B$5:$B$3004,$A171))</f>
        <v/>
      </c>
      <c r="V171" s="17" t="str">
        <f aca="false">IF($A171="","",IF(Q171&gt;=設定!$C$7,"稼働中",IF(Q171&gt;=1,"低稼働","休眠")))</f>
        <v/>
      </c>
      <c r="W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15"/>
      <c r="H172" s="21"/>
      <c r="I172" s="15" t="str">
        <f aca="false">IF($A172="","",IF(_xlfn.MAXIFS(アクションログ!$A$5:$A$2004,アクションログ!$B$5:$B$2004,$A172)=0,"",_xlfn.MAXIFS(アクションログ!$A$5:$A$2004,アクションログ!$B$5:$B$2004,$A172)))</f>
        <v/>
      </c>
      <c r="J172" s="16" t="str">
        <f aca="false">IF(OR($A172="",I172=""),"",設定!$C$4-I172)</f>
        <v/>
      </c>
      <c r="K172" s="16" t="str">
        <f aca="false">IF($A172="","",IFERROR(INDEX(設定!$D$14:$D$17,MATCH(F172,設定!$B$14:$B$17,0)),""))</f>
        <v/>
      </c>
      <c r="L172" s="15" t="str">
        <f aca="false">IF(OR($A172="",K172=""),"",IF(I172="",設定!$C$4,I172+K172))</f>
        <v/>
      </c>
      <c r="M172" s="17" t="str">
        <f aca="false">IF($A172="","",IF(F172="","ランク未設定",IF(I172="","未接触",IF(設定!$C$4&gt;L172,"期限超過",IF(L172-設定!$C$4&lt;=設定!$C$8,"今週連絡","OK")))))</f>
        <v/>
      </c>
      <c r="N172" s="15" t="str">
        <f aca="false">IF($A172="","",IF(_xlfn.MINIFS(アクションログ!$J$5:$J$2004,アクションログ!$B$5:$B$2004,$A172,アクションログ!$K$5:$K$2004,"&lt;&gt;済",アクションログ!$J$5:$J$2004,"&gt;0")=0,"",_xlfn.MINIFS(アクションログ!$J$5:$J$2004,アクションログ!$B$5:$B$2004,$A172,アクションログ!$K$5:$K$2004,"&lt;&gt;済",アクションログ!$J$5:$J$2004,"&gt;0")))</f>
        <v/>
      </c>
      <c r="O172" s="18" t="str">
        <f aca="false">IF(N172="","",IFERROR(INDEX(アクションログ!$I$5:$I$2004,MATCH($A172&amp;"|"&amp;N172,アクションログ!$L$5:$L$2004,0)),""))</f>
        <v/>
      </c>
      <c r="P172" s="16" t="str">
        <f aca="false">IF($A172="","",COUNTIFS(アクションログ!$B$5:$B$2004,$A172,アクションログ!$A$5:$A$2004,"&gt;="&amp;設定!$C$5))</f>
        <v/>
      </c>
      <c r="Q172" s="16" t="str">
        <f aca="false">IF($A172="","",SUMIFS(月次実績!$D$5:$D$3004,月次実績!$B$5:$B$3004,$A172,月次実績!$A$5:$A$3004,"&gt;="&amp;EDATE(設定!$C$5,-(設定!$C$6-1))))</f>
        <v/>
      </c>
      <c r="R172" s="16" t="str">
        <f aca="false">IF($A172="","",SUMIFS(月次実績!$D$5:$D$3004,月次実績!$B$5:$B$3004,$A172))</f>
        <v/>
      </c>
      <c r="S172" s="16" t="str">
        <f aca="false">IF($A172="","",SUMIFS(月次実績!$F$5:$F$3004,月次実績!$B$5:$B$3004,$A172))</f>
        <v/>
      </c>
      <c r="T172" s="19" t="str">
        <f aca="false">IF(OR($A172="",R172=0),"",S172/R172)</f>
        <v/>
      </c>
      <c r="U172" s="20" t="str">
        <f aca="false">IF($A172="","",SUMIFS(月次実績!$G$5:$G$3004,月次実績!$B$5:$B$3004,$A172))</f>
        <v/>
      </c>
      <c r="V172" s="17" t="str">
        <f aca="false">IF($A172="","",IF(Q172&gt;=設定!$C$7,"稼働中",IF(Q172&gt;=1,"低稼働","休眠")))</f>
        <v/>
      </c>
      <c r="W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15"/>
      <c r="H173" s="21"/>
      <c r="I173" s="15" t="str">
        <f aca="false">IF($A173="","",IF(_xlfn.MAXIFS(アクションログ!$A$5:$A$2004,アクションログ!$B$5:$B$2004,$A173)=0,"",_xlfn.MAXIFS(アクションログ!$A$5:$A$2004,アクションログ!$B$5:$B$2004,$A173)))</f>
        <v/>
      </c>
      <c r="J173" s="16" t="str">
        <f aca="false">IF(OR($A173="",I173=""),"",設定!$C$4-I173)</f>
        <v/>
      </c>
      <c r="K173" s="16" t="str">
        <f aca="false">IF($A173="","",IFERROR(INDEX(設定!$D$14:$D$17,MATCH(F173,設定!$B$14:$B$17,0)),""))</f>
        <v/>
      </c>
      <c r="L173" s="15" t="str">
        <f aca="false">IF(OR($A173="",K173=""),"",IF(I173="",設定!$C$4,I173+K173))</f>
        <v/>
      </c>
      <c r="M173" s="17" t="str">
        <f aca="false">IF($A173="","",IF(F173="","ランク未設定",IF(I173="","未接触",IF(設定!$C$4&gt;L173,"期限超過",IF(L173-設定!$C$4&lt;=設定!$C$8,"今週連絡","OK")))))</f>
        <v/>
      </c>
      <c r="N173" s="15" t="str">
        <f aca="false">IF($A173="","",IF(_xlfn.MINIFS(アクションログ!$J$5:$J$2004,アクションログ!$B$5:$B$2004,$A173,アクションログ!$K$5:$K$2004,"&lt;&gt;済",アクションログ!$J$5:$J$2004,"&gt;0")=0,"",_xlfn.MINIFS(アクションログ!$J$5:$J$2004,アクションログ!$B$5:$B$2004,$A173,アクションログ!$K$5:$K$2004,"&lt;&gt;済",アクションログ!$J$5:$J$2004,"&gt;0")))</f>
        <v/>
      </c>
      <c r="O173" s="18" t="str">
        <f aca="false">IF(N173="","",IFERROR(INDEX(アクションログ!$I$5:$I$2004,MATCH($A173&amp;"|"&amp;N173,アクションログ!$L$5:$L$2004,0)),""))</f>
        <v/>
      </c>
      <c r="P173" s="16" t="str">
        <f aca="false">IF($A173="","",COUNTIFS(アクションログ!$B$5:$B$2004,$A173,アクションログ!$A$5:$A$2004,"&gt;="&amp;設定!$C$5))</f>
        <v/>
      </c>
      <c r="Q173" s="16" t="str">
        <f aca="false">IF($A173="","",SUMIFS(月次実績!$D$5:$D$3004,月次実績!$B$5:$B$3004,$A173,月次実績!$A$5:$A$3004,"&gt;="&amp;EDATE(設定!$C$5,-(設定!$C$6-1))))</f>
        <v/>
      </c>
      <c r="R173" s="16" t="str">
        <f aca="false">IF($A173="","",SUMIFS(月次実績!$D$5:$D$3004,月次実績!$B$5:$B$3004,$A173))</f>
        <v/>
      </c>
      <c r="S173" s="16" t="str">
        <f aca="false">IF($A173="","",SUMIFS(月次実績!$F$5:$F$3004,月次実績!$B$5:$B$3004,$A173))</f>
        <v/>
      </c>
      <c r="T173" s="19" t="str">
        <f aca="false">IF(OR($A173="",R173=0),"",S173/R173)</f>
        <v/>
      </c>
      <c r="U173" s="20" t="str">
        <f aca="false">IF($A173="","",SUMIFS(月次実績!$G$5:$G$3004,月次実績!$B$5:$B$3004,$A173))</f>
        <v/>
      </c>
      <c r="V173" s="17" t="str">
        <f aca="false">IF($A173="","",IF(Q173&gt;=設定!$C$7,"稼働中",IF(Q173&gt;=1,"低稼働","休眠")))</f>
        <v/>
      </c>
      <c r="W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15"/>
      <c r="H174" s="21"/>
      <c r="I174" s="15" t="str">
        <f aca="false">IF($A174="","",IF(_xlfn.MAXIFS(アクションログ!$A$5:$A$2004,アクションログ!$B$5:$B$2004,$A174)=0,"",_xlfn.MAXIFS(アクションログ!$A$5:$A$2004,アクションログ!$B$5:$B$2004,$A174)))</f>
        <v/>
      </c>
      <c r="J174" s="16" t="str">
        <f aca="false">IF(OR($A174="",I174=""),"",設定!$C$4-I174)</f>
        <v/>
      </c>
      <c r="K174" s="16" t="str">
        <f aca="false">IF($A174="","",IFERROR(INDEX(設定!$D$14:$D$17,MATCH(F174,設定!$B$14:$B$17,0)),""))</f>
        <v/>
      </c>
      <c r="L174" s="15" t="str">
        <f aca="false">IF(OR($A174="",K174=""),"",IF(I174="",設定!$C$4,I174+K174))</f>
        <v/>
      </c>
      <c r="M174" s="17" t="str">
        <f aca="false">IF($A174="","",IF(F174="","ランク未設定",IF(I174="","未接触",IF(設定!$C$4&gt;L174,"期限超過",IF(L174-設定!$C$4&lt;=設定!$C$8,"今週連絡","OK")))))</f>
        <v/>
      </c>
      <c r="N174" s="15" t="str">
        <f aca="false">IF($A174="","",IF(_xlfn.MINIFS(アクションログ!$J$5:$J$2004,アクションログ!$B$5:$B$2004,$A174,アクションログ!$K$5:$K$2004,"&lt;&gt;済",アクションログ!$J$5:$J$2004,"&gt;0")=0,"",_xlfn.MINIFS(アクションログ!$J$5:$J$2004,アクションログ!$B$5:$B$2004,$A174,アクションログ!$K$5:$K$2004,"&lt;&gt;済",アクションログ!$J$5:$J$2004,"&gt;0")))</f>
        <v/>
      </c>
      <c r="O174" s="18" t="str">
        <f aca="false">IF(N174="","",IFERROR(INDEX(アクションログ!$I$5:$I$2004,MATCH($A174&amp;"|"&amp;N174,アクションログ!$L$5:$L$2004,0)),""))</f>
        <v/>
      </c>
      <c r="P174" s="16" t="str">
        <f aca="false">IF($A174="","",COUNTIFS(アクションログ!$B$5:$B$2004,$A174,アクションログ!$A$5:$A$2004,"&gt;="&amp;設定!$C$5))</f>
        <v/>
      </c>
      <c r="Q174" s="16" t="str">
        <f aca="false">IF($A174="","",SUMIFS(月次実績!$D$5:$D$3004,月次実績!$B$5:$B$3004,$A174,月次実績!$A$5:$A$3004,"&gt;="&amp;EDATE(設定!$C$5,-(設定!$C$6-1))))</f>
        <v/>
      </c>
      <c r="R174" s="16" t="str">
        <f aca="false">IF($A174="","",SUMIFS(月次実績!$D$5:$D$3004,月次実績!$B$5:$B$3004,$A174))</f>
        <v/>
      </c>
      <c r="S174" s="16" t="str">
        <f aca="false">IF($A174="","",SUMIFS(月次実績!$F$5:$F$3004,月次実績!$B$5:$B$3004,$A174))</f>
        <v/>
      </c>
      <c r="T174" s="19" t="str">
        <f aca="false">IF(OR($A174="",R174=0),"",S174/R174)</f>
        <v/>
      </c>
      <c r="U174" s="20" t="str">
        <f aca="false">IF($A174="","",SUMIFS(月次実績!$G$5:$G$3004,月次実績!$B$5:$B$3004,$A174))</f>
        <v/>
      </c>
      <c r="V174" s="17" t="str">
        <f aca="false">IF($A174="","",IF(Q174&gt;=設定!$C$7,"稼働中",IF(Q174&gt;=1,"低稼働","休眠")))</f>
        <v/>
      </c>
      <c r="W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15"/>
      <c r="H175" s="21"/>
      <c r="I175" s="15" t="str">
        <f aca="false">IF($A175="","",IF(_xlfn.MAXIFS(アクションログ!$A$5:$A$2004,アクションログ!$B$5:$B$2004,$A175)=0,"",_xlfn.MAXIFS(アクションログ!$A$5:$A$2004,アクションログ!$B$5:$B$2004,$A175)))</f>
        <v/>
      </c>
      <c r="J175" s="16" t="str">
        <f aca="false">IF(OR($A175="",I175=""),"",設定!$C$4-I175)</f>
        <v/>
      </c>
      <c r="K175" s="16" t="str">
        <f aca="false">IF($A175="","",IFERROR(INDEX(設定!$D$14:$D$17,MATCH(F175,設定!$B$14:$B$17,0)),""))</f>
        <v/>
      </c>
      <c r="L175" s="15" t="str">
        <f aca="false">IF(OR($A175="",K175=""),"",IF(I175="",設定!$C$4,I175+K175))</f>
        <v/>
      </c>
      <c r="M175" s="17" t="str">
        <f aca="false">IF($A175="","",IF(F175="","ランク未設定",IF(I175="","未接触",IF(設定!$C$4&gt;L175,"期限超過",IF(L175-設定!$C$4&lt;=設定!$C$8,"今週連絡","OK")))))</f>
        <v/>
      </c>
      <c r="N175" s="15" t="str">
        <f aca="false">IF($A175="","",IF(_xlfn.MINIFS(アクションログ!$J$5:$J$2004,アクションログ!$B$5:$B$2004,$A175,アクションログ!$K$5:$K$2004,"&lt;&gt;済",アクションログ!$J$5:$J$2004,"&gt;0")=0,"",_xlfn.MINIFS(アクションログ!$J$5:$J$2004,アクションログ!$B$5:$B$2004,$A175,アクションログ!$K$5:$K$2004,"&lt;&gt;済",アクションログ!$J$5:$J$2004,"&gt;0")))</f>
        <v/>
      </c>
      <c r="O175" s="18" t="str">
        <f aca="false">IF(N175="","",IFERROR(INDEX(アクションログ!$I$5:$I$2004,MATCH($A175&amp;"|"&amp;N175,アクションログ!$L$5:$L$2004,0)),""))</f>
        <v/>
      </c>
      <c r="P175" s="16" t="str">
        <f aca="false">IF($A175="","",COUNTIFS(アクションログ!$B$5:$B$2004,$A175,アクションログ!$A$5:$A$2004,"&gt;="&amp;設定!$C$5))</f>
        <v/>
      </c>
      <c r="Q175" s="16" t="str">
        <f aca="false">IF($A175="","",SUMIFS(月次実績!$D$5:$D$3004,月次実績!$B$5:$B$3004,$A175,月次実績!$A$5:$A$3004,"&gt;="&amp;EDATE(設定!$C$5,-(設定!$C$6-1))))</f>
        <v/>
      </c>
      <c r="R175" s="16" t="str">
        <f aca="false">IF($A175="","",SUMIFS(月次実績!$D$5:$D$3004,月次実績!$B$5:$B$3004,$A175))</f>
        <v/>
      </c>
      <c r="S175" s="16" t="str">
        <f aca="false">IF($A175="","",SUMIFS(月次実績!$F$5:$F$3004,月次実績!$B$5:$B$3004,$A175))</f>
        <v/>
      </c>
      <c r="T175" s="19" t="str">
        <f aca="false">IF(OR($A175="",R175=0),"",S175/R175)</f>
        <v/>
      </c>
      <c r="U175" s="20" t="str">
        <f aca="false">IF($A175="","",SUMIFS(月次実績!$G$5:$G$3004,月次実績!$B$5:$B$3004,$A175))</f>
        <v/>
      </c>
      <c r="V175" s="17" t="str">
        <f aca="false">IF($A175="","",IF(Q175&gt;=設定!$C$7,"稼働中",IF(Q175&gt;=1,"低稼働","休眠")))</f>
        <v/>
      </c>
      <c r="W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15"/>
      <c r="H176" s="21"/>
      <c r="I176" s="15" t="str">
        <f aca="false">IF($A176="","",IF(_xlfn.MAXIFS(アクションログ!$A$5:$A$2004,アクションログ!$B$5:$B$2004,$A176)=0,"",_xlfn.MAXIFS(アクションログ!$A$5:$A$2004,アクションログ!$B$5:$B$2004,$A176)))</f>
        <v/>
      </c>
      <c r="J176" s="16" t="str">
        <f aca="false">IF(OR($A176="",I176=""),"",設定!$C$4-I176)</f>
        <v/>
      </c>
      <c r="K176" s="16" t="str">
        <f aca="false">IF($A176="","",IFERROR(INDEX(設定!$D$14:$D$17,MATCH(F176,設定!$B$14:$B$17,0)),""))</f>
        <v/>
      </c>
      <c r="L176" s="15" t="str">
        <f aca="false">IF(OR($A176="",K176=""),"",IF(I176="",設定!$C$4,I176+K176))</f>
        <v/>
      </c>
      <c r="M176" s="17" t="str">
        <f aca="false">IF($A176="","",IF(F176="","ランク未設定",IF(I176="","未接触",IF(設定!$C$4&gt;L176,"期限超過",IF(L176-設定!$C$4&lt;=設定!$C$8,"今週連絡","OK")))))</f>
        <v/>
      </c>
      <c r="N176" s="15" t="str">
        <f aca="false">IF($A176="","",IF(_xlfn.MINIFS(アクションログ!$J$5:$J$2004,アクションログ!$B$5:$B$2004,$A176,アクションログ!$K$5:$K$2004,"&lt;&gt;済",アクションログ!$J$5:$J$2004,"&gt;0")=0,"",_xlfn.MINIFS(アクションログ!$J$5:$J$2004,アクションログ!$B$5:$B$2004,$A176,アクションログ!$K$5:$K$2004,"&lt;&gt;済",アクションログ!$J$5:$J$2004,"&gt;0")))</f>
        <v/>
      </c>
      <c r="O176" s="18" t="str">
        <f aca="false">IF(N176="","",IFERROR(INDEX(アクションログ!$I$5:$I$2004,MATCH($A176&amp;"|"&amp;N176,アクションログ!$L$5:$L$2004,0)),""))</f>
        <v/>
      </c>
      <c r="P176" s="16" t="str">
        <f aca="false">IF($A176="","",COUNTIFS(アクションログ!$B$5:$B$2004,$A176,アクションログ!$A$5:$A$2004,"&gt;="&amp;設定!$C$5))</f>
        <v/>
      </c>
      <c r="Q176" s="16" t="str">
        <f aca="false">IF($A176="","",SUMIFS(月次実績!$D$5:$D$3004,月次実績!$B$5:$B$3004,$A176,月次実績!$A$5:$A$3004,"&gt;="&amp;EDATE(設定!$C$5,-(設定!$C$6-1))))</f>
        <v/>
      </c>
      <c r="R176" s="16" t="str">
        <f aca="false">IF($A176="","",SUMIFS(月次実績!$D$5:$D$3004,月次実績!$B$5:$B$3004,$A176))</f>
        <v/>
      </c>
      <c r="S176" s="16" t="str">
        <f aca="false">IF($A176="","",SUMIFS(月次実績!$F$5:$F$3004,月次実績!$B$5:$B$3004,$A176))</f>
        <v/>
      </c>
      <c r="T176" s="19" t="str">
        <f aca="false">IF(OR($A176="",R176=0),"",S176/R176)</f>
        <v/>
      </c>
      <c r="U176" s="20" t="str">
        <f aca="false">IF($A176="","",SUMIFS(月次実績!$G$5:$G$3004,月次実績!$B$5:$B$3004,$A176))</f>
        <v/>
      </c>
      <c r="V176" s="17" t="str">
        <f aca="false">IF($A176="","",IF(Q176&gt;=設定!$C$7,"稼働中",IF(Q176&gt;=1,"低稼働","休眠")))</f>
        <v/>
      </c>
      <c r="W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15"/>
      <c r="H177" s="21"/>
      <c r="I177" s="15" t="str">
        <f aca="false">IF($A177="","",IF(_xlfn.MAXIFS(アクションログ!$A$5:$A$2004,アクションログ!$B$5:$B$2004,$A177)=0,"",_xlfn.MAXIFS(アクションログ!$A$5:$A$2004,アクションログ!$B$5:$B$2004,$A177)))</f>
        <v/>
      </c>
      <c r="J177" s="16" t="str">
        <f aca="false">IF(OR($A177="",I177=""),"",設定!$C$4-I177)</f>
        <v/>
      </c>
      <c r="K177" s="16" t="str">
        <f aca="false">IF($A177="","",IFERROR(INDEX(設定!$D$14:$D$17,MATCH(F177,設定!$B$14:$B$17,0)),""))</f>
        <v/>
      </c>
      <c r="L177" s="15" t="str">
        <f aca="false">IF(OR($A177="",K177=""),"",IF(I177="",設定!$C$4,I177+K177))</f>
        <v/>
      </c>
      <c r="M177" s="17" t="str">
        <f aca="false">IF($A177="","",IF(F177="","ランク未設定",IF(I177="","未接触",IF(設定!$C$4&gt;L177,"期限超過",IF(L177-設定!$C$4&lt;=設定!$C$8,"今週連絡","OK")))))</f>
        <v/>
      </c>
      <c r="N177" s="15" t="str">
        <f aca="false">IF($A177="","",IF(_xlfn.MINIFS(アクションログ!$J$5:$J$2004,アクションログ!$B$5:$B$2004,$A177,アクションログ!$K$5:$K$2004,"&lt;&gt;済",アクションログ!$J$5:$J$2004,"&gt;0")=0,"",_xlfn.MINIFS(アクションログ!$J$5:$J$2004,アクションログ!$B$5:$B$2004,$A177,アクションログ!$K$5:$K$2004,"&lt;&gt;済",アクションログ!$J$5:$J$2004,"&gt;0")))</f>
        <v/>
      </c>
      <c r="O177" s="18" t="str">
        <f aca="false">IF(N177="","",IFERROR(INDEX(アクションログ!$I$5:$I$2004,MATCH($A177&amp;"|"&amp;N177,アクションログ!$L$5:$L$2004,0)),""))</f>
        <v/>
      </c>
      <c r="P177" s="16" t="str">
        <f aca="false">IF($A177="","",COUNTIFS(アクションログ!$B$5:$B$2004,$A177,アクションログ!$A$5:$A$2004,"&gt;="&amp;設定!$C$5))</f>
        <v/>
      </c>
      <c r="Q177" s="16" t="str">
        <f aca="false">IF($A177="","",SUMIFS(月次実績!$D$5:$D$3004,月次実績!$B$5:$B$3004,$A177,月次実績!$A$5:$A$3004,"&gt;="&amp;EDATE(設定!$C$5,-(設定!$C$6-1))))</f>
        <v/>
      </c>
      <c r="R177" s="16" t="str">
        <f aca="false">IF($A177="","",SUMIFS(月次実績!$D$5:$D$3004,月次実績!$B$5:$B$3004,$A177))</f>
        <v/>
      </c>
      <c r="S177" s="16" t="str">
        <f aca="false">IF($A177="","",SUMIFS(月次実績!$F$5:$F$3004,月次実績!$B$5:$B$3004,$A177))</f>
        <v/>
      </c>
      <c r="T177" s="19" t="str">
        <f aca="false">IF(OR($A177="",R177=0),"",S177/R177)</f>
        <v/>
      </c>
      <c r="U177" s="20" t="str">
        <f aca="false">IF($A177="","",SUMIFS(月次実績!$G$5:$G$3004,月次実績!$B$5:$B$3004,$A177))</f>
        <v/>
      </c>
      <c r="V177" s="17" t="str">
        <f aca="false">IF($A177="","",IF(Q177&gt;=設定!$C$7,"稼働中",IF(Q177&gt;=1,"低稼働","休眠")))</f>
        <v/>
      </c>
      <c r="W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15"/>
      <c r="H178" s="21"/>
      <c r="I178" s="15" t="str">
        <f aca="false">IF($A178="","",IF(_xlfn.MAXIFS(アクションログ!$A$5:$A$2004,アクションログ!$B$5:$B$2004,$A178)=0,"",_xlfn.MAXIFS(アクションログ!$A$5:$A$2004,アクションログ!$B$5:$B$2004,$A178)))</f>
        <v/>
      </c>
      <c r="J178" s="16" t="str">
        <f aca="false">IF(OR($A178="",I178=""),"",設定!$C$4-I178)</f>
        <v/>
      </c>
      <c r="K178" s="16" t="str">
        <f aca="false">IF($A178="","",IFERROR(INDEX(設定!$D$14:$D$17,MATCH(F178,設定!$B$14:$B$17,0)),""))</f>
        <v/>
      </c>
      <c r="L178" s="15" t="str">
        <f aca="false">IF(OR($A178="",K178=""),"",IF(I178="",設定!$C$4,I178+K178))</f>
        <v/>
      </c>
      <c r="M178" s="17" t="str">
        <f aca="false">IF($A178="","",IF(F178="","ランク未設定",IF(I178="","未接触",IF(設定!$C$4&gt;L178,"期限超過",IF(L178-設定!$C$4&lt;=設定!$C$8,"今週連絡","OK")))))</f>
        <v/>
      </c>
      <c r="N178" s="15" t="str">
        <f aca="false">IF($A178="","",IF(_xlfn.MINIFS(アクションログ!$J$5:$J$2004,アクションログ!$B$5:$B$2004,$A178,アクションログ!$K$5:$K$2004,"&lt;&gt;済",アクションログ!$J$5:$J$2004,"&gt;0")=0,"",_xlfn.MINIFS(アクションログ!$J$5:$J$2004,アクションログ!$B$5:$B$2004,$A178,アクションログ!$K$5:$K$2004,"&lt;&gt;済",アクションログ!$J$5:$J$2004,"&gt;0")))</f>
        <v/>
      </c>
      <c r="O178" s="18" t="str">
        <f aca="false">IF(N178="","",IFERROR(INDEX(アクションログ!$I$5:$I$2004,MATCH($A178&amp;"|"&amp;N178,アクションログ!$L$5:$L$2004,0)),""))</f>
        <v/>
      </c>
      <c r="P178" s="16" t="str">
        <f aca="false">IF($A178="","",COUNTIFS(アクションログ!$B$5:$B$2004,$A178,アクションログ!$A$5:$A$2004,"&gt;="&amp;設定!$C$5))</f>
        <v/>
      </c>
      <c r="Q178" s="16" t="str">
        <f aca="false">IF($A178="","",SUMIFS(月次実績!$D$5:$D$3004,月次実績!$B$5:$B$3004,$A178,月次実績!$A$5:$A$3004,"&gt;="&amp;EDATE(設定!$C$5,-(設定!$C$6-1))))</f>
        <v/>
      </c>
      <c r="R178" s="16" t="str">
        <f aca="false">IF($A178="","",SUMIFS(月次実績!$D$5:$D$3004,月次実績!$B$5:$B$3004,$A178))</f>
        <v/>
      </c>
      <c r="S178" s="16" t="str">
        <f aca="false">IF($A178="","",SUMIFS(月次実績!$F$5:$F$3004,月次実績!$B$5:$B$3004,$A178))</f>
        <v/>
      </c>
      <c r="T178" s="19" t="str">
        <f aca="false">IF(OR($A178="",R178=0),"",S178/R178)</f>
        <v/>
      </c>
      <c r="U178" s="20" t="str">
        <f aca="false">IF($A178="","",SUMIFS(月次実績!$G$5:$G$3004,月次実績!$B$5:$B$3004,$A178))</f>
        <v/>
      </c>
      <c r="V178" s="17" t="str">
        <f aca="false">IF($A178="","",IF(Q178&gt;=設定!$C$7,"稼働中",IF(Q178&gt;=1,"低稼働","休眠")))</f>
        <v/>
      </c>
      <c r="W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15"/>
      <c r="H179" s="21"/>
      <c r="I179" s="15" t="str">
        <f aca="false">IF($A179="","",IF(_xlfn.MAXIFS(アクションログ!$A$5:$A$2004,アクションログ!$B$5:$B$2004,$A179)=0,"",_xlfn.MAXIFS(アクションログ!$A$5:$A$2004,アクションログ!$B$5:$B$2004,$A179)))</f>
        <v/>
      </c>
      <c r="J179" s="16" t="str">
        <f aca="false">IF(OR($A179="",I179=""),"",設定!$C$4-I179)</f>
        <v/>
      </c>
      <c r="K179" s="16" t="str">
        <f aca="false">IF($A179="","",IFERROR(INDEX(設定!$D$14:$D$17,MATCH(F179,設定!$B$14:$B$17,0)),""))</f>
        <v/>
      </c>
      <c r="L179" s="15" t="str">
        <f aca="false">IF(OR($A179="",K179=""),"",IF(I179="",設定!$C$4,I179+K179))</f>
        <v/>
      </c>
      <c r="M179" s="17" t="str">
        <f aca="false">IF($A179="","",IF(F179="","ランク未設定",IF(I179="","未接触",IF(設定!$C$4&gt;L179,"期限超過",IF(L179-設定!$C$4&lt;=設定!$C$8,"今週連絡","OK")))))</f>
        <v/>
      </c>
      <c r="N179" s="15" t="str">
        <f aca="false">IF($A179="","",IF(_xlfn.MINIFS(アクションログ!$J$5:$J$2004,アクションログ!$B$5:$B$2004,$A179,アクションログ!$K$5:$K$2004,"&lt;&gt;済",アクションログ!$J$5:$J$2004,"&gt;0")=0,"",_xlfn.MINIFS(アクションログ!$J$5:$J$2004,アクションログ!$B$5:$B$2004,$A179,アクションログ!$K$5:$K$2004,"&lt;&gt;済",アクションログ!$J$5:$J$2004,"&gt;0")))</f>
        <v/>
      </c>
      <c r="O179" s="18" t="str">
        <f aca="false">IF(N179="","",IFERROR(INDEX(アクションログ!$I$5:$I$2004,MATCH($A179&amp;"|"&amp;N179,アクションログ!$L$5:$L$2004,0)),""))</f>
        <v/>
      </c>
      <c r="P179" s="16" t="str">
        <f aca="false">IF($A179="","",COUNTIFS(アクションログ!$B$5:$B$2004,$A179,アクションログ!$A$5:$A$2004,"&gt;="&amp;設定!$C$5))</f>
        <v/>
      </c>
      <c r="Q179" s="16" t="str">
        <f aca="false">IF($A179="","",SUMIFS(月次実績!$D$5:$D$3004,月次実績!$B$5:$B$3004,$A179,月次実績!$A$5:$A$3004,"&gt;="&amp;EDATE(設定!$C$5,-(設定!$C$6-1))))</f>
        <v/>
      </c>
      <c r="R179" s="16" t="str">
        <f aca="false">IF($A179="","",SUMIFS(月次実績!$D$5:$D$3004,月次実績!$B$5:$B$3004,$A179))</f>
        <v/>
      </c>
      <c r="S179" s="16" t="str">
        <f aca="false">IF($A179="","",SUMIFS(月次実績!$F$5:$F$3004,月次実績!$B$5:$B$3004,$A179))</f>
        <v/>
      </c>
      <c r="T179" s="19" t="str">
        <f aca="false">IF(OR($A179="",R179=0),"",S179/R179)</f>
        <v/>
      </c>
      <c r="U179" s="20" t="str">
        <f aca="false">IF($A179="","",SUMIFS(月次実績!$G$5:$G$3004,月次実績!$B$5:$B$3004,$A179))</f>
        <v/>
      </c>
      <c r="V179" s="17" t="str">
        <f aca="false">IF($A179="","",IF(Q179&gt;=設定!$C$7,"稼働中",IF(Q179&gt;=1,"低稼働","休眠")))</f>
        <v/>
      </c>
      <c r="W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15"/>
      <c r="H180" s="21"/>
      <c r="I180" s="15" t="str">
        <f aca="false">IF($A180="","",IF(_xlfn.MAXIFS(アクションログ!$A$5:$A$2004,アクションログ!$B$5:$B$2004,$A180)=0,"",_xlfn.MAXIFS(アクションログ!$A$5:$A$2004,アクションログ!$B$5:$B$2004,$A180)))</f>
        <v/>
      </c>
      <c r="J180" s="16" t="str">
        <f aca="false">IF(OR($A180="",I180=""),"",設定!$C$4-I180)</f>
        <v/>
      </c>
      <c r="K180" s="16" t="str">
        <f aca="false">IF($A180="","",IFERROR(INDEX(設定!$D$14:$D$17,MATCH(F180,設定!$B$14:$B$17,0)),""))</f>
        <v/>
      </c>
      <c r="L180" s="15" t="str">
        <f aca="false">IF(OR($A180="",K180=""),"",IF(I180="",設定!$C$4,I180+K180))</f>
        <v/>
      </c>
      <c r="M180" s="17" t="str">
        <f aca="false">IF($A180="","",IF(F180="","ランク未設定",IF(I180="","未接触",IF(設定!$C$4&gt;L180,"期限超過",IF(L180-設定!$C$4&lt;=設定!$C$8,"今週連絡","OK")))))</f>
        <v/>
      </c>
      <c r="N180" s="15" t="str">
        <f aca="false">IF($A180="","",IF(_xlfn.MINIFS(アクションログ!$J$5:$J$2004,アクションログ!$B$5:$B$2004,$A180,アクションログ!$K$5:$K$2004,"&lt;&gt;済",アクションログ!$J$5:$J$2004,"&gt;0")=0,"",_xlfn.MINIFS(アクションログ!$J$5:$J$2004,アクションログ!$B$5:$B$2004,$A180,アクションログ!$K$5:$K$2004,"&lt;&gt;済",アクションログ!$J$5:$J$2004,"&gt;0")))</f>
        <v/>
      </c>
      <c r="O180" s="18" t="str">
        <f aca="false">IF(N180="","",IFERROR(INDEX(アクションログ!$I$5:$I$2004,MATCH($A180&amp;"|"&amp;N180,アクションログ!$L$5:$L$2004,0)),""))</f>
        <v/>
      </c>
      <c r="P180" s="16" t="str">
        <f aca="false">IF($A180="","",COUNTIFS(アクションログ!$B$5:$B$2004,$A180,アクションログ!$A$5:$A$2004,"&gt;="&amp;設定!$C$5))</f>
        <v/>
      </c>
      <c r="Q180" s="16" t="str">
        <f aca="false">IF($A180="","",SUMIFS(月次実績!$D$5:$D$3004,月次実績!$B$5:$B$3004,$A180,月次実績!$A$5:$A$3004,"&gt;="&amp;EDATE(設定!$C$5,-(設定!$C$6-1))))</f>
        <v/>
      </c>
      <c r="R180" s="16" t="str">
        <f aca="false">IF($A180="","",SUMIFS(月次実績!$D$5:$D$3004,月次実績!$B$5:$B$3004,$A180))</f>
        <v/>
      </c>
      <c r="S180" s="16" t="str">
        <f aca="false">IF($A180="","",SUMIFS(月次実績!$F$5:$F$3004,月次実績!$B$5:$B$3004,$A180))</f>
        <v/>
      </c>
      <c r="T180" s="19" t="str">
        <f aca="false">IF(OR($A180="",R180=0),"",S180/R180)</f>
        <v/>
      </c>
      <c r="U180" s="20" t="str">
        <f aca="false">IF($A180="","",SUMIFS(月次実績!$G$5:$G$3004,月次実績!$B$5:$B$3004,$A180))</f>
        <v/>
      </c>
      <c r="V180" s="17" t="str">
        <f aca="false">IF($A180="","",IF(Q180&gt;=設定!$C$7,"稼働中",IF(Q180&gt;=1,"低稼働","休眠")))</f>
        <v/>
      </c>
      <c r="W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15"/>
      <c r="H181" s="21"/>
      <c r="I181" s="15" t="str">
        <f aca="false">IF($A181="","",IF(_xlfn.MAXIFS(アクションログ!$A$5:$A$2004,アクションログ!$B$5:$B$2004,$A181)=0,"",_xlfn.MAXIFS(アクションログ!$A$5:$A$2004,アクションログ!$B$5:$B$2004,$A181)))</f>
        <v/>
      </c>
      <c r="J181" s="16" t="str">
        <f aca="false">IF(OR($A181="",I181=""),"",設定!$C$4-I181)</f>
        <v/>
      </c>
      <c r="K181" s="16" t="str">
        <f aca="false">IF($A181="","",IFERROR(INDEX(設定!$D$14:$D$17,MATCH(F181,設定!$B$14:$B$17,0)),""))</f>
        <v/>
      </c>
      <c r="L181" s="15" t="str">
        <f aca="false">IF(OR($A181="",K181=""),"",IF(I181="",設定!$C$4,I181+K181))</f>
        <v/>
      </c>
      <c r="M181" s="17" t="str">
        <f aca="false">IF($A181="","",IF(F181="","ランク未設定",IF(I181="","未接触",IF(設定!$C$4&gt;L181,"期限超過",IF(L181-設定!$C$4&lt;=設定!$C$8,"今週連絡","OK")))))</f>
        <v/>
      </c>
      <c r="N181" s="15" t="str">
        <f aca="false">IF($A181="","",IF(_xlfn.MINIFS(アクションログ!$J$5:$J$2004,アクションログ!$B$5:$B$2004,$A181,アクションログ!$K$5:$K$2004,"&lt;&gt;済",アクションログ!$J$5:$J$2004,"&gt;0")=0,"",_xlfn.MINIFS(アクションログ!$J$5:$J$2004,アクションログ!$B$5:$B$2004,$A181,アクションログ!$K$5:$K$2004,"&lt;&gt;済",アクションログ!$J$5:$J$2004,"&gt;0")))</f>
        <v/>
      </c>
      <c r="O181" s="18" t="str">
        <f aca="false">IF(N181="","",IFERROR(INDEX(アクションログ!$I$5:$I$2004,MATCH($A181&amp;"|"&amp;N181,アクションログ!$L$5:$L$2004,0)),""))</f>
        <v/>
      </c>
      <c r="P181" s="16" t="str">
        <f aca="false">IF($A181="","",COUNTIFS(アクションログ!$B$5:$B$2004,$A181,アクションログ!$A$5:$A$2004,"&gt;="&amp;設定!$C$5))</f>
        <v/>
      </c>
      <c r="Q181" s="16" t="str">
        <f aca="false">IF($A181="","",SUMIFS(月次実績!$D$5:$D$3004,月次実績!$B$5:$B$3004,$A181,月次実績!$A$5:$A$3004,"&gt;="&amp;EDATE(設定!$C$5,-(設定!$C$6-1))))</f>
        <v/>
      </c>
      <c r="R181" s="16" t="str">
        <f aca="false">IF($A181="","",SUMIFS(月次実績!$D$5:$D$3004,月次実績!$B$5:$B$3004,$A181))</f>
        <v/>
      </c>
      <c r="S181" s="16" t="str">
        <f aca="false">IF($A181="","",SUMIFS(月次実績!$F$5:$F$3004,月次実績!$B$5:$B$3004,$A181))</f>
        <v/>
      </c>
      <c r="T181" s="19" t="str">
        <f aca="false">IF(OR($A181="",R181=0),"",S181/R181)</f>
        <v/>
      </c>
      <c r="U181" s="20" t="str">
        <f aca="false">IF($A181="","",SUMIFS(月次実績!$G$5:$G$3004,月次実績!$B$5:$B$3004,$A181))</f>
        <v/>
      </c>
      <c r="V181" s="17" t="str">
        <f aca="false">IF($A181="","",IF(Q181&gt;=設定!$C$7,"稼働中",IF(Q181&gt;=1,"低稼働","休眠")))</f>
        <v/>
      </c>
      <c r="W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15"/>
      <c r="H182" s="21"/>
      <c r="I182" s="15" t="str">
        <f aca="false">IF($A182="","",IF(_xlfn.MAXIFS(アクションログ!$A$5:$A$2004,アクションログ!$B$5:$B$2004,$A182)=0,"",_xlfn.MAXIFS(アクションログ!$A$5:$A$2004,アクションログ!$B$5:$B$2004,$A182)))</f>
        <v/>
      </c>
      <c r="J182" s="16" t="str">
        <f aca="false">IF(OR($A182="",I182=""),"",設定!$C$4-I182)</f>
        <v/>
      </c>
      <c r="K182" s="16" t="str">
        <f aca="false">IF($A182="","",IFERROR(INDEX(設定!$D$14:$D$17,MATCH(F182,設定!$B$14:$B$17,0)),""))</f>
        <v/>
      </c>
      <c r="L182" s="15" t="str">
        <f aca="false">IF(OR($A182="",K182=""),"",IF(I182="",設定!$C$4,I182+K182))</f>
        <v/>
      </c>
      <c r="M182" s="17" t="str">
        <f aca="false">IF($A182="","",IF(F182="","ランク未設定",IF(I182="","未接触",IF(設定!$C$4&gt;L182,"期限超過",IF(L182-設定!$C$4&lt;=設定!$C$8,"今週連絡","OK")))))</f>
        <v/>
      </c>
      <c r="N182" s="15" t="str">
        <f aca="false">IF($A182="","",IF(_xlfn.MINIFS(アクションログ!$J$5:$J$2004,アクションログ!$B$5:$B$2004,$A182,アクションログ!$K$5:$K$2004,"&lt;&gt;済",アクションログ!$J$5:$J$2004,"&gt;0")=0,"",_xlfn.MINIFS(アクションログ!$J$5:$J$2004,アクションログ!$B$5:$B$2004,$A182,アクションログ!$K$5:$K$2004,"&lt;&gt;済",アクションログ!$J$5:$J$2004,"&gt;0")))</f>
        <v/>
      </c>
      <c r="O182" s="18" t="str">
        <f aca="false">IF(N182="","",IFERROR(INDEX(アクションログ!$I$5:$I$2004,MATCH($A182&amp;"|"&amp;N182,アクションログ!$L$5:$L$2004,0)),""))</f>
        <v/>
      </c>
      <c r="P182" s="16" t="str">
        <f aca="false">IF($A182="","",COUNTIFS(アクションログ!$B$5:$B$2004,$A182,アクションログ!$A$5:$A$2004,"&gt;="&amp;設定!$C$5))</f>
        <v/>
      </c>
      <c r="Q182" s="16" t="str">
        <f aca="false">IF($A182="","",SUMIFS(月次実績!$D$5:$D$3004,月次実績!$B$5:$B$3004,$A182,月次実績!$A$5:$A$3004,"&gt;="&amp;EDATE(設定!$C$5,-(設定!$C$6-1))))</f>
        <v/>
      </c>
      <c r="R182" s="16" t="str">
        <f aca="false">IF($A182="","",SUMIFS(月次実績!$D$5:$D$3004,月次実績!$B$5:$B$3004,$A182))</f>
        <v/>
      </c>
      <c r="S182" s="16" t="str">
        <f aca="false">IF($A182="","",SUMIFS(月次実績!$F$5:$F$3004,月次実績!$B$5:$B$3004,$A182))</f>
        <v/>
      </c>
      <c r="T182" s="19" t="str">
        <f aca="false">IF(OR($A182="",R182=0),"",S182/R182)</f>
        <v/>
      </c>
      <c r="U182" s="20" t="str">
        <f aca="false">IF($A182="","",SUMIFS(月次実績!$G$5:$G$3004,月次実績!$B$5:$B$3004,$A182))</f>
        <v/>
      </c>
      <c r="V182" s="17" t="str">
        <f aca="false">IF($A182="","",IF(Q182&gt;=設定!$C$7,"稼働中",IF(Q182&gt;=1,"低稼働","休眠")))</f>
        <v/>
      </c>
      <c r="W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15"/>
      <c r="H183" s="21"/>
      <c r="I183" s="15" t="str">
        <f aca="false">IF($A183="","",IF(_xlfn.MAXIFS(アクションログ!$A$5:$A$2004,アクションログ!$B$5:$B$2004,$A183)=0,"",_xlfn.MAXIFS(アクションログ!$A$5:$A$2004,アクションログ!$B$5:$B$2004,$A183)))</f>
        <v/>
      </c>
      <c r="J183" s="16" t="str">
        <f aca="false">IF(OR($A183="",I183=""),"",設定!$C$4-I183)</f>
        <v/>
      </c>
      <c r="K183" s="16" t="str">
        <f aca="false">IF($A183="","",IFERROR(INDEX(設定!$D$14:$D$17,MATCH(F183,設定!$B$14:$B$17,0)),""))</f>
        <v/>
      </c>
      <c r="L183" s="15" t="str">
        <f aca="false">IF(OR($A183="",K183=""),"",IF(I183="",設定!$C$4,I183+K183))</f>
        <v/>
      </c>
      <c r="M183" s="17" t="str">
        <f aca="false">IF($A183="","",IF(F183="","ランク未設定",IF(I183="","未接触",IF(設定!$C$4&gt;L183,"期限超過",IF(L183-設定!$C$4&lt;=設定!$C$8,"今週連絡","OK")))))</f>
        <v/>
      </c>
      <c r="N183" s="15" t="str">
        <f aca="false">IF($A183="","",IF(_xlfn.MINIFS(アクションログ!$J$5:$J$2004,アクションログ!$B$5:$B$2004,$A183,アクションログ!$K$5:$K$2004,"&lt;&gt;済",アクションログ!$J$5:$J$2004,"&gt;0")=0,"",_xlfn.MINIFS(アクションログ!$J$5:$J$2004,アクションログ!$B$5:$B$2004,$A183,アクションログ!$K$5:$K$2004,"&lt;&gt;済",アクションログ!$J$5:$J$2004,"&gt;0")))</f>
        <v/>
      </c>
      <c r="O183" s="18" t="str">
        <f aca="false">IF(N183="","",IFERROR(INDEX(アクションログ!$I$5:$I$2004,MATCH($A183&amp;"|"&amp;N183,アクションログ!$L$5:$L$2004,0)),""))</f>
        <v/>
      </c>
      <c r="P183" s="16" t="str">
        <f aca="false">IF($A183="","",COUNTIFS(アクションログ!$B$5:$B$2004,$A183,アクションログ!$A$5:$A$2004,"&gt;="&amp;設定!$C$5))</f>
        <v/>
      </c>
      <c r="Q183" s="16" t="str">
        <f aca="false">IF($A183="","",SUMIFS(月次実績!$D$5:$D$3004,月次実績!$B$5:$B$3004,$A183,月次実績!$A$5:$A$3004,"&gt;="&amp;EDATE(設定!$C$5,-(設定!$C$6-1))))</f>
        <v/>
      </c>
      <c r="R183" s="16" t="str">
        <f aca="false">IF($A183="","",SUMIFS(月次実績!$D$5:$D$3004,月次実績!$B$5:$B$3004,$A183))</f>
        <v/>
      </c>
      <c r="S183" s="16" t="str">
        <f aca="false">IF($A183="","",SUMIFS(月次実績!$F$5:$F$3004,月次実績!$B$5:$B$3004,$A183))</f>
        <v/>
      </c>
      <c r="T183" s="19" t="str">
        <f aca="false">IF(OR($A183="",R183=0),"",S183/R183)</f>
        <v/>
      </c>
      <c r="U183" s="20" t="str">
        <f aca="false">IF($A183="","",SUMIFS(月次実績!$G$5:$G$3004,月次実績!$B$5:$B$3004,$A183))</f>
        <v/>
      </c>
      <c r="V183" s="17" t="str">
        <f aca="false">IF($A183="","",IF(Q183&gt;=設定!$C$7,"稼働中",IF(Q183&gt;=1,"低稼働","休眠")))</f>
        <v/>
      </c>
      <c r="W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15"/>
      <c r="H184" s="21"/>
      <c r="I184" s="15" t="str">
        <f aca="false">IF($A184="","",IF(_xlfn.MAXIFS(アクションログ!$A$5:$A$2004,アクションログ!$B$5:$B$2004,$A184)=0,"",_xlfn.MAXIFS(アクションログ!$A$5:$A$2004,アクションログ!$B$5:$B$2004,$A184)))</f>
        <v/>
      </c>
      <c r="J184" s="16" t="str">
        <f aca="false">IF(OR($A184="",I184=""),"",設定!$C$4-I184)</f>
        <v/>
      </c>
      <c r="K184" s="16" t="str">
        <f aca="false">IF($A184="","",IFERROR(INDEX(設定!$D$14:$D$17,MATCH(F184,設定!$B$14:$B$17,0)),""))</f>
        <v/>
      </c>
      <c r="L184" s="15" t="str">
        <f aca="false">IF(OR($A184="",K184=""),"",IF(I184="",設定!$C$4,I184+K184))</f>
        <v/>
      </c>
      <c r="M184" s="17" t="str">
        <f aca="false">IF($A184="","",IF(F184="","ランク未設定",IF(I184="","未接触",IF(設定!$C$4&gt;L184,"期限超過",IF(L184-設定!$C$4&lt;=設定!$C$8,"今週連絡","OK")))))</f>
        <v/>
      </c>
      <c r="N184" s="15" t="str">
        <f aca="false">IF($A184="","",IF(_xlfn.MINIFS(アクションログ!$J$5:$J$2004,アクションログ!$B$5:$B$2004,$A184,アクションログ!$K$5:$K$2004,"&lt;&gt;済",アクションログ!$J$5:$J$2004,"&gt;0")=0,"",_xlfn.MINIFS(アクションログ!$J$5:$J$2004,アクションログ!$B$5:$B$2004,$A184,アクションログ!$K$5:$K$2004,"&lt;&gt;済",アクションログ!$J$5:$J$2004,"&gt;0")))</f>
        <v/>
      </c>
      <c r="O184" s="18" t="str">
        <f aca="false">IF(N184="","",IFERROR(INDEX(アクションログ!$I$5:$I$2004,MATCH($A184&amp;"|"&amp;N184,アクションログ!$L$5:$L$2004,0)),""))</f>
        <v/>
      </c>
      <c r="P184" s="16" t="str">
        <f aca="false">IF($A184="","",COUNTIFS(アクションログ!$B$5:$B$2004,$A184,アクションログ!$A$5:$A$2004,"&gt;="&amp;設定!$C$5))</f>
        <v/>
      </c>
      <c r="Q184" s="16" t="str">
        <f aca="false">IF($A184="","",SUMIFS(月次実績!$D$5:$D$3004,月次実績!$B$5:$B$3004,$A184,月次実績!$A$5:$A$3004,"&gt;="&amp;EDATE(設定!$C$5,-(設定!$C$6-1))))</f>
        <v/>
      </c>
      <c r="R184" s="16" t="str">
        <f aca="false">IF($A184="","",SUMIFS(月次実績!$D$5:$D$3004,月次実績!$B$5:$B$3004,$A184))</f>
        <v/>
      </c>
      <c r="S184" s="16" t="str">
        <f aca="false">IF($A184="","",SUMIFS(月次実績!$F$5:$F$3004,月次実績!$B$5:$B$3004,$A184))</f>
        <v/>
      </c>
      <c r="T184" s="19" t="str">
        <f aca="false">IF(OR($A184="",R184=0),"",S184/R184)</f>
        <v/>
      </c>
      <c r="U184" s="20" t="str">
        <f aca="false">IF($A184="","",SUMIFS(月次実績!$G$5:$G$3004,月次実績!$B$5:$B$3004,$A184))</f>
        <v/>
      </c>
      <c r="V184" s="17" t="str">
        <f aca="false">IF($A184="","",IF(Q184&gt;=設定!$C$7,"稼働中",IF(Q184&gt;=1,"低稼働","休眠")))</f>
        <v/>
      </c>
      <c r="W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15"/>
      <c r="H185" s="21"/>
      <c r="I185" s="15" t="str">
        <f aca="false">IF($A185="","",IF(_xlfn.MAXIFS(アクションログ!$A$5:$A$2004,アクションログ!$B$5:$B$2004,$A185)=0,"",_xlfn.MAXIFS(アクションログ!$A$5:$A$2004,アクションログ!$B$5:$B$2004,$A185)))</f>
        <v/>
      </c>
      <c r="J185" s="16" t="str">
        <f aca="false">IF(OR($A185="",I185=""),"",設定!$C$4-I185)</f>
        <v/>
      </c>
      <c r="K185" s="16" t="str">
        <f aca="false">IF($A185="","",IFERROR(INDEX(設定!$D$14:$D$17,MATCH(F185,設定!$B$14:$B$17,0)),""))</f>
        <v/>
      </c>
      <c r="L185" s="15" t="str">
        <f aca="false">IF(OR($A185="",K185=""),"",IF(I185="",設定!$C$4,I185+K185))</f>
        <v/>
      </c>
      <c r="M185" s="17" t="str">
        <f aca="false">IF($A185="","",IF(F185="","ランク未設定",IF(I185="","未接触",IF(設定!$C$4&gt;L185,"期限超過",IF(L185-設定!$C$4&lt;=設定!$C$8,"今週連絡","OK")))))</f>
        <v/>
      </c>
      <c r="N185" s="15" t="str">
        <f aca="false">IF($A185="","",IF(_xlfn.MINIFS(アクションログ!$J$5:$J$2004,アクションログ!$B$5:$B$2004,$A185,アクションログ!$K$5:$K$2004,"&lt;&gt;済",アクションログ!$J$5:$J$2004,"&gt;0")=0,"",_xlfn.MINIFS(アクションログ!$J$5:$J$2004,アクションログ!$B$5:$B$2004,$A185,アクションログ!$K$5:$K$2004,"&lt;&gt;済",アクションログ!$J$5:$J$2004,"&gt;0")))</f>
        <v/>
      </c>
      <c r="O185" s="18" t="str">
        <f aca="false">IF(N185="","",IFERROR(INDEX(アクションログ!$I$5:$I$2004,MATCH($A185&amp;"|"&amp;N185,アクションログ!$L$5:$L$2004,0)),""))</f>
        <v/>
      </c>
      <c r="P185" s="16" t="str">
        <f aca="false">IF($A185="","",COUNTIFS(アクションログ!$B$5:$B$2004,$A185,アクションログ!$A$5:$A$2004,"&gt;="&amp;設定!$C$5))</f>
        <v/>
      </c>
      <c r="Q185" s="16" t="str">
        <f aca="false">IF($A185="","",SUMIFS(月次実績!$D$5:$D$3004,月次実績!$B$5:$B$3004,$A185,月次実績!$A$5:$A$3004,"&gt;="&amp;EDATE(設定!$C$5,-(設定!$C$6-1))))</f>
        <v/>
      </c>
      <c r="R185" s="16" t="str">
        <f aca="false">IF($A185="","",SUMIFS(月次実績!$D$5:$D$3004,月次実績!$B$5:$B$3004,$A185))</f>
        <v/>
      </c>
      <c r="S185" s="16" t="str">
        <f aca="false">IF($A185="","",SUMIFS(月次実績!$F$5:$F$3004,月次実績!$B$5:$B$3004,$A185))</f>
        <v/>
      </c>
      <c r="T185" s="19" t="str">
        <f aca="false">IF(OR($A185="",R185=0),"",S185/R185)</f>
        <v/>
      </c>
      <c r="U185" s="20" t="str">
        <f aca="false">IF($A185="","",SUMIFS(月次実績!$G$5:$G$3004,月次実績!$B$5:$B$3004,$A185))</f>
        <v/>
      </c>
      <c r="V185" s="17" t="str">
        <f aca="false">IF($A185="","",IF(Q185&gt;=設定!$C$7,"稼働中",IF(Q185&gt;=1,"低稼働","休眠")))</f>
        <v/>
      </c>
      <c r="W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15"/>
      <c r="H186" s="21"/>
      <c r="I186" s="15" t="str">
        <f aca="false">IF($A186="","",IF(_xlfn.MAXIFS(アクションログ!$A$5:$A$2004,アクションログ!$B$5:$B$2004,$A186)=0,"",_xlfn.MAXIFS(アクションログ!$A$5:$A$2004,アクションログ!$B$5:$B$2004,$A186)))</f>
        <v/>
      </c>
      <c r="J186" s="16" t="str">
        <f aca="false">IF(OR($A186="",I186=""),"",設定!$C$4-I186)</f>
        <v/>
      </c>
      <c r="K186" s="16" t="str">
        <f aca="false">IF($A186="","",IFERROR(INDEX(設定!$D$14:$D$17,MATCH(F186,設定!$B$14:$B$17,0)),""))</f>
        <v/>
      </c>
      <c r="L186" s="15" t="str">
        <f aca="false">IF(OR($A186="",K186=""),"",IF(I186="",設定!$C$4,I186+K186))</f>
        <v/>
      </c>
      <c r="M186" s="17" t="str">
        <f aca="false">IF($A186="","",IF(F186="","ランク未設定",IF(I186="","未接触",IF(設定!$C$4&gt;L186,"期限超過",IF(L186-設定!$C$4&lt;=設定!$C$8,"今週連絡","OK")))))</f>
        <v/>
      </c>
      <c r="N186" s="15" t="str">
        <f aca="false">IF($A186="","",IF(_xlfn.MINIFS(アクションログ!$J$5:$J$2004,アクションログ!$B$5:$B$2004,$A186,アクションログ!$K$5:$K$2004,"&lt;&gt;済",アクションログ!$J$5:$J$2004,"&gt;0")=0,"",_xlfn.MINIFS(アクションログ!$J$5:$J$2004,アクションログ!$B$5:$B$2004,$A186,アクションログ!$K$5:$K$2004,"&lt;&gt;済",アクションログ!$J$5:$J$2004,"&gt;0")))</f>
        <v/>
      </c>
      <c r="O186" s="18" t="str">
        <f aca="false">IF(N186="","",IFERROR(INDEX(アクションログ!$I$5:$I$2004,MATCH($A186&amp;"|"&amp;N186,アクションログ!$L$5:$L$2004,0)),""))</f>
        <v/>
      </c>
      <c r="P186" s="16" t="str">
        <f aca="false">IF($A186="","",COUNTIFS(アクションログ!$B$5:$B$2004,$A186,アクションログ!$A$5:$A$2004,"&gt;="&amp;設定!$C$5))</f>
        <v/>
      </c>
      <c r="Q186" s="16" t="str">
        <f aca="false">IF($A186="","",SUMIFS(月次実績!$D$5:$D$3004,月次実績!$B$5:$B$3004,$A186,月次実績!$A$5:$A$3004,"&gt;="&amp;EDATE(設定!$C$5,-(設定!$C$6-1))))</f>
        <v/>
      </c>
      <c r="R186" s="16" t="str">
        <f aca="false">IF($A186="","",SUMIFS(月次実績!$D$5:$D$3004,月次実績!$B$5:$B$3004,$A186))</f>
        <v/>
      </c>
      <c r="S186" s="16" t="str">
        <f aca="false">IF($A186="","",SUMIFS(月次実績!$F$5:$F$3004,月次実績!$B$5:$B$3004,$A186))</f>
        <v/>
      </c>
      <c r="T186" s="19" t="str">
        <f aca="false">IF(OR($A186="",R186=0),"",S186/R186)</f>
        <v/>
      </c>
      <c r="U186" s="20" t="str">
        <f aca="false">IF($A186="","",SUMIFS(月次実績!$G$5:$G$3004,月次実績!$B$5:$B$3004,$A186))</f>
        <v/>
      </c>
      <c r="V186" s="17" t="str">
        <f aca="false">IF($A186="","",IF(Q186&gt;=設定!$C$7,"稼働中",IF(Q186&gt;=1,"低稼働","休眠")))</f>
        <v/>
      </c>
      <c r="W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15"/>
      <c r="H187" s="21"/>
      <c r="I187" s="15" t="str">
        <f aca="false">IF($A187="","",IF(_xlfn.MAXIFS(アクションログ!$A$5:$A$2004,アクションログ!$B$5:$B$2004,$A187)=0,"",_xlfn.MAXIFS(アクションログ!$A$5:$A$2004,アクションログ!$B$5:$B$2004,$A187)))</f>
        <v/>
      </c>
      <c r="J187" s="16" t="str">
        <f aca="false">IF(OR($A187="",I187=""),"",設定!$C$4-I187)</f>
        <v/>
      </c>
      <c r="K187" s="16" t="str">
        <f aca="false">IF($A187="","",IFERROR(INDEX(設定!$D$14:$D$17,MATCH(F187,設定!$B$14:$B$17,0)),""))</f>
        <v/>
      </c>
      <c r="L187" s="15" t="str">
        <f aca="false">IF(OR($A187="",K187=""),"",IF(I187="",設定!$C$4,I187+K187))</f>
        <v/>
      </c>
      <c r="M187" s="17" t="str">
        <f aca="false">IF($A187="","",IF(F187="","ランク未設定",IF(I187="","未接触",IF(設定!$C$4&gt;L187,"期限超過",IF(L187-設定!$C$4&lt;=設定!$C$8,"今週連絡","OK")))))</f>
        <v/>
      </c>
      <c r="N187" s="15" t="str">
        <f aca="false">IF($A187="","",IF(_xlfn.MINIFS(アクションログ!$J$5:$J$2004,アクションログ!$B$5:$B$2004,$A187,アクションログ!$K$5:$K$2004,"&lt;&gt;済",アクションログ!$J$5:$J$2004,"&gt;0")=0,"",_xlfn.MINIFS(アクションログ!$J$5:$J$2004,アクションログ!$B$5:$B$2004,$A187,アクションログ!$K$5:$K$2004,"&lt;&gt;済",アクションログ!$J$5:$J$2004,"&gt;0")))</f>
        <v/>
      </c>
      <c r="O187" s="18" t="str">
        <f aca="false">IF(N187="","",IFERROR(INDEX(アクションログ!$I$5:$I$2004,MATCH($A187&amp;"|"&amp;N187,アクションログ!$L$5:$L$2004,0)),""))</f>
        <v/>
      </c>
      <c r="P187" s="16" t="str">
        <f aca="false">IF($A187="","",COUNTIFS(アクションログ!$B$5:$B$2004,$A187,アクションログ!$A$5:$A$2004,"&gt;="&amp;設定!$C$5))</f>
        <v/>
      </c>
      <c r="Q187" s="16" t="str">
        <f aca="false">IF($A187="","",SUMIFS(月次実績!$D$5:$D$3004,月次実績!$B$5:$B$3004,$A187,月次実績!$A$5:$A$3004,"&gt;="&amp;EDATE(設定!$C$5,-(設定!$C$6-1))))</f>
        <v/>
      </c>
      <c r="R187" s="16" t="str">
        <f aca="false">IF($A187="","",SUMIFS(月次実績!$D$5:$D$3004,月次実績!$B$5:$B$3004,$A187))</f>
        <v/>
      </c>
      <c r="S187" s="16" t="str">
        <f aca="false">IF($A187="","",SUMIFS(月次実績!$F$5:$F$3004,月次実績!$B$5:$B$3004,$A187))</f>
        <v/>
      </c>
      <c r="T187" s="19" t="str">
        <f aca="false">IF(OR($A187="",R187=0),"",S187/R187)</f>
        <v/>
      </c>
      <c r="U187" s="20" t="str">
        <f aca="false">IF($A187="","",SUMIFS(月次実績!$G$5:$G$3004,月次実績!$B$5:$B$3004,$A187))</f>
        <v/>
      </c>
      <c r="V187" s="17" t="str">
        <f aca="false">IF($A187="","",IF(Q187&gt;=設定!$C$7,"稼働中",IF(Q187&gt;=1,"低稼働","休眠")))</f>
        <v/>
      </c>
      <c r="W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15"/>
      <c r="H188" s="21"/>
      <c r="I188" s="15" t="str">
        <f aca="false">IF($A188="","",IF(_xlfn.MAXIFS(アクションログ!$A$5:$A$2004,アクションログ!$B$5:$B$2004,$A188)=0,"",_xlfn.MAXIFS(アクションログ!$A$5:$A$2004,アクションログ!$B$5:$B$2004,$A188)))</f>
        <v/>
      </c>
      <c r="J188" s="16" t="str">
        <f aca="false">IF(OR($A188="",I188=""),"",設定!$C$4-I188)</f>
        <v/>
      </c>
      <c r="K188" s="16" t="str">
        <f aca="false">IF($A188="","",IFERROR(INDEX(設定!$D$14:$D$17,MATCH(F188,設定!$B$14:$B$17,0)),""))</f>
        <v/>
      </c>
      <c r="L188" s="15" t="str">
        <f aca="false">IF(OR($A188="",K188=""),"",IF(I188="",設定!$C$4,I188+K188))</f>
        <v/>
      </c>
      <c r="M188" s="17" t="str">
        <f aca="false">IF($A188="","",IF(F188="","ランク未設定",IF(I188="","未接触",IF(設定!$C$4&gt;L188,"期限超過",IF(L188-設定!$C$4&lt;=設定!$C$8,"今週連絡","OK")))))</f>
        <v/>
      </c>
      <c r="N188" s="15" t="str">
        <f aca="false">IF($A188="","",IF(_xlfn.MINIFS(アクションログ!$J$5:$J$2004,アクションログ!$B$5:$B$2004,$A188,アクションログ!$K$5:$K$2004,"&lt;&gt;済",アクションログ!$J$5:$J$2004,"&gt;0")=0,"",_xlfn.MINIFS(アクションログ!$J$5:$J$2004,アクションログ!$B$5:$B$2004,$A188,アクションログ!$K$5:$K$2004,"&lt;&gt;済",アクションログ!$J$5:$J$2004,"&gt;0")))</f>
        <v/>
      </c>
      <c r="O188" s="18" t="str">
        <f aca="false">IF(N188="","",IFERROR(INDEX(アクションログ!$I$5:$I$2004,MATCH($A188&amp;"|"&amp;N188,アクションログ!$L$5:$L$2004,0)),""))</f>
        <v/>
      </c>
      <c r="P188" s="16" t="str">
        <f aca="false">IF($A188="","",COUNTIFS(アクションログ!$B$5:$B$2004,$A188,アクションログ!$A$5:$A$2004,"&gt;="&amp;設定!$C$5))</f>
        <v/>
      </c>
      <c r="Q188" s="16" t="str">
        <f aca="false">IF($A188="","",SUMIFS(月次実績!$D$5:$D$3004,月次実績!$B$5:$B$3004,$A188,月次実績!$A$5:$A$3004,"&gt;="&amp;EDATE(設定!$C$5,-(設定!$C$6-1))))</f>
        <v/>
      </c>
      <c r="R188" s="16" t="str">
        <f aca="false">IF($A188="","",SUMIFS(月次実績!$D$5:$D$3004,月次実績!$B$5:$B$3004,$A188))</f>
        <v/>
      </c>
      <c r="S188" s="16" t="str">
        <f aca="false">IF($A188="","",SUMIFS(月次実績!$F$5:$F$3004,月次実績!$B$5:$B$3004,$A188))</f>
        <v/>
      </c>
      <c r="T188" s="19" t="str">
        <f aca="false">IF(OR($A188="",R188=0),"",S188/R188)</f>
        <v/>
      </c>
      <c r="U188" s="20" t="str">
        <f aca="false">IF($A188="","",SUMIFS(月次実績!$G$5:$G$3004,月次実績!$B$5:$B$3004,$A188))</f>
        <v/>
      </c>
      <c r="V188" s="17" t="str">
        <f aca="false">IF($A188="","",IF(Q188&gt;=設定!$C$7,"稼働中",IF(Q188&gt;=1,"低稼働","休眠")))</f>
        <v/>
      </c>
      <c r="W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15"/>
      <c r="H189" s="21"/>
      <c r="I189" s="15" t="str">
        <f aca="false">IF($A189="","",IF(_xlfn.MAXIFS(アクションログ!$A$5:$A$2004,アクションログ!$B$5:$B$2004,$A189)=0,"",_xlfn.MAXIFS(アクションログ!$A$5:$A$2004,アクションログ!$B$5:$B$2004,$A189)))</f>
        <v/>
      </c>
      <c r="J189" s="16" t="str">
        <f aca="false">IF(OR($A189="",I189=""),"",設定!$C$4-I189)</f>
        <v/>
      </c>
      <c r="K189" s="16" t="str">
        <f aca="false">IF($A189="","",IFERROR(INDEX(設定!$D$14:$D$17,MATCH(F189,設定!$B$14:$B$17,0)),""))</f>
        <v/>
      </c>
      <c r="L189" s="15" t="str">
        <f aca="false">IF(OR($A189="",K189=""),"",IF(I189="",設定!$C$4,I189+K189))</f>
        <v/>
      </c>
      <c r="M189" s="17" t="str">
        <f aca="false">IF($A189="","",IF(F189="","ランク未設定",IF(I189="","未接触",IF(設定!$C$4&gt;L189,"期限超過",IF(L189-設定!$C$4&lt;=設定!$C$8,"今週連絡","OK")))))</f>
        <v/>
      </c>
      <c r="N189" s="15" t="str">
        <f aca="false">IF($A189="","",IF(_xlfn.MINIFS(アクションログ!$J$5:$J$2004,アクションログ!$B$5:$B$2004,$A189,アクションログ!$K$5:$K$2004,"&lt;&gt;済",アクションログ!$J$5:$J$2004,"&gt;0")=0,"",_xlfn.MINIFS(アクションログ!$J$5:$J$2004,アクションログ!$B$5:$B$2004,$A189,アクションログ!$K$5:$K$2004,"&lt;&gt;済",アクションログ!$J$5:$J$2004,"&gt;0")))</f>
        <v/>
      </c>
      <c r="O189" s="18" t="str">
        <f aca="false">IF(N189="","",IFERROR(INDEX(アクションログ!$I$5:$I$2004,MATCH($A189&amp;"|"&amp;N189,アクションログ!$L$5:$L$2004,0)),""))</f>
        <v/>
      </c>
      <c r="P189" s="16" t="str">
        <f aca="false">IF($A189="","",COUNTIFS(アクションログ!$B$5:$B$2004,$A189,アクションログ!$A$5:$A$2004,"&gt;="&amp;設定!$C$5))</f>
        <v/>
      </c>
      <c r="Q189" s="16" t="str">
        <f aca="false">IF($A189="","",SUMIFS(月次実績!$D$5:$D$3004,月次実績!$B$5:$B$3004,$A189,月次実績!$A$5:$A$3004,"&gt;="&amp;EDATE(設定!$C$5,-(設定!$C$6-1))))</f>
        <v/>
      </c>
      <c r="R189" s="16" t="str">
        <f aca="false">IF($A189="","",SUMIFS(月次実績!$D$5:$D$3004,月次実績!$B$5:$B$3004,$A189))</f>
        <v/>
      </c>
      <c r="S189" s="16" t="str">
        <f aca="false">IF($A189="","",SUMIFS(月次実績!$F$5:$F$3004,月次実績!$B$5:$B$3004,$A189))</f>
        <v/>
      </c>
      <c r="T189" s="19" t="str">
        <f aca="false">IF(OR($A189="",R189=0),"",S189/R189)</f>
        <v/>
      </c>
      <c r="U189" s="20" t="str">
        <f aca="false">IF($A189="","",SUMIFS(月次実績!$G$5:$G$3004,月次実績!$B$5:$B$3004,$A189))</f>
        <v/>
      </c>
      <c r="V189" s="17" t="str">
        <f aca="false">IF($A189="","",IF(Q189&gt;=設定!$C$7,"稼働中",IF(Q189&gt;=1,"低稼働","休眠")))</f>
        <v/>
      </c>
      <c r="W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15"/>
      <c r="H190" s="21"/>
      <c r="I190" s="15" t="str">
        <f aca="false">IF($A190="","",IF(_xlfn.MAXIFS(アクションログ!$A$5:$A$2004,アクションログ!$B$5:$B$2004,$A190)=0,"",_xlfn.MAXIFS(アクションログ!$A$5:$A$2004,アクションログ!$B$5:$B$2004,$A190)))</f>
        <v/>
      </c>
      <c r="J190" s="16" t="str">
        <f aca="false">IF(OR($A190="",I190=""),"",設定!$C$4-I190)</f>
        <v/>
      </c>
      <c r="K190" s="16" t="str">
        <f aca="false">IF($A190="","",IFERROR(INDEX(設定!$D$14:$D$17,MATCH(F190,設定!$B$14:$B$17,0)),""))</f>
        <v/>
      </c>
      <c r="L190" s="15" t="str">
        <f aca="false">IF(OR($A190="",K190=""),"",IF(I190="",設定!$C$4,I190+K190))</f>
        <v/>
      </c>
      <c r="M190" s="17" t="str">
        <f aca="false">IF($A190="","",IF(F190="","ランク未設定",IF(I190="","未接触",IF(設定!$C$4&gt;L190,"期限超過",IF(L190-設定!$C$4&lt;=設定!$C$8,"今週連絡","OK")))))</f>
        <v/>
      </c>
      <c r="N190" s="15" t="str">
        <f aca="false">IF($A190="","",IF(_xlfn.MINIFS(アクションログ!$J$5:$J$2004,アクションログ!$B$5:$B$2004,$A190,アクションログ!$K$5:$K$2004,"&lt;&gt;済",アクションログ!$J$5:$J$2004,"&gt;0")=0,"",_xlfn.MINIFS(アクションログ!$J$5:$J$2004,アクションログ!$B$5:$B$2004,$A190,アクションログ!$K$5:$K$2004,"&lt;&gt;済",アクションログ!$J$5:$J$2004,"&gt;0")))</f>
        <v/>
      </c>
      <c r="O190" s="18" t="str">
        <f aca="false">IF(N190="","",IFERROR(INDEX(アクションログ!$I$5:$I$2004,MATCH($A190&amp;"|"&amp;N190,アクションログ!$L$5:$L$2004,0)),""))</f>
        <v/>
      </c>
      <c r="P190" s="16" t="str">
        <f aca="false">IF($A190="","",COUNTIFS(アクションログ!$B$5:$B$2004,$A190,アクションログ!$A$5:$A$2004,"&gt;="&amp;設定!$C$5))</f>
        <v/>
      </c>
      <c r="Q190" s="16" t="str">
        <f aca="false">IF($A190="","",SUMIFS(月次実績!$D$5:$D$3004,月次実績!$B$5:$B$3004,$A190,月次実績!$A$5:$A$3004,"&gt;="&amp;EDATE(設定!$C$5,-(設定!$C$6-1))))</f>
        <v/>
      </c>
      <c r="R190" s="16" t="str">
        <f aca="false">IF($A190="","",SUMIFS(月次実績!$D$5:$D$3004,月次実績!$B$5:$B$3004,$A190))</f>
        <v/>
      </c>
      <c r="S190" s="16" t="str">
        <f aca="false">IF($A190="","",SUMIFS(月次実績!$F$5:$F$3004,月次実績!$B$5:$B$3004,$A190))</f>
        <v/>
      </c>
      <c r="T190" s="19" t="str">
        <f aca="false">IF(OR($A190="",R190=0),"",S190/R190)</f>
        <v/>
      </c>
      <c r="U190" s="20" t="str">
        <f aca="false">IF($A190="","",SUMIFS(月次実績!$G$5:$G$3004,月次実績!$B$5:$B$3004,$A190))</f>
        <v/>
      </c>
      <c r="V190" s="17" t="str">
        <f aca="false">IF($A190="","",IF(Q190&gt;=設定!$C$7,"稼働中",IF(Q190&gt;=1,"低稼働","休眠")))</f>
        <v/>
      </c>
      <c r="W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15"/>
      <c r="H191" s="21"/>
      <c r="I191" s="15" t="str">
        <f aca="false">IF($A191="","",IF(_xlfn.MAXIFS(アクションログ!$A$5:$A$2004,アクションログ!$B$5:$B$2004,$A191)=0,"",_xlfn.MAXIFS(アクションログ!$A$5:$A$2004,アクションログ!$B$5:$B$2004,$A191)))</f>
        <v/>
      </c>
      <c r="J191" s="16" t="str">
        <f aca="false">IF(OR($A191="",I191=""),"",設定!$C$4-I191)</f>
        <v/>
      </c>
      <c r="K191" s="16" t="str">
        <f aca="false">IF($A191="","",IFERROR(INDEX(設定!$D$14:$D$17,MATCH(F191,設定!$B$14:$B$17,0)),""))</f>
        <v/>
      </c>
      <c r="L191" s="15" t="str">
        <f aca="false">IF(OR($A191="",K191=""),"",IF(I191="",設定!$C$4,I191+K191))</f>
        <v/>
      </c>
      <c r="M191" s="17" t="str">
        <f aca="false">IF($A191="","",IF(F191="","ランク未設定",IF(I191="","未接触",IF(設定!$C$4&gt;L191,"期限超過",IF(L191-設定!$C$4&lt;=設定!$C$8,"今週連絡","OK")))))</f>
        <v/>
      </c>
      <c r="N191" s="15" t="str">
        <f aca="false">IF($A191="","",IF(_xlfn.MINIFS(アクションログ!$J$5:$J$2004,アクションログ!$B$5:$B$2004,$A191,アクションログ!$K$5:$K$2004,"&lt;&gt;済",アクションログ!$J$5:$J$2004,"&gt;0")=0,"",_xlfn.MINIFS(アクションログ!$J$5:$J$2004,アクションログ!$B$5:$B$2004,$A191,アクションログ!$K$5:$K$2004,"&lt;&gt;済",アクションログ!$J$5:$J$2004,"&gt;0")))</f>
        <v/>
      </c>
      <c r="O191" s="18" t="str">
        <f aca="false">IF(N191="","",IFERROR(INDEX(アクションログ!$I$5:$I$2004,MATCH($A191&amp;"|"&amp;N191,アクションログ!$L$5:$L$2004,0)),""))</f>
        <v/>
      </c>
      <c r="P191" s="16" t="str">
        <f aca="false">IF($A191="","",COUNTIFS(アクションログ!$B$5:$B$2004,$A191,アクションログ!$A$5:$A$2004,"&gt;="&amp;設定!$C$5))</f>
        <v/>
      </c>
      <c r="Q191" s="16" t="str">
        <f aca="false">IF($A191="","",SUMIFS(月次実績!$D$5:$D$3004,月次実績!$B$5:$B$3004,$A191,月次実績!$A$5:$A$3004,"&gt;="&amp;EDATE(設定!$C$5,-(設定!$C$6-1))))</f>
        <v/>
      </c>
      <c r="R191" s="16" t="str">
        <f aca="false">IF($A191="","",SUMIFS(月次実績!$D$5:$D$3004,月次実績!$B$5:$B$3004,$A191))</f>
        <v/>
      </c>
      <c r="S191" s="16" t="str">
        <f aca="false">IF($A191="","",SUMIFS(月次実績!$F$5:$F$3004,月次実績!$B$5:$B$3004,$A191))</f>
        <v/>
      </c>
      <c r="T191" s="19" t="str">
        <f aca="false">IF(OR($A191="",R191=0),"",S191/R191)</f>
        <v/>
      </c>
      <c r="U191" s="20" t="str">
        <f aca="false">IF($A191="","",SUMIFS(月次実績!$G$5:$G$3004,月次実績!$B$5:$B$3004,$A191))</f>
        <v/>
      </c>
      <c r="V191" s="17" t="str">
        <f aca="false">IF($A191="","",IF(Q191&gt;=設定!$C$7,"稼働中",IF(Q191&gt;=1,"低稼働","休眠")))</f>
        <v/>
      </c>
      <c r="W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15"/>
      <c r="H192" s="21"/>
      <c r="I192" s="15" t="str">
        <f aca="false">IF($A192="","",IF(_xlfn.MAXIFS(アクションログ!$A$5:$A$2004,アクションログ!$B$5:$B$2004,$A192)=0,"",_xlfn.MAXIFS(アクションログ!$A$5:$A$2004,アクションログ!$B$5:$B$2004,$A192)))</f>
        <v/>
      </c>
      <c r="J192" s="16" t="str">
        <f aca="false">IF(OR($A192="",I192=""),"",設定!$C$4-I192)</f>
        <v/>
      </c>
      <c r="K192" s="16" t="str">
        <f aca="false">IF($A192="","",IFERROR(INDEX(設定!$D$14:$D$17,MATCH(F192,設定!$B$14:$B$17,0)),""))</f>
        <v/>
      </c>
      <c r="L192" s="15" t="str">
        <f aca="false">IF(OR($A192="",K192=""),"",IF(I192="",設定!$C$4,I192+K192))</f>
        <v/>
      </c>
      <c r="M192" s="17" t="str">
        <f aca="false">IF($A192="","",IF(F192="","ランク未設定",IF(I192="","未接触",IF(設定!$C$4&gt;L192,"期限超過",IF(L192-設定!$C$4&lt;=設定!$C$8,"今週連絡","OK")))))</f>
        <v/>
      </c>
      <c r="N192" s="15" t="str">
        <f aca="false">IF($A192="","",IF(_xlfn.MINIFS(アクションログ!$J$5:$J$2004,アクションログ!$B$5:$B$2004,$A192,アクションログ!$K$5:$K$2004,"&lt;&gt;済",アクションログ!$J$5:$J$2004,"&gt;0")=0,"",_xlfn.MINIFS(アクションログ!$J$5:$J$2004,アクションログ!$B$5:$B$2004,$A192,アクションログ!$K$5:$K$2004,"&lt;&gt;済",アクションログ!$J$5:$J$2004,"&gt;0")))</f>
        <v/>
      </c>
      <c r="O192" s="18" t="str">
        <f aca="false">IF(N192="","",IFERROR(INDEX(アクションログ!$I$5:$I$2004,MATCH($A192&amp;"|"&amp;N192,アクションログ!$L$5:$L$2004,0)),""))</f>
        <v/>
      </c>
      <c r="P192" s="16" t="str">
        <f aca="false">IF($A192="","",COUNTIFS(アクションログ!$B$5:$B$2004,$A192,アクションログ!$A$5:$A$2004,"&gt;="&amp;設定!$C$5))</f>
        <v/>
      </c>
      <c r="Q192" s="16" t="str">
        <f aca="false">IF($A192="","",SUMIFS(月次実績!$D$5:$D$3004,月次実績!$B$5:$B$3004,$A192,月次実績!$A$5:$A$3004,"&gt;="&amp;EDATE(設定!$C$5,-(設定!$C$6-1))))</f>
        <v/>
      </c>
      <c r="R192" s="16" t="str">
        <f aca="false">IF($A192="","",SUMIFS(月次実績!$D$5:$D$3004,月次実績!$B$5:$B$3004,$A192))</f>
        <v/>
      </c>
      <c r="S192" s="16" t="str">
        <f aca="false">IF($A192="","",SUMIFS(月次実績!$F$5:$F$3004,月次実績!$B$5:$B$3004,$A192))</f>
        <v/>
      </c>
      <c r="T192" s="19" t="str">
        <f aca="false">IF(OR($A192="",R192=0),"",S192/R192)</f>
        <v/>
      </c>
      <c r="U192" s="20" t="str">
        <f aca="false">IF($A192="","",SUMIFS(月次実績!$G$5:$G$3004,月次実績!$B$5:$B$3004,$A192))</f>
        <v/>
      </c>
      <c r="V192" s="17" t="str">
        <f aca="false">IF($A192="","",IF(Q192&gt;=設定!$C$7,"稼働中",IF(Q192&gt;=1,"低稼働","休眠")))</f>
        <v/>
      </c>
      <c r="W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15"/>
      <c r="H193" s="21"/>
      <c r="I193" s="15" t="str">
        <f aca="false">IF($A193="","",IF(_xlfn.MAXIFS(アクションログ!$A$5:$A$2004,アクションログ!$B$5:$B$2004,$A193)=0,"",_xlfn.MAXIFS(アクションログ!$A$5:$A$2004,アクションログ!$B$5:$B$2004,$A193)))</f>
        <v/>
      </c>
      <c r="J193" s="16" t="str">
        <f aca="false">IF(OR($A193="",I193=""),"",設定!$C$4-I193)</f>
        <v/>
      </c>
      <c r="K193" s="16" t="str">
        <f aca="false">IF($A193="","",IFERROR(INDEX(設定!$D$14:$D$17,MATCH(F193,設定!$B$14:$B$17,0)),""))</f>
        <v/>
      </c>
      <c r="L193" s="15" t="str">
        <f aca="false">IF(OR($A193="",K193=""),"",IF(I193="",設定!$C$4,I193+K193))</f>
        <v/>
      </c>
      <c r="M193" s="17" t="str">
        <f aca="false">IF($A193="","",IF(F193="","ランク未設定",IF(I193="","未接触",IF(設定!$C$4&gt;L193,"期限超過",IF(L193-設定!$C$4&lt;=設定!$C$8,"今週連絡","OK")))))</f>
        <v/>
      </c>
      <c r="N193" s="15" t="str">
        <f aca="false">IF($A193="","",IF(_xlfn.MINIFS(アクションログ!$J$5:$J$2004,アクションログ!$B$5:$B$2004,$A193,アクションログ!$K$5:$K$2004,"&lt;&gt;済",アクションログ!$J$5:$J$2004,"&gt;0")=0,"",_xlfn.MINIFS(アクションログ!$J$5:$J$2004,アクションログ!$B$5:$B$2004,$A193,アクションログ!$K$5:$K$2004,"&lt;&gt;済",アクションログ!$J$5:$J$2004,"&gt;0")))</f>
        <v/>
      </c>
      <c r="O193" s="18" t="str">
        <f aca="false">IF(N193="","",IFERROR(INDEX(アクションログ!$I$5:$I$2004,MATCH($A193&amp;"|"&amp;N193,アクションログ!$L$5:$L$2004,0)),""))</f>
        <v/>
      </c>
      <c r="P193" s="16" t="str">
        <f aca="false">IF($A193="","",COUNTIFS(アクションログ!$B$5:$B$2004,$A193,アクションログ!$A$5:$A$2004,"&gt;="&amp;設定!$C$5))</f>
        <v/>
      </c>
      <c r="Q193" s="16" t="str">
        <f aca="false">IF($A193="","",SUMIFS(月次実績!$D$5:$D$3004,月次実績!$B$5:$B$3004,$A193,月次実績!$A$5:$A$3004,"&gt;="&amp;EDATE(設定!$C$5,-(設定!$C$6-1))))</f>
        <v/>
      </c>
      <c r="R193" s="16" t="str">
        <f aca="false">IF($A193="","",SUMIFS(月次実績!$D$5:$D$3004,月次実績!$B$5:$B$3004,$A193))</f>
        <v/>
      </c>
      <c r="S193" s="16" t="str">
        <f aca="false">IF($A193="","",SUMIFS(月次実績!$F$5:$F$3004,月次実績!$B$5:$B$3004,$A193))</f>
        <v/>
      </c>
      <c r="T193" s="19" t="str">
        <f aca="false">IF(OR($A193="",R193=0),"",S193/R193)</f>
        <v/>
      </c>
      <c r="U193" s="20" t="str">
        <f aca="false">IF($A193="","",SUMIFS(月次実績!$G$5:$G$3004,月次実績!$B$5:$B$3004,$A193))</f>
        <v/>
      </c>
      <c r="V193" s="17" t="str">
        <f aca="false">IF($A193="","",IF(Q193&gt;=設定!$C$7,"稼働中",IF(Q193&gt;=1,"低稼働","休眠")))</f>
        <v/>
      </c>
      <c r="W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15"/>
      <c r="H194" s="21"/>
      <c r="I194" s="15" t="str">
        <f aca="false">IF($A194="","",IF(_xlfn.MAXIFS(アクションログ!$A$5:$A$2004,アクションログ!$B$5:$B$2004,$A194)=0,"",_xlfn.MAXIFS(アクションログ!$A$5:$A$2004,アクションログ!$B$5:$B$2004,$A194)))</f>
        <v/>
      </c>
      <c r="J194" s="16" t="str">
        <f aca="false">IF(OR($A194="",I194=""),"",設定!$C$4-I194)</f>
        <v/>
      </c>
      <c r="K194" s="16" t="str">
        <f aca="false">IF($A194="","",IFERROR(INDEX(設定!$D$14:$D$17,MATCH(F194,設定!$B$14:$B$17,0)),""))</f>
        <v/>
      </c>
      <c r="L194" s="15" t="str">
        <f aca="false">IF(OR($A194="",K194=""),"",IF(I194="",設定!$C$4,I194+K194))</f>
        <v/>
      </c>
      <c r="M194" s="17" t="str">
        <f aca="false">IF($A194="","",IF(F194="","ランク未設定",IF(I194="","未接触",IF(設定!$C$4&gt;L194,"期限超過",IF(L194-設定!$C$4&lt;=設定!$C$8,"今週連絡","OK")))))</f>
        <v/>
      </c>
      <c r="N194" s="15" t="str">
        <f aca="false">IF($A194="","",IF(_xlfn.MINIFS(アクションログ!$J$5:$J$2004,アクションログ!$B$5:$B$2004,$A194,アクションログ!$K$5:$K$2004,"&lt;&gt;済",アクションログ!$J$5:$J$2004,"&gt;0")=0,"",_xlfn.MINIFS(アクションログ!$J$5:$J$2004,アクションログ!$B$5:$B$2004,$A194,アクションログ!$K$5:$K$2004,"&lt;&gt;済",アクションログ!$J$5:$J$2004,"&gt;0")))</f>
        <v/>
      </c>
      <c r="O194" s="18" t="str">
        <f aca="false">IF(N194="","",IFERROR(INDEX(アクションログ!$I$5:$I$2004,MATCH($A194&amp;"|"&amp;N194,アクションログ!$L$5:$L$2004,0)),""))</f>
        <v/>
      </c>
      <c r="P194" s="16" t="str">
        <f aca="false">IF($A194="","",COUNTIFS(アクションログ!$B$5:$B$2004,$A194,アクションログ!$A$5:$A$2004,"&gt;="&amp;設定!$C$5))</f>
        <v/>
      </c>
      <c r="Q194" s="16" t="str">
        <f aca="false">IF($A194="","",SUMIFS(月次実績!$D$5:$D$3004,月次実績!$B$5:$B$3004,$A194,月次実績!$A$5:$A$3004,"&gt;="&amp;EDATE(設定!$C$5,-(設定!$C$6-1))))</f>
        <v/>
      </c>
      <c r="R194" s="16" t="str">
        <f aca="false">IF($A194="","",SUMIFS(月次実績!$D$5:$D$3004,月次実績!$B$5:$B$3004,$A194))</f>
        <v/>
      </c>
      <c r="S194" s="16" t="str">
        <f aca="false">IF($A194="","",SUMIFS(月次実績!$F$5:$F$3004,月次実績!$B$5:$B$3004,$A194))</f>
        <v/>
      </c>
      <c r="T194" s="19" t="str">
        <f aca="false">IF(OR($A194="",R194=0),"",S194/R194)</f>
        <v/>
      </c>
      <c r="U194" s="20" t="str">
        <f aca="false">IF($A194="","",SUMIFS(月次実績!$G$5:$G$3004,月次実績!$B$5:$B$3004,$A194))</f>
        <v/>
      </c>
      <c r="V194" s="17" t="str">
        <f aca="false">IF($A194="","",IF(Q194&gt;=設定!$C$7,"稼働中",IF(Q194&gt;=1,"低稼働","休眠")))</f>
        <v/>
      </c>
      <c r="W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15"/>
      <c r="H195" s="21"/>
      <c r="I195" s="15" t="str">
        <f aca="false">IF($A195="","",IF(_xlfn.MAXIFS(アクションログ!$A$5:$A$2004,アクションログ!$B$5:$B$2004,$A195)=0,"",_xlfn.MAXIFS(アクションログ!$A$5:$A$2004,アクションログ!$B$5:$B$2004,$A195)))</f>
        <v/>
      </c>
      <c r="J195" s="16" t="str">
        <f aca="false">IF(OR($A195="",I195=""),"",設定!$C$4-I195)</f>
        <v/>
      </c>
      <c r="K195" s="16" t="str">
        <f aca="false">IF($A195="","",IFERROR(INDEX(設定!$D$14:$D$17,MATCH(F195,設定!$B$14:$B$17,0)),""))</f>
        <v/>
      </c>
      <c r="L195" s="15" t="str">
        <f aca="false">IF(OR($A195="",K195=""),"",IF(I195="",設定!$C$4,I195+K195))</f>
        <v/>
      </c>
      <c r="M195" s="17" t="str">
        <f aca="false">IF($A195="","",IF(F195="","ランク未設定",IF(I195="","未接触",IF(設定!$C$4&gt;L195,"期限超過",IF(L195-設定!$C$4&lt;=設定!$C$8,"今週連絡","OK")))))</f>
        <v/>
      </c>
      <c r="N195" s="15" t="str">
        <f aca="false">IF($A195="","",IF(_xlfn.MINIFS(アクションログ!$J$5:$J$2004,アクションログ!$B$5:$B$2004,$A195,アクションログ!$K$5:$K$2004,"&lt;&gt;済",アクションログ!$J$5:$J$2004,"&gt;0")=0,"",_xlfn.MINIFS(アクションログ!$J$5:$J$2004,アクションログ!$B$5:$B$2004,$A195,アクションログ!$K$5:$K$2004,"&lt;&gt;済",アクションログ!$J$5:$J$2004,"&gt;0")))</f>
        <v/>
      </c>
      <c r="O195" s="18" t="str">
        <f aca="false">IF(N195="","",IFERROR(INDEX(アクションログ!$I$5:$I$2004,MATCH($A195&amp;"|"&amp;N195,アクションログ!$L$5:$L$2004,0)),""))</f>
        <v/>
      </c>
      <c r="P195" s="16" t="str">
        <f aca="false">IF($A195="","",COUNTIFS(アクションログ!$B$5:$B$2004,$A195,アクションログ!$A$5:$A$2004,"&gt;="&amp;設定!$C$5))</f>
        <v/>
      </c>
      <c r="Q195" s="16" t="str">
        <f aca="false">IF($A195="","",SUMIFS(月次実績!$D$5:$D$3004,月次実績!$B$5:$B$3004,$A195,月次実績!$A$5:$A$3004,"&gt;="&amp;EDATE(設定!$C$5,-(設定!$C$6-1))))</f>
        <v/>
      </c>
      <c r="R195" s="16" t="str">
        <f aca="false">IF($A195="","",SUMIFS(月次実績!$D$5:$D$3004,月次実績!$B$5:$B$3004,$A195))</f>
        <v/>
      </c>
      <c r="S195" s="16" t="str">
        <f aca="false">IF($A195="","",SUMIFS(月次実績!$F$5:$F$3004,月次実績!$B$5:$B$3004,$A195))</f>
        <v/>
      </c>
      <c r="T195" s="19" t="str">
        <f aca="false">IF(OR($A195="",R195=0),"",S195/R195)</f>
        <v/>
      </c>
      <c r="U195" s="20" t="str">
        <f aca="false">IF($A195="","",SUMIFS(月次実績!$G$5:$G$3004,月次実績!$B$5:$B$3004,$A195))</f>
        <v/>
      </c>
      <c r="V195" s="17" t="str">
        <f aca="false">IF($A195="","",IF(Q195&gt;=設定!$C$7,"稼働中",IF(Q195&gt;=1,"低稼働","休眠")))</f>
        <v/>
      </c>
      <c r="W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15"/>
      <c r="H196" s="21"/>
      <c r="I196" s="15" t="str">
        <f aca="false">IF($A196="","",IF(_xlfn.MAXIFS(アクションログ!$A$5:$A$2004,アクションログ!$B$5:$B$2004,$A196)=0,"",_xlfn.MAXIFS(アクションログ!$A$5:$A$2004,アクションログ!$B$5:$B$2004,$A196)))</f>
        <v/>
      </c>
      <c r="J196" s="16" t="str">
        <f aca="false">IF(OR($A196="",I196=""),"",設定!$C$4-I196)</f>
        <v/>
      </c>
      <c r="K196" s="16" t="str">
        <f aca="false">IF($A196="","",IFERROR(INDEX(設定!$D$14:$D$17,MATCH(F196,設定!$B$14:$B$17,0)),""))</f>
        <v/>
      </c>
      <c r="L196" s="15" t="str">
        <f aca="false">IF(OR($A196="",K196=""),"",IF(I196="",設定!$C$4,I196+K196))</f>
        <v/>
      </c>
      <c r="M196" s="17" t="str">
        <f aca="false">IF($A196="","",IF(F196="","ランク未設定",IF(I196="","未接触",IF(設定!$C$4&gt;L196,"期限超過",IF(L196-設定!$C$4&lt;=設定!$C$8,"今週連絡","OK")))))</f>
        <v/>
      </c>
      <c r="N196" s="15" t="str">
        <f aca="false">IF($A196="","",IF(_xlfn.MINIFS(アクションログ!$J$5:$J$2004,アクションログ!$B$5:$B$2004,$A196,アクションログ!$K$5:$K$2004,"&lt;&gt;済",アクションログ!$J$5:$J$2004,"&gt;0")=0,"",_xlfn.MINIFS(アクションログ!$J$5:$J$2004,アクションログ!$B$5:$B$2004,$A196,アクションログ!$K$5:$K$2004,"&lt;&gt;済",アクションログ!$J$5:$J$2004,"&gt;0")))</f>
        <v/>
      </c>
      <c r="O196" s="18" t="str">
        <f aca="false">IF(N196="","",IFERROR(INDEX(アクションログ!$I$5:$I$2004,MATCH($A196&amp;"|"&amp;N196,アクションログ!$L$5:$L$2004,0)),""))</f>
        <v/>
      </c>
      <c r="P196" s="16" t="str">
        <f aca="false">IF($A196="","",COUNTIFS(アクションログ!$B$5:$B$2004,$A196,アクションログ!$A$5:$A$2004,"&gt;="&amp;設定!$C$5))</f>
        <v/>
      </c>
      <c r="Q196" s="16" t="str">
        <f aca="false">IF($A196="","",SUMIFS(月次実績!$D$5:$D$3004,月次実績!$B$5:$B$3004,$A196,月次実績!$A$5:$A$3004,"&gt;="&amp;EDATE(設定!$C$5,-(設定!$C$6-1))))</f>
        <v/>
      </c>
      <c r="R196" s="16" t="str">
        <f aca="false">IF($A196="","",SUMIFS(月次実績!$D$5:$D$3004,月次実績!$B$5:$B$3004,$A196))</f>
        <v/>
      </c>
      <c r="S196" s="16" t="str">
        <f aca="false">IF($A196="","",SUMIFS(月次実績!$F$5:$F$3004,月次実績!$B$5:$B$3004,$A196))</f>
        <v/>
      </c>
      <c r="T196" s="19" t="str">
        <f aca="false">IF(OR($A196="",R196=0),"",S196/R196)</f>
        <v/>
      </c>
      <c r="U196" s="20" t="str">
        <f aca="false">IF($A196="","",SUMIFS(月次実績!$G$5:$G$3004,月次実績!$B$5:$B$3004,$A196))</f>
        <v/>
      </c>
      <c r="V196" s="17" t="str">
        <f aca="false">IF($A196="","",IF(Q196&gt;=設定!$C$7,"稼働中",IF(Q196&gt;=1,"低稼働","休眠")))</f>
        <v/>
      </c>
      <c r="W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15"/>
      <c r="H197" s="21"/>
      <c r="I197" s="15" t="str">
        <f aca="false">IF($A197="","",IF(_xlfn.MAXIFS(アクションログ!$A$5:$A$2004,アクションログ!$B$5:$B$2004,$A197)=0,"",_xlfn.MAXIFS(アクションログ!$A$5:$A$2004,アクションログ!$B$5:$B$2004,$A197)))</f>
        <v/>
      </c>
      <c r="J197" s="16" t="str">
        <f aca="false">IF(OR($A197="",I197=""),"",設定!$C$4-I197)</f>
        <v/>
      </c>
      <c r="K197" s="16" t="str">
        <f aca="false">IF($A197="","",IFERROR(INDEX(設定!$D$14:$D$17,MATCH(F197,設定!$B$14:$B$17,0)),""))</f>
        <v/>
      </c>
      <c r="L197" s="15" t="str">
        <f aca="false">IF(OR($A197="",K197=""),"",IF(I197="",設定!$C$4,I197+K197))</f>
        <v/>
      </c>
      <c r="M197" s="17" t="str">
        <f aca="false">IF($A197="","",IF(F197="","ランク未設定",IF(I197="","未接触",IF(設定!$C$4&gt;L197,"期限超過",IF(L197-設定!$C$4&lt;=設定!$C$8,"今週連絡","OK")))))</f>
        <v/>
      </c>
      <c r="N197" s="15" t="str">
        <f aca="false">IF($A197="","",IF(_xlfn.MINIFS(アクションログ!$J$5:$J$2004,アクションログ!$B$5:$B$2004,$A197,アクションログ!$K$5:$K$2004,"&lt;&gt;済",アクションログ!$J$5:$J$2004,"&gt;0")=0,"",_xlfn.MINIFS(アクションログ!$J$5:$J$2004,アクションログ!$B$5:$B$2004,$A197,アクションログ!$K$5:$K$2004,"&lt;&gt;済",アクションログ!$J$5:$J$2004,"&gt;0")))</f>
        <v/>
      </c>
      <c r="O197" s="18" t="str">
        <f aca="false">IF(N197="","",IFERROR(INDEX(アクションログ!$I$5:$I$2004,MATCH($A197&amp;"|"&amp;N197,アクションログ!$L$5:$L$2004,0)),""))</f>
        <v/>
      </c>
      <c r="P197" s="16" t="str">
        <f aca="false">IF($A197="","",COUNTIFS(アクションログ!$B$5:$B$2004,$A197,アクションログ!$A$5:$A$2004,"&gt;="&amp;設定!$C$5))</f>
        <v/>
      </c>
      <c r="Q197" s="16" t="str">
        <f aca="false">IF($A197="","",SUMIFS(月次実績!$D$5:$D$3004,月次実績!$B$5:$B$3004,$A197,月次実績!$A$5:$A$3004,"&gt;="&amp;EDATE(設定!$C$5,-(設定!$C$6-1))))</f>
        <v/>
      </c>
      <c r="R197" s="16" t="str">
        <f aca="false">IF($A197="","",SUMIFS(月次実績!$D$5:$D$3004,月次実績!$B$5:$B$3004,$A197))</f>
        <v/>
      </c>
      <c r="S197" s="16" t="str">
        <f aca="false">IF($A197="","",SUMIFS(月次実績!$F$5:$F$3004,月次実績!$B$5:$B$3004,$A197))</f>
        <v/>
      </c>
      <c r="T197" s="19" t="str">
        <f aca="false">IF(OR($A197="",R197=0),"",S197/R197)</f>
        <v/>
      </c>
      <c r="U197" s="20" t="str">
        <f aca="false">IF($A197="","",SUMIFS(月次実績!$G$5:$G$3004,月次実績!$B$5:$B$3004,$A197))</f>
        <v/>
      </c>
      <c r="V197" s="17" t="str">
        <f aca="false">IF($A197="","",IF(Q197&gt;=設定!$C$7,"稼働中",IF(Q197&gt;=1,"低稼働","休眠")))</f>
        <v/>
      </c>
      <c r="W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15"/>
      <c r="H198" s="21"/>
      <c r="I198" s="15" t="str">
        <f aca="false">IF($A198="","",IF(_xlfn.MAXIFS(アクションログ!$A$5:$A$2004,アクションログ!$B$5:$B$2004,$A198)=0,"",_xlfn.MAXIFS(アクションログ!$A$5:$A$2004,アクションログ!$B$5:$B$2004,$A198)))</f>
        <v/>
      </c>
      <c r="J198" s="16" t="str">
        <f aca="false">IF(OR($A198="",I198=""),"",設定!$C$4-I198)</f>
        <v/>
      </c>
      <c r="K198" s="16" t="str">
        <f aca="false">IF($A198="","",IFERROR(INDEX(設定!$D$14:$D$17,MATCH(F198,設定!$B$14:$B$17,0)),""))</f>
        <v/>
      </c>
      <c r="L198" s="15" t="str">
        <f aca="false">IF(OR($A198="",K198=""),"",IF(I198="",設定!$C$4,I198+K198))</f>
        <v/>
      </c>
      <c r="M198" s="17" t="str">
        <f aca="false">IF($A198="","",IF(F198="","ランク未設定",IF(I198="","未接触",IF(設定!$C$4&gt;L198,"期限超過",IF(L198-設定!$C$4&lt;=設定!$C$8,"今週連絡","OK")))))</f>
        <v/>
      </c>
      <c r="N198" s="15" t="str">
        <f aca="false">IF($A198="","",IF(_xlfn.MINIFS(アクションログ!$J$5:$J$2004,アクションログ!$B$5:$B$2004,$A198,アクションログ!$K$5:$K$2004,"&lt;&gt;済",アクションログ!$J$5:$J$2004,"&gt;0")=0,"",_xlfn.MINIFS(アクションログ!$J$5:$J$2004,アクションログ!$B$5:$B$2004,$A198,アクションログ!$K$5:$K$2004,"&lt;&gt;済",アクションログ!$J$5:$J$2004,"&gt;0")))</f>
        <v/>
      </c>
      <c r="O198" s="18" t="str">
        <f aca="false">IF(N198="","",IFERROR(INDEX(アクションログ!$I$5:$I$2004,MATCH($A198&amp;"|"&amp;N198,アクションログ!$L$5:$L$2004,0)),""))</f>
        <v/>
      </c>
      <c r="P198" s="16" t="str">
        <f aca="false">IF($A198="","",COUNTIFS(アクションログ!$B$5:$B$2004,$A198,アクションログ!$A$5:$A$2004,"&gt;="&amp;設定!$C$5))</f>
        <v/>
      </c>
      <c r="Q198" s="16" t="str">
        <f aca="false">IF($A198="","",SUMIFS(月次実績!$D$5:$D$3004,月次実績!$B$5:$B$3004,$A198,月次実績!$A$5:$A$3004,"&gt;="&amp;EDATE(設定!$C$5,-(設定!$C$6-1))))</f>
        <v/>
      </c>
      <c r="R198" s="16" t="str">
        <f aca="false">IF($A198="","",SUMIFS(月次実績!$D$5:$D$3004,月次実績!$B$5:$B$3004,$A198))</f>
        <v/>
      </c>
      <c r="S198" s="16" t="str">
        <f aca="false">IF($A198="","",SUMIFS(月次実績!$F$5:$F$3004,月次実績!$B$5:$B$3004,$A198))</f>
        <v/>
      </c>
      <c r="T198" s="19" t="str">
        <f aca="false">IF(OR($A198="",R198=0),"",S198/R198)</f>
        <v/>
      </c>
      <c r="U198" s="20" t="str">
        <f aca="false">IF($A198="","",SUMIFS(月次実績!$G$5:$G$3004,月次実績!$B$5:$B$3004,$A198))</f>
        <v/>
      </c>
      <c r="V198" s="17" t="str">
        <f aca="false">IF($A198="","",IF(Q198&gt;=設定!$C$7,"稼働中",IF(Q198&gt;=1,"低稼働","休眠")))</f>
        <v/>
      </c>
      <c r="W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15"/>
      <c r="H199" s="21"/>
      <c r="I199" s="15" t="str">
        <f aca="false">IF($A199="","",IF(_xlfn.MAXIFS(アクションログ!$A$5:$A$2004,アクションログ!$B$5:$B$2004,$A199)=0,"",_xlfn.MAXIFS(アクションログ!$A$5:$A$2004,アクションログ!$B$5:$B$2004,$A199)))</f>
        <v/>
      </c>
      <c r="J199" s="16" t="str">
        <f aca="false">IF(OR($A199="",I199=""),"",設定!$C$4-I199)</f>
        <v/>
      </c>
      <c r="K199" s="16" t="str">
        <f aca="false">IF($A199="","",IFERROR(INDEX(設定!$D$14:$D$17,MATCH(F199,設定!$B$14:$B$17,0)),""))</f>
        <v/>
      </c>
      <c r="L199" s="15" t="str">
        <f aca="false">IF(OR($A199="",K199=""),"",IF(I199="",設定!$C$4,I199+K199))</f>
        <v/>
      </c>
      <c r="M199" s="17" t="str">
        <f aca="false">IF($A199="","",IF(F199="","ランク未設定",IF(I199="","未接触",IF(設定!$C$4&gt;L199,"期限超過",IF(L199-設定!$C$4&lt;=設定!$C$8,"今週連絡","OK")))))</f>
        <v/>
      </c>
      <c r="N199" s="15" t="str">
        <f aca="false">IF($A199="","",IF(_xlfn.MINIFS(アクションログ!$J$5:$J$2004,アクションログ!$B$5:$B$2004,$A199,アクションログ!$K$5:$K$2004,"&lt;&gt;済",アクションログ!$J$5:$J$2004,"&gt;0")=0,"",_xlfn.MINIFS(アクションログ!$J$5:$J$2004,アクションログ!$B$5:$B$2004,$A199,アクションログ!$K$5:$K$2004,"&lt;&gt;済",アクションログ!$J$5:$J$2004,"&gt;0")))</f>
        <v/>
      </c>
      <c r="O199" s="18" t="str">
        <f aca="false">IF(N199="","",IFERROR(INDEX(アクションログ!$I$5:$I$2004,MATCH($A199&amp;"|"&amp;N199,アクションログ!$L$5:$L$2004,0)),""))</f>
        <v/>
      </c>
      <c r="P199" s="16" t="str">
        <f aca="false">IF($A199="","",COUNTIFS(アクションログ!$B$5:$B$2004,$A199,アクションログ!$A$5:$A$2004,"&gt;="&amp;設定!$C$5))</f>
        <v/>
      </c>
      <c r="Q199" s="16" t="str">
        <f aca="false">IF($A199="","",SUMIFS(月次実績!$D$5:$D$3004,月次実績!$B$5:$B$3004,$A199,月次実績!$A$5:$A$3004,"&gt;="&amp;EDATE(設定!$C$5,-(設定!$C$6-1))))</f>
        <v/>
      </c>
      <c r="R199" s="16" t="str">
        <f aca="false">IF($A199="","",SUMIFS(月次実績!$D$5:$D$3004,月次実績!$B$5:$B$3004,$A199))</f>
        <v/>
      </c>
      <c r="S199" s="16" t="str">
        <f aca="false">IF($A199="","",SUMIFS(月次実績!$F$5:$F$3004,月次実績!$B$5:$B$3004,$A199))</f>
        <v/>
      </c>
      <c r="T199" s="19" t="str">
        <f aca="false">IF(OR($A199="",R199=0),"",S199/R199)</f>
        <v/>
      </c>
      <c r="U199" s="20" t="str">
        <f aca="false">IF($A199="","",SUMIFS(月次実績!$G$5:$G$3004,月次実績!$B$5:$B$3004,$A199))</f>
        <v/>
      </c>
      <c r="V199" s="17" t="str">
        <f aca="false">IF($A199="","",IF(Q199&gt;=設定!$C$7,"稼働中",IF(Q199&gt;=1,"低稼働","休眠")))</f>
        <v/>
      </c>
      <c r="W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15"/>
      <c r="H200" s="21"/>
      <c r="I200" s="15" t="str">
        <f aca="false">IF($A200="","",IF(_xlfn.MAXIFS(アクションログ!$A$5:$A$2004,アクションログ!$B$5:$B$2004,$A200)=0,"",_xlfn.MAXIFS(アクションログ!$A$5:$A$2004,アクションログ!$B$5:$B$2004,$A200)))</f>
        <v/>
      </c>
      <c r="J200" s="16" t="str">
        <f aca="false">IF(OR($A200="",I200=""),"",設定!$C$4-I200)</f>
        <v/>
      </c>
      <c r="K200" s="16" t="str">
        <f aca="false">IF($A200="","",IFERROR(INDEX(設定!$D$14:$D$17,MATCH(F200,設定!$B$14:$B$17,0)),""))</f>
        <v/>
      </c>
      <c r="L200" s="15" t="str">
        <f aca="false">IF(OR($A200="",K200=""),"",IF(I200="",設定!$C$4,I200+K200))</f>
        <v/>
      </c>
      <c r="M200" s="17" t="str">
        <f aca="false">IF($A200="","",IF(F200="","ランク未設定",IF(I200="","未接触",IF(設定!$C$4&gt;L200,"期限超過",IF(L200-設定!$C$4&lt;=設定!$C$8,"今週連絡","OK")))))</f>
        <v/>
      </c>
      <c r="N200" s="15" t="str">
        <f aca="false">IF($A200="","",IF(_xlfn.MINIFS(アクションログ!$J$5:$J$2004,アクションログ!$B$5:$B$2004,$A200,アクションログ!$K$5:$K$2004,"&lt;&gt;済",アクションログ!$J$5:$J$2004,"&gt;0")=0,"",_xlfn.MINIFS(アクションログ!$J$5:$J$2004,アクションログ!$B$5:$B$2004,$A200,アクションログ!$K$5:$K$2004,"&lt;&gt;済",アクションログ!$J$5:$J$2004,"&gt;0")))</f>
        <v/>
      </c>
      <c r="O200" s="18" t="str">
        <f aca="false">IF(N200="","",IFERROR(INDEX(アクションログ!$I$5:$I$2004,MATCH($A200&amp;"|"&amp;N200,アクションログ!$L$5:$L$2004,0)),""))</f>
        <v/>
      </c>
      <c r="P200" s="16" t="str">
        <f aca="false">IF($A200="","",COUNTIFS(アクションログ!$B$5:$B$2004,$A200,アクションログ!$A$5:$A$2004,"&gt;="&amp;設定!$C$5))</f>
        <v/>
      </c>
      <c r="Q200" s="16" t="str">
        <f aca="false">IF($A200="","",SUMIFS(月次実績!$D$5:$D$3004,月次実績!$B$5:$B$3004,$A200,月次実績!$A$5:$A$3004,"&gt;="&amp;EDATE(設定!$C$5,-(設定!$C$6-1))))</f>
        <v/>
      </c>
      <c r="R200" s="16" t="str">
        <f aca="false">IF($A200="","",SUMIFS(月次実績!$D$5:$D$3004,月次実績!$B$5:$B$3004,$A200))</f>
        <v/>
      </c>
      <c r="S200" s="16" t="str">
        <f aca="false">IF($A200="","",SUMIFS(月次実績!$F$5:$F$3004,月次実績!$B$5:$B$3004,$A200))</f>
        <v/>
      </c>
      <c r="T200" s="19" t="str">
        <f aca="false">IF(OR($A200="",R200=0),"",S200/R200)</f>
        <v/>
      </c>
      <c r="U200" s="20" t="str">
        <f aca="false">IF($A200="","",SUMIFS(月次実績!$G$5:$G$3004,月次実績!$B$5:$B$3004,$A200))</f>
        <v/>
      </c>
      <c r="V200" s="17" t="str">
        <f aca="false">IF($A200="","",IF(Q200&gt;=設定!$C$7,"稼働中",IF(Q200&gt;=1,"低稼働","休眠")))</f>
        <v/>
      </c>
      <c r="W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1"/>
      <c r="G201" s="15"/>
      <c r="H201" s="21"/>
      <c r="I201" s="15" t="str">
        <f aca="false">IF($A201="","",IF(_xlfn.MAXIFS(アクションログ!$A$5:$A$2004,アクションログ!$B$5:$B$2004,$A201)=0,"",_xlfn.MAXIFS(アクションログ!$A$5:$A$2004,アクションログ!$B$5:$B$2004,$A201)))</f>
        <v/>
      </c>
      <c r="J201" s="16" t="str">
        <f aca="false">IF(OR($A201="",I201=""),"",設定!$C$4-I201)</f>
        <v/>
      </c>
      <c r="K201" s="16" t="str">
        <f aca="false">IF($A201="","",IFERROR(INDEX(設定!$D$14:$D$17,MATCH(F201,設定!$B$14:$B$17,0)),""))</f>
        <v/>
      </c>
      <c r="L201" s="15" t="str">
        <f aca="false">IF(OR($A201="",K201=""),"",IF(I201="",設定!$C$4,I201+K201))</f>
        <v/>
      </c>
      <c r="M201" s="17" t="str">
        <f aca="false">IF($A201="","",IF(F201="","ランク未設定",IF(I201="","未接触",IF(設定!$C$4&gt;L201,"期限超過",IF(L201-設定!$C$4&lt;=設定!$C$8,"今週連絡","OK")))))</f>
        <v/>
      </c>
      <c r="N201" s="15" t="str">
        <f aca="false">IF($A201="","",IF(_xlfn.MINIFS(アクションログ!$J$5:$J$2004,アクションログ!$B$5:$B$2004,$A201,アクションログ!$K$5:$K$2004,"&lt;&gt;済",アクションログ!$J$5:$J$2004,"&gt;0")=0,"",_xlfn.MINIFS(アクションログ!$J$5:$J$2004,アクションログ!$B$5:$B$2004,$A201,アクションログ!$K$5:$K$2004,"&lt;&gt;済",アクションログ!$J$5:$J$2004,"&gt;0")))</f>
        <v/>
      </c>
      <c r="O201" s="18" t="str">
        <f aca="false">IF(N201="","",IFERROR(INDEX(アクションログ!$I$5:$I$2004,MATCH($A201&amp;"|"&amp;N201,アクションログ!$L$5:$L$2004,0)),""))</f>
        <v/>
      </c>
      <c r="P201" s="16" t="str">
        <f aca="false">IF($A201="","",COUNTIFS(アクションログ!$B$5:$B$2004,$A201,アクションログ!$A$5:$A$2004,"&gt;="&amp;設定!$C$5))</f>
        <v/>
      </c>
      <c r="Q201" s="16" t="str">
        <f aca="false">IF($A201="","",SUMIFS(月次実績!$D$5:$D$3004,月次実績!$B$5:$B$3004,$A201,月次実績!$A$5:$A$3004,"&gt;="&amp;EDATE(設定!$C$5,-(設定!$C$6-1))))</f>
        <v/>
      </c>
      <c r="R201" s="16" t="str">
        <f aca="false">IF($A201="","",SUMIFS(月次実績!$D$5:$D$3004,月次実績!$B$5:$B$3004,$A201))</f>
        <v/>
      </c>
      <c r="S201" s="16" t="str">
        <f aca="false">IF($A201="","",SUMIFS(月次実績!$F$5:$F$3004,月次実績!$B$5:$B$3004,$A201))</f>
        <v/>
      </c>
      <c r="T201" s="19" t="str">
        <f aca="false">IF(OR($A201="",R201=0),"",S201/R201)</f>
        <v/>
      </c>
      <c r="U201" s="20" t="str">
        <f aca="false">IF($A201="","",SUMIFS(月次実績!$G$5:$G$3004,月次実績!$B$5:$B$3004,$A201))</f>
        <v/>
      </c>
      <c r="V201" s="17" t="str">
        <f aca="false">IF($A201="","",IF(Q201&gt;=設定!$C$7,"稼働中",IF(Q201&gt;=1,"低稼働","休眠")))</f>
        <v/>
      </c>
      <c r="W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1"/>
      <c r="G202" s="15"/>
      <c r="H202" s="21"/>
      <c r="I202" s="15" t="str">
        <f aca="false">IF($A202="","",IF(_xlfn.MAXIFS(アクションログ!$A$5:$A$2004,アクションログ!$B$5:$B$2004,$A202)=0,"",_xlfn.MAXIFS(アクションログ!$A$5:$A$2004,アクションログ!$B$5:$B$2004,$A202)))</f>
        <v/>
      </c>
      <c r="J202" s="16" t="str">
        <f aca="false">IF(OR($A202="",I202=""),"",設定!$C$4-I202)</f>
        <v/>
      </c>
      <c r="K202" s="16" t="str">
        <f aca="false">IF($A202="","",IFERROR(INDEX(設定!$D$14:$D$17,MATCH(F202,設定!$B$14:$B$17,0)),""))</f>
        <v/>
      </c>
      <c r="L202" s="15" t="str">
        <f aca="false">IF(OR($A202="",K202=""),"",IF(I202="",設定!$C$4,I202+K202))</f>
        <v/>
      </c>
      <c r="M202" s="17" t="str">
        <f aca="false">IF($A202="","",IF(F202="","ランク未設定",IF(I202="","未接触",IF(設定!$C$4&gt;L202,"期限超過",IF(L202-設定!$C$4&lt;=設定!$C$8,"今週連絡","OK")))))</f>
        <v/>
      </c>
      <c r="N202" s="15" t="str">
        <f aca="false">IF($A202="","",IF(_xlfn.MINIFS(アクションログ!$J$5:$J$2004,アクションログ!$B$5:$B$2004,$A202,アクションログ!$K$5:$K$2004,"&lt;&gt;済",アクションログ!$J$5:$J$2004,"&gt;0")=0,"",_xlfn.MINIFS(アクションログ!$J$5:$J$2004,アクションログ!$B$5:$B$2004,$A202,アクションログ!$K$5:$K$2004,"&lt;&gt;済",アクションログ!$J$5:$J$2004,"&gt;0")))</f>
        <v/>
      </c>
      <c r="O202" s="18" t="str">
        <f aca="false">IF(N202="","",IFERROR(INDEX(アクションログ!$I$5:$I$2004,MATCH($A202&amp;"|"&amp;N202,アクションログ!$L$5:$L$2004,0)),""))</f>
        <v/>
      </c>
      <c r="P202" s="16" t="str">
        <f aca="false">IF($A202="","",COUNTIFS(アクションログ!$B$5:$B$2004,$A202,アクションログ!$A$5:$A$2004,"&gt;="&amp;設定!$C$5))</f>
        <v/>
      </c>
      <c r="Q202" s="16" t="str">
        <f aca="false">IF($A202="","",SUMIFS(月次実績!$D$5:$D$3004,月次実績!$B$5:$B$3004,$A202,月次実績!$A$5:$A$3004,"&gt;="&amp;EDATE(設定!$C$5,-(設定!$C$6-1))))</f>
        <v/>
      </c>
      <c r="R202" s="16" t="str">
        <f aca="false">IF($A202="","",SUMIFS(月次実績!$D$5:$D$3004,月次実績!$B$5:$B$3004,$A202))</f>
        <v/>
      </c>
      <c r="S202" s="16" t="str">
        <f aca="false">IF($A202="","",SUMIFS(月次実績!$F$5:$F$3004,月次実績!$B$5:$B$3004,$A202))</f>
        <v/>
      </c>
      <c r="T202" s="19" t="str">
        <f aca="false">IF(OR($A202="",R202=0),"",S202/R202)</f>
        <v/>
      </c>
      <c r="U202" s="20" t="str">
        <f aca="false">IF($A202="","",SUMIFS(月次実績!$G$5:$G$3004,月次実績!$B$5:$B$3004,$A202))</f>
        <v/>
      </c>
      <c r="V202" s="17" t="str">
        <f aca="false">IF($A202="","",IF(Q202&gt;=設定!$C$7,"稼働中",IF(Q202&gt;=1,"低稼働","休眠")))</f>
        <v/>
      </c>
      <c r="W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1"/>
      <c r="G203" s="15"/>
      <c r="H203" s="21"/>
      <c r="I203" s="15" t="str">
        <f aca="false">IF($A203="","",IF(_xlfn.MAXIFS(アクションログ!$A$5:$A$2004,アクションログ!$B$5:$B$2004,$A203)=0,"",_xlfn.MAXIFS(アクションログ!$A$5:$A$2004,アクションログ!$B$5:$B$2004,$A203)))</f>
        <v/>
      </c>
      <c r="J203" s="16" t="str">
        <f aca="false">IF(OR($A203="",I203=""),"",設定!$C$4-I203)</f>
        <v/>
      </c>
      <c r="K203" s="16" t="str">
        <f aca="false">IF($A203="","",IFERROR(INDEX(設定!$D$14:$D$17,MATCH(F203,設定!$B$14:$B$17,0)),""))</f>
        <v/>
      </c>
      <c r="L203" s="15" t="str">
        <f aca="false">IF(OR($A203="",K203=""),"",IF(I203="",設定!$C$4,I203+K203))</f>
        <v/>
      </c>
      <c r="M203" s="17" t="str">
        <f aca="false">IF($A203="","",IF(F203="","ランク未設定",IF(I203="","未接触",IF(設定!$C$4&gt;L203,"期限超過",IF(L203-設定!$C$4&lt;=設定!$C$8,"今週連絡","OK")))))</f>
        <v/>
      </c>
      <c r="N203" s="15" t="str">
        <f aca="false">IF($A203="","",IF(_xlfn.MINIFS(アクションログ!$J$5:$J$2004,アクションログ!$B$5:$B$2004,$A203,アクションログ!$K$5:$K$2004,"&lt;&gt;済",アクションログ!$J$5:$J$2004,"&gt;0")=0,"",_xlfn.MINIFS(アクションログ!$J$5:$J$2004,アクションログ!$B$5:$B$2004,$A203,アクションログ!$K$5:$K$2004,"&lt;&gt;済",アクションログ!$J$5:$J$2004,"&gt;0")))</f>
        <v/>
      </c>
      <c r="O203" s="18" t="str">
        <f aca="false">IF(N203="","",IFERROR(INDEX(アクションログ!$I$5:$I$2004,MATCH($A203&amp;"|"&amp;N203,アクションログ!$L$5:$L$2004,0)),""))</f>
        <v/>
      </c>
      <c r="P203" s="16" t="str">
        <f aca="false">IF($A203="","",COUNTIFS(アクションログ!$B$5:$B$2004,$A203,アクションログ!$A$5:$A$2004,"&gt;="&amp;設定!$C$5))</f>
        <v/>
      </c>
      <c r="Q203" s="16" t="str">
        <f aca="false">IF($A203="","",SUMIFS(月次実績!$D$5:$D$3004,月次実績!$B$5:$B$3004,$A203,月次実績!$A$5:$A$3004,"&gt;="&amp;EDATE(設定!$C$5,-(設定!$C$6-1))))</f>
        <v/>
      </c>
      <c r="R203" s="16" t="str">
        <f aca="false">IF($A203="","",SUMIFS(月次実績!$D$5:$D$3004,月次実績!$B$5:$B$3004,$A203))</f>
        <v/>
      </c>
      <c r="S203" s="16" t="str">
        <f aca="false">IF($A203="","",SUMIFS(月次実績!$F$5:$F$3004,月次実績!$B$5:$B$3004,$A203))</f>
        <v/>
      </c>
      <c r="T203" s="19" t="str">
        <f aca="false">IF(OR($A203="",R203=0),"",S203/R203)</f>
        <v/>
      </c>
      <c r="U203" s="20" t="str">
        <f aca="false">IF($A203="","",SUMIFS(月次実績!$G$5:$G$3004,月次実績!$B$5:$B$3004,$A203))</f>
        <v/>
      </c>
      <c r="V203" s="17" t="str">
        <f aca="false">IF($A203="","",IF(Q203&gt;=設定!$C$7,"稼働中",IF(Q203&gt;=1,"低稼働","休眠")))</f>
        <v/>
      </c>
      <c r="W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1"/>
      <c r="G204" s="15"/>
      <c r="H204" s="21"/>
      <c r="I204" s="15" t="str">
        <f aca="false">IF($A204="","",IF(_xlfn.MAXIFS(アクションログ!$A$5:$A$2004,アクションログ!$B$5:$B$2004,$A204)=0,"",_xlfn.MAXIFS(アクションログ!$A$5:$A$2004,アクションログ!$B$5:$B$2004,$A204)))</f>
        <v/>
      </c>
      <c r="J204" s="16" t="str">
        <f aca="false">IF(OR($A204="",I204=""),"",設定!$C$4-I204)</f>
        <v/>
      </c>
      <c r="K204" s="16" t="str">
        <f aca="false">IF($A204="","",IFERROR(INDEX(設定!$D$14:$D$17,MATCH(F204,設定!$B$14:$B$17,0)),""))</f>
        <v/>
      </c>
      <c r="L204" s="15" t="str">
        <f aca="false">IF(OR($A204="",K204=""),"",IF(I204="",設定!$C$4,I204+K204))</f>
        <v/>
      </c>
      <c r="M204" s="17" t="str">
        <f aca="false">IF($A204="","",IF(F204="","ランク未設定",IF(I204="","未接触",IF(設定!$C$4&gt;L204,"期限超過",IF(L204-設定!$C$4&lt;=設定!$C$8,"今週連絡","OK")))))</f>
        <v/>
      </c>
      <c r="N204" s="15" t="str">
        <f aca="false">IF($A204="","",IF(_xlfn.MINIFS(アクションログ!$J$5:$J$2004,アクションログ!$B$5:$B$2004,$A204,アクションログ!$K$5:$K$2004,"&lt;&gt;済",アクションログ!$J$5:$J$2004,"&gt;0")=0,"",_xlfn.MINIFS(アクションログ!$J$5:$J$2004,アクションログ!$B$5:$B$2004,$A204,アクションログ!$K$5:$K$2004,"&lt;&gt;済",アクションログ!$J$5:$J$2004,"&gt;0")))</f>
        <v/>
      </c>
      <c r="O204" s="18" t="str">
        <f aca="false">IF(N204="","",IFERROR(INDEX(アクションログ!$I$5:$I$2004,MATCH($A204&amp;"|"&amp;N204,アクションログ!$L$5:$L$2004,0)),""))</f>
        <v/>
      </c>
      <c r="P204" s="16" t="str">
        <f aca="false">IF($A204="","",COUNTIFS(アクションログ!$B$5:$B$2004,$A204,アクションログ!$A$5:$A$2004,"&gt;="&amp;設定!$C$5))</f>
        <v/>
      </c>
      <c r="Q204" s="16" t="str">
        <f aca="false">IF($A204="","",SUMIFS(月次実績!$D$5:$D$3004,月次実績!$B$5:$B$3004,$A204,月次実績!$A$5:$A$3004,"&gt;="&amp;EDATE(設定!$C$5,-(設定!$C$6-1))))</f>
        <v/>
      </c>
      <c r="R204" s="16" t="str">
        <f aca="false">IF($A204="","",SUMIFS(月次実績!$D$5:$D$3004,月次実績!$B$5:$B$3004,$A204))</f>
        <v/>
      </c>
      <c r="S204" s="16" t="str">
        <f aca="false">IF($A204="","",SUMIFS(月次実績!$F$5:$F$3004,月次実績!$B$5:$B$3004,$A204))</f>
        <v/>
      </c>
      <c r="T204" s="19" t="str">
        <f aca="false">IF(OR($A204="",R204=0),"",S204/R204)</f>
        <v/>
      </c>
      <c r="U204" s="20" t="str">
        <f aca="false">IF($A204="","",SUMIFS(月次実績!$G$5:$G$3004,月次実績!$B$5:$B$3004,$A204))</f>
        <v/>
      </c>
      <c r="V204" s="17" t="str">
        <f aca="false">IF($A204="","",IF(Q204&gt;=設定!$C$7,"稼働中",IF(Q204&gt;=1,"低稼働","休眠")))</f>
        <v/>
      </c>
      <c r="W204" s="21"/>
    </row>
  </sheetData>
  <autoFilter ref="A4:W204"/>
  <conditionalFormatting sqref="M5:M204">
    <cfRule type="expression" priority="2" aboveAverage="0" equalAverage="0" bottom="0" percent="0" rank="0" text="" dxfId="11">
      <formula>$M5="期限超過"</formula>
    </cfRule>
    <cfRule type="expression" priority="3" aboveAverage="0" equalAverage="0" bottom="0" percent="0" rank="0" text="" dxfId="12">
      <formula>$M5="今週連絡"</formula>
    </cfRule>
    <cfRule type="expression" priority="4" aboveAverage="0" equalAverage="0" bottom="0" percent="0" rank="0" text="" dxfId="13">
      <formula>OR($M5="未接触",$M5="ランク未設定")</formula>
    </cfRule>
    <cfRule type="expression" priority="5" aboveAverage="0" equalAverage="0" bottom="0" percent="0" rank="0" text="" dxfId="14">
      <formula>$M5="OK"</formula>
    </cfRule>
  </conditionalFormatting>
  <conditionalFormatting sqref="V5:V204">
    <cfRule type="expression" priority="6" aboveAverage="0" equalAverage="0" bottom="0" percent="0" rank="0" text="" dxfId="14">
      <formula>$V5="稼働中"</formula>
    </cfRule>
    <cfRule type="expression" priority="7" aboveAverage="0" equalAverage="0" bottom="0" percent="0" rank="0" text="" dxfId="12">
      <formula>$V5="低稼働"</formula>
    </cfRule>
    <cfRule type="expression" priority="8" aboveAverage="0" equalAverage="0" bottom="0" percent="0" rank="0" text="" dxfId="15">
      <formula>$V5="休眠"</formula>
    </cfRule>
  </conditionalFormatting>
  <dataValidations count="3">
    <dataValidation allowBlank="true" errorStyle="stop" operator="between" showDropDown="false" showErrorMessage="false" showInputMessage="false" sqref="F5:F204" type="list">
      <formula1>list_ランク</formula1>
      <formula2>0</formula2>
    </dataValidation>
    <dataValidation allowBlank="true" errorStyle="stop" operator="between" showDropDown="false" showErrorMessage="false" showInputMessage="false" sqref="E5:E204" type="list">
      <formula1>list_自社担当</formula1>
      <formula2>0</formula2>
    </dataValidation>
    <dataValidation allowBlank="true" error="同じ代理店IDが既に登録されています。" errorStyle="stop" errorTitle="代理店IDの重複" operator="between" showDropDown="false" showErrorMessage="true" showInputMessage="false" sqref="A5:A204" type="custom">
      <formula1>COUNTIF($A$5:$A$204,A5)=1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4"/>
  </cols>
  <sheetData>
    <row r="1" customFormat="false" ht="25.5" hidden="false" customHeight="true" outlineLevel="0" collapsed="false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88</v>
      </c>
    </row>
    <row r="4" customFormat="false" ht="31.5" hidden="false" customHeight="true" outlineLevel="0" collapsed="false">
      <c r="A4" s="10" t="s">
        <v>89</v>
      </c>
      <c r="B4" s="10" t="s">
        <v>44</v>
      </c>
      <c r="C4" s="11" t="s">
        <v>45</v>
      </c>
      <c r="D4" s="10" t="s">
        <v>48</v>
      </c>
      <c r="E4" s="10" t="s">
        <v>90</v>
      </c>
      <c r="F4" s="10" t="s">
        <v>91</v>
      </c>
      <c r="G4" s="10" t="s">
        <v>92</v>
      </c>
      <c r="H4" s="10" t="s">
        <v>93</v>
      </c>
      <c r="I4" s="10" t="s">
        <v>40</v>
      </c>
      <c r="J4" s="10" t="s">
        <v>94</v>
      </c>
      <c r="K4" s="10" t="s">
        <v>95</v>
      </c>
      <c r="L4" s="11" t="s">
        <v>96</v>
      </c>
    </row>
    <row r="5" customFormat="false" ht="15" hidden="false" customHeight="false" outlineLevel="0" collapsed="false">
      <c r="A5" s="14" t="n">
        <v>46268</v>
      </c>
      <c r="B5" s="12" t="s">
        <v>65</v>
      </c>
      <c r="C5" s="21" t="str">
        <f aca="false">IF(B5="","",IFERROR(INDEX(代理店一覧!$B$5:$B$204,MATCH(B5,代理店一覧!$A$5:$A$204,0)),"※未登録のID"))</f>
        <v>【サンプル】山田会計事務所</v>
      </c>
      <c r="D5" s="13" t="s">
        <v>69</v>
      </c>
      <c r="E5" s="13" t="s">
        <v>97</v>
      </c>
      <c r="F5" s="13" t="s">
        <v>98</v>
      </c>
      <c r="G5" s="22" t="s">
        <v>99</v>
      </c>
      <c r="H5" s="13" t="s">
        <v>100</v>
      </c>
      <c r="I5" s="23" t="s">
        <v>101</v>
      </c>
      <c r="J5" s="14" t="n">
        <v>46275</v>
      </c>
      <c r="K5" s="24" t="s">
        <v>102</v>
      </c>
      <c r="L5" s="25" t="str">
        <f aca="false">IF(B5="","",B5&amp;"|"&amp;J5)</f>
        <v>AG-001|46275</v>
      </c>
    </row>
    <row r="6" customFormat="false" ht="15" hidden="false" customHeight="false" outlineLevel="0" collapsed="false">
      <c r="A6" s="14" t="n">
        <v>46275</v>
      </c>
      <c r="B6" s="12" t="s">
        <v>65</v>
      </c>
      <c r="C6" s="21" t="str">
        <f aca="false">IF(B6="","",IFERROR(INDEX(代理店一覧!$B$5:$B$204,MATCH(B6,代理店一覧!$A$5:$A$204,0)),"※未登録のID"))</f>
        <v>【サンプル】山田会計事務所</v>
      </c>
      <c r="D6" s="13" t="s">
        <v>69</v>
      </c>
      <c r="E6" s="13" t="s">
        <v>103</v>
      </c>
      <c r="F6" s="13" t="s">
        <v>104</v>
      </c>
      <c r="G6" s="23" t="s">
        <v>105</v>
      </c>
      <c r="H6" s="13" t="s">
        <v>106</v>
      </c>
      <c r="I6" s="23" t="s">
        <v>107</v>
      </c>
      <c r="J6" s="14" t="n">
        <v>46295</v>
      </c>
      <c r="K6" s="24" t="s">
        <v>108</v>
      </c>
      <c r="L6" s="25" t="str">
        <f aca="false">IF(B6="","",B6&amp;"|"&amp;J6)</f>
        <v>AG-001|46295</v>
      </c>
    </row>
    <row r="7" customFormat="false" ht="15" hidden="false" customHeight="false" outlineLevel="0" collapsed="false">
      <c r="A7" s="14" t="n">
        <v>46270</v>
      </c>
      <c r="B7" s="12" t="s">
        <v>73</v>
      </c>
      <c r="C7" s="21" t="str">
        <f aca="false">IF(B7="","",IFERROR(INDEX(代理店一覧!$B$5:$B$204,MATCH(B7,代理店一覧!$A$5:$A$204,0)),"※未登録のID"))</f>
        <v>【サンプル】みらい保険サービス</v>
      </c>
      <c r="D7" s="13" t="s">
        <v>77</v>
      </c>
      <c r="E7" s="13" t="s">
        <v>109</v>
      </c>
      <c r="F7" s="13" t="s">
        <v>110</v>
      </c>
      <c r="G7" s="23" t="s">
        <v>111</v>
      </c>
      <c r="H7" s="13" t="s">
        <v>106</v>
      </c>
      <c r="I7" s="23" t="s">
        <v>112</v>
      </c>
      <c r="J7" s="14" t="n">
        <v>46277</v>
      </c>
      <c r="K7" s="24" t="s">
        <v>102</v>
      </c>
      <c r="L7" s="25" t="str">
        <f aca="false">IF(B7="","",B7&amp;"|"&amp;J7)</f>
        <v>AG-002|46277</v>
      </c>
    </row>
    <row r="8" customFormat="false" ht="15" hidden="false" customHeight="false" outlineLevel="0" collapsed="false">
      <c r="A8" s="14" t="n">
        <v>46277</v>
      </c>
      <c r="B8" s="12" t="s">
        <v>73</v>
      </c>
      <c r="C8" s="21" t="str">
        <f aca="false">IF(B8="","",IFERROR(INDEX(代理店一覧!$B$5:$B$204,MATCH(B8,代理店一覧!$A$5:$A$204,0)),"※未登録のID"))</f>
        <v>【サンプル】みらい保険サービス</v>
      </c>
      <c r="D8" s="13" t="s">
        <v>77</v>
      </c>
      <c r="E8" s="13" t="s">
        <v>113</v>
      </c>
      <c r="F8" s="13" t="s">
        <v>98</v>
      </c>
      <c r="G8" s="23" t="s">
        <v>114</v>
      </c>
      <c r="H8" s="13" t="s">
        <v>115</v>
      </c>
      <c r="I8" s="23" t="s">
        <v>116</v>
      </c>
      <c r="J8" s="14" t="n">
        <v>46289</v>
      </c>
      <c r="K8" s="24" t="s">
        <v>108</v>
      </c>
      <c r="L8" s="25" t="str">
        <f aca="false">IF(B8="","",B8&amp;"|"&amp;J8)</f>
        <v>AG-002|46289</v>
      </c>
    </row>
    <row r="9" customFormat="false" ht="15" hidden="false" customHeight="false" outlineLevel="0" collapsed="false">
      <c r="A9" s="14" t="n">
        <v>46223</v>
      </c>
      <c r="B9" s="12" t="s">
        <v>80</v>
      </c>
      <c r="C9" s="21" t="str">
        <f aca="false">IF(B9="","",IFERROR(INDEX(代理店一覧!$B$5:$B$204,MATCH(B9,代理店一覧!$A$5:$A$204,0)),"※未登録のID"))</f>
        <v>【サンプル】中央ビジネスコンサル</v>
      </c>
      <c r="D9" s="13" t="s">
        <v>69</v>
      </c>
      <c r="E9" s="13" t="s">
        <v>117</v>
      </c>
      <c r="F9" s="13" t="s">
        <v>118</v>
      </c>
      <c r="G9" s="23" t="s">
        <v>119</v>
      </c>
      <c r="H9" s="13" t="s">
        <v>115</v>
      </c>
      <c r="I9" s="23" t="s">
        <v>120</v>
      </c>
      <c r="J9" s="14" t="n">
        <v>46254</v>
      </c>
      <c r="K9" s="24" t="s">
        <v>108</v>
      </c>
      <c r="L9" s="25" t="str">
        <f aca="false">IF(B9="","",B9&amp;"|"&amp;J9)</f>
        <v>AG-003|46254</v>
      </c>
    </row>
    <row r="10" customFormat="false" ht="15" hidden="false" customHeight="false" outlineLevel="0" collapsed="false">
      <c r="A10" s="15"/>
      <c r="B10" s="21"/>
      <c r="C10" s="21" t="str">
        <f aca="false">IF(B10="","",IFERROR(INDEX(代理店一覧!$B$5:$B$204,MATCH(B10,代理店一覧!$A$5:$A$204,0)),"※未登録のID"))</f>
        <v/>
      </c>
      <c r="D10" s="21"/>
      <c r="E10" s="21"/>
      <c r="F10" s="21"/>
      <c r="G10" s="18"/>
      <c r="H10" s="21"/>
      <c r="I10" s="26"/>
      <c r="J10" s="15"/>
      <c r="K10" s="27"/>
      <c r="L10" s="25" t="str">
        <f aca="false">IF(B10="","",B10&amp;"|"&amp;J10)</f>
        <v/>
      </c>
    </row>
    <row r="11" customFormat="false" ht="15" hidden="false" customHeight="false" outlineLevel="0" collapsed="false">
      <c r="A11" s="15"/>
      <c r="B11" s="21"/>
      <c r="C11" s="21" t="str">
        <f aca="false">IF(B11="","",IFERROR(INDEX(代理店一覧!$B$5:$B$204,MATCH(B11,代理店一覧!$A$5:$A$204,0)),"※未登録のID"))</f>
        <v/>
      </c>
      <c r="D11" s="21"/>
      <c r="E11" s="21"/>
      <c r="F11" s="21"/>
      <c r="G11" s="18"/>
      <c r="H11" s="21"/>
      <c r="I11" s="26"/>
      <c r="J11" s="15"/>
      <c r="K11" s="27"/>
      <c r="L11" s="25" t="str">
        <f aca="false">IF(B11="","",B11&amp;"|"&amp;J11)</f>
        <v/>
      </c>
    </row>
    <row r="12" customFormat="false" ht="15" hidden="false" customHeight="false" outlineLevel="0" collapsed="false">
      <c r="A12" s="15"/>
      <c r="B12" s="21"/>
      <c r="C12" s="21" t="str">
        <f aca="false">IF(B12="","",IFERROR(INDEX(代理店一覧!$B$5:$B$204,MATCH(B12,代理店一覧!$A$5:$A$204,0)),"※未登録のID"))</f>
        <v/>
      </c>
      <c r="D12" s="21"/>
      <c r="E12" s="21"/>
      <c r="F12" s="21"/>
      <c r="G12" s="18"/>
      <c r="H12" s="21"/>
      <c r="I12" s="26"/>
      <c r="J12" s="15"/>
      <c r="K12" s="27"/>
      <c r="L12" s="25" t="str">
        <f aca="false">IF(B12="","",B12&amp;"|"&amp;J12)</f>
        <v/>
      </c>
    </row>
    <row r="13" customFormat="false" ht="15" hidden="false" customHeight="false" outlineLevel="0" collapsed="false">
      <c r="A13" s="15"/>
      <c r="B13" s="21"/>
      <c r="C13" s="21" t="str">
        <f aca="false">IF(B13="","",IFERROR(INDEX(代理店一覧!$B$5:$B$204,MATCH(B13,代理店一覧!$A$5:$A$204,0)),"※未登録のID"))</f>
        <v/>
      </c>
      <c r="D13" s="21"/>
      <c r="E13" s="21"/>
      <c r="F13" s="21"/>
      <c r="G13" s="18"/>
      <c r="H13" s="21"/>
      <c r="I13" s="26"/>
      <c r="J13" s="15"/>
      <c r="K13" s="27"/>
      <c r="L13" s="25" t="str">
        <f aca="false">IF(B13="","",B13&amp;"|"&amp;J13)</f>
        <v/>
      </c>
    </row>
    <row r="14" customFormat="false" ht="15" hidden="false" customHeight="false" outlineLevel="0" collapsed="false">
      <c r="A14" s="15"/>
      <c r="B14" s="21"/>
      <c r="C14" s="21" t="str">
        <f aca="false">IF(B14="","",IFERROR(INDEX(代理店一覧!$B$5:$B$204,MATCH(B14,代理店一覧!$A$5:$A$204,0)),"※未登録のID"))</f>
        <v/>
      </c>
      <c r="D14" s="21"/>
      <c r="E14" s="21"/>
      <c r="F14" s="21"/>
      <c r="G14" s="18"/>
      <c r="H14" s="21"/>
      <c r="I14" s="26"/>
      <c r="J14" s="15"/>
      <c r="K14" s="27"/>
      <c r="L14" s="25" t="str">
        <f aca="false">IF(B14="","",B14&amp;"|"&amp;J14)</f>
        <v/>
      </c>
    </row>
    <row r="15" customFormat="false" ht="15" hidden="false" customHeight="false" outlineLevel="0" collapsed="false">
      <c r="A15" s="15"/>
      <c r="B15" s="21"/>
      <c r="C15" s="21" t="str">
        <f aca="false">IF(B15="","",IFERROR(INDEX(代理店一覧!$B$5:$B$204,MATCH(B15,代理店一覧!$A$5:$A$204,0)),"※未登録のID"))</f>
        <v/>
      </c>
      <c r="D15" s="21"/>
      <c r="E15" s="21"/>
      <c r="F15" s="21"/>
      <c r="G15" s="18"/>
      <c r="H15" s="21"/>
      <c r="I15" s="26"/>
      <c r="J15" s="15"/>
      <c r="K15" s="27"/>
      <c r="L15" s="25" t="str">
        <f aca="false">IF(B15="","",B15&amp;"|"&amp;J15)</f>
        <v/>
      </c>
    </row>
    <row r="16" customFormat="false" ht="15" hidden="false" customHeight="false" outlineLevel="0" collapsed="false">
      <c r="A16" s="15"/>
      <c r="B16" s="21"/>
      <c r="C16" s="21" t="str">
        <f aca="false">IF(B16="","",IFERROR(INDEX(代理店一覧!$B$5:$B$204,MATCH(B16,代理店一覧!$A$5:$A$204,0)),"※未登録のID"))</f>
        <v/>
      </c>
      <c r="D16" s="21"/>
      <c r="E16" s="21"/>
      <c r="F16" s="21"/>
      <c r="G16" s="18"/>
      <c r="H16" s="21"/>
      <c r="I16" s="26"/>
      <c r="J16" s="15"/>
      <c r="K16" s="27"/>
      <c r="L16" s="25" t="str">
        <f aca="false">IF(B16="","",B16&amp;"|"&amp;J16)</f>
        <v/>
      </c>
    </row>
    <row r="17" customFormat="false" ht="15" hidden="false" customHeight="false" outlineLevel="0" collapsed="false">
      <c r="A17" s="15"/>
      <c r="B17" s="21"/>
      <c r="C17" s="21" t="str">
        <f aca="false">IF(B17="","",IFERROR(INDEX(代理店一覧!$B$5:$B$204,MATCH(B17,代理店一覧!$A$5:$A$204,0)),"※未登録のID"))</f>
        <v/>
      </c>
      <c r="D17" s="21"/>
      <c r="E17" s="21"/>
      <c r="F17" s="21"/>
      <c r="G17" s="18"/>
      <c r="H17" s="21"/>
      <c r="I17" s="26"/>
      <c r="J17" s="15"/>
      <c r="K17" s="27"/>
      <c r="L17" s="25" t="str">
        <f aca="false">IF(B17="","",B17&amp;"|"&amp;J17)</f>
        <v/>
      </c>
    </row>
    <row r="18" customFormat="false" ht="15" hidden="false" customHeight="false" outlineLevel="0" collapsed="false">
      <c r="A18" s="15"/>
      <c r="B18" s="21"/>
      <c r="C18" s="21" t="str">
        <f aca="false">IF(B18="","",IFERROR(INDEX(代理店一覧!$B$5:$B$204,MATCH(B18,代理店一覧!$A$5:$A$204,0)),"※未登録のID"))</f>
        <v/>
      </c>
      <c r="D18" s="21"/>
      <c r="E18" s="21"/>
      <c r="F18" s="21"/>
      <c r="G18" s="18"/>
      <c r="H18" s="21"/>
      <c r="I18" s="26"/>
      <c r="J18" s="15"/>
      <c r="K18" s="27"/>
      <c r="L18" s="25" t="str">
        <f aca="false">IF(B18="","",B18&amp;"|"&amp;J18)</f>
        <v/>
      </c>
    </row>
    <row r="19" customFormat="false" ht="15" hidden="false" customHeight="false" outlineLevel="0" collapsed="false">
      <c r="A19" s="15"/>
      <c r="B19" s="21"/>
      <c r="C19" s="21" t="str">
        <f aca="false">IF(B19="","",IFERROR(INDEX(代理店一覧!$B$5:$B$204,MATCH(B19,代理店一覧!$A$5:$A$204,0)),"※未登録のID"))</f>
        <v/>
      </c>
      <c r="D19" s="21"/>
      <c r="E19" s="21"/>
      <c r="F19" s="21"/>
      <c r="G19" s="18"/>
      <c r="H19" s="21"/>
      <c r="I19" s="26"/>
      <c r="J19" s="15"/>
      <c r="K19" s="27"/>
      <c r="L19" s="25" t="str">
        <f aca="false">IF(B19="","",B19&amp;"|"&amp;J19)</f>
        <v/>
      </c>
    </row>
    <row r="20" customFormat="false" ht="15" hidden="false" customHeight="false" outlineLevel="0" collapsed="false">
      <c r="A20" s="15"/>
      <c r="B20" s="21"/>
      <c r="C20" s="21" t="str">
        <f aca="false">IF(B20="","",IFERROR(INDEX(代理店一覧!$B$5:$B$204,MATCH(B20,代理店一覧!$A$5:$A$204,0)),"※未登録のID"))</f>
        <v/>
      </c>
      <c r="D20" s="21"/>
      <c r="E20" s="21"/>
      <c r="F20" s="21"/>
      <c r="G20" s="18"/>
      <c r="H20" s="21"/>
      <c r="I20" s="26"/>
      <c r="J20" s="15"/>
      <c r="K20" s="27"/>
      <c r="L20" s="25" t="str">
        <f aca="false">IF(B20="","",B20&amp;"|"&amp;J20)</f>
        <v/>
      </c>
    </row>
    <row r="21" customFormat="false" ht="15" hidden="false" customHeight="false" outlineLevel="0" collapsed="false">
      <c r="A21" s="15"/>
      <c r="B21" s="21"/>
      <c r="C21" s="21" t="str">
        <f aca="false">IF(B21="","",IFERROR(INDEX(代理店一覧!$B$5:$B$204,MATCH(B21,代理店一覧!$A$5:$A$204,0)),"※未登録のID"))</f>
        <v/>
      </c>
      <c r="D21" s="21"/>
      <c r="E21" s="21"/>
      <c r="F21" s="21"/>
      <c r="G21" s="18"/>
      <c r="H21" s="21"/>
      <c r="I21" s="26"/>
      <c r="J21" s="15"/>
      <c r="K21" s="27"/>
      <c r="L21" s="25" t="str">
        <f aca="false">IF(B21="","",B21&amp;"|"&amp;J21)</f>
        <v/>
      </c>
    </row>
    <row r="22" customFormat="false" ht="15" hidden="false" customHeight="false" outlineLevel="0" collapsed="false">
      <c r="A22" s="15"/>
      <c r="B22" s="21"/>
      <c r="C22" s="21" t="str">
        <f aca="false">IF(B22="","",IFERROR(INDEX(代理店一覧!$B$5:$B$204,MATCH(B22,代理店一覧!$A$5:$A$204,0)),"※未登録のID"))</f>
        <v/>
      </c>
      <c r="D22" s="21"/>
      <c r="E22" s="21"/>
      <c r="F22" s="21"/>
      <c r="G22" s="18"/>
      <c r="H22" s="21"/>
      <c r="I22" s="26"/>
      <c r="J22" s="15"/>
      <c r="K22" s="27"/>
      <c r="L22" s="25" t="str">
        <f aca="false">IF(B22="","",B22&amp;"|"&amp;J22)</f>
        <v/>
      </c>
    </row>
    <row r="23" customFormat="false" ht="15" hidden="false" customHeight="false" outlineLevel="0" collapsed="false">
      <c r="A23" s="15"/>
      <c r="B23" s="21"/>
      <c r="C23" s="21" t="str">
        <f aca="false">IF(B23="","",IFERROR(INDEX(代理店一覧!$B$5:$B$204,MATCH(B23,代理店一覧!$A$5:$A$204,0)),"※未登録のID"))</f>
        <v/>
      </c>
      <c r="D23" s="21"/>
      <c r="E23" s="21"/>
      <c r="F23" s="21"/>
      <c r="G23" s="18"/>
      <c r="H23" s="21"/>
      <c r="I23" s="26"/>
      <c r="J23" s="15"/>
      <c r="K23" s="27"/>
      <c r="L23" s="25" t="str">
        <f aca="false">IF(B23="","",B23&amp;"|"&amp;J23)</f>
        <v/>
      </c>
    </row>
    <row r="24" customFormat="false" ht="15" hidden="false" customHeight="false" outlineLevel="0" collapsed="false">
      <c r="A24" s="15"/>
      <c r="B24" s="21"/>
      <c r="C24" s="21" t="str">
        <f aca="false">IF(B24="","",IFERROR(INDEX(代理店一覧!$B$5:$B$204,MATCH(B24,代理店一覧!$A$5:$A$204,0)),"※未登録のID"))</f>
        <v/>
      </c>
      <c r="D24" s="21"/>
      <c r="E24" s="21"/>
      <c r="F24" s="21"/>
      <c r="G24" s="18"/>
      <c r="H24" s="21"/>
      <c r="I24" s="26"/>
      <c r="J24" s="15"/>
      <c r="K24" s="27"/>
      <c r="L24" s="25" t="str">
        <f aca="false">IF(B24="","",B24&amp;"|"&amp;J24)</f>
        <v/>
      </c>
    </row>
    <row r="25" customFormat="false" ht="15" hidden="false" customHeight="false" outlineLevel="0" collapsed="false">
      <c r="A25" s="15"/>
      <c r="B25" s="21"/>
      <c r="C25" s="21" t="str">
        <f aca="false">IF(B25="","",IFERROR(INDEX(代理店一覧!$B$5:$B$204,MATCH(B25,代理店一覧!$A$5:$A$204,0)),"※未登録のID"))</f>
        <v/>
      </c>
      <c r="D25" s="21"/>
      <c r="E25" s="21"/>
      <c r="F25" s="21"/>
      <c r="G25" s="18"/>
      <c r="H25" s="21"/>
      <c r="I25" s="26"/>
      <c r="J25" s="15"/>
      <c r="K25" s="27"/>
      <c r="L25" s="25" t="str">
        <f aca="false">IF(B25="","",B25&amp;"|"&amp;J25)</f>
        <v/>
      </c>
    </row>
    <row r="26" customFormat="false" ht="15" hidden="false" customHeight="false" outlineLevel="0" collapsed="false">
      <c r="A26" s="15"/>
      <c r="B26" s="21"/>
      <c r="C26" s="21" t="str">
        <f aca="false">IF(B26="","",IFERROR(INDEX(代理店一覧!$B$5:$B$204,MATCH(B26,代理店一覧!$A$5:$A$204,0)),"※未登録のID"))</f>
        <v/>
      </c>
      <c r="D26" s="21"/>
      <c r="E26" s="21"/>
      <c r="F26" s="21"/>
      <c r="G26" s="18"/>
      <c r="H26" s="21"/>
      <c r="I26" s="26"/>
      <c r="J26" s="15"/>
      <c r="K26" s="27"/>
      <c r="L26" s="25" t="str">
        <f aca="false">IF(B26="","",B26&amp;"|"&amp;J26)</f>
        <v/>
      </c>
    </row>
    <row r="27" customFormat="false" ht="15" hidden="false" customHeight="false" outlineLevel="0" collapsed="false">
      <c r="A27" s="15"/>
      <c r="B27" s="21"/>
      <c r="C27" s="21" t="str">
        <f aca="false">IF(B27="","",IFERROR(INDEX(代理店一覧!$B$5:$B$204,MATCH(B27,代理店一覧!$A$5:$A$204,0)),"※未登録のID"))</f>
        <v/>
      </c>
      <c r="D27" s="21"/>
      <c r="E27" s="21"/>
      <c r="F27" s="21"/>
      <c r="G27" s="18"/>
      <c r="H27" s="21"/>
      <c r="I27" s="26"/>
      <c r="J27" s="15"/>
      <c r="K27" s="27"/>
      <c r="L27" s="25" t="str">
        <f aca="false">IF(B27="","",B27&amp;"|"&amp;J27)</f>
        <v/>
      </c>
    </row>
    <row r="28" customFormat="false" ht="15" hidden="false" customHeight="false" outlineLevel="0" collapsed="false">
      <c r="A28" s="15"/>
      <c r="B28" s="21"/>
      <c r="C28" s="21" t="str">
        <f aca="false">IF(B28="","",IFERROR(INDEX(代理店一覧!$B$5:$B$204,MATCH(B28,代理店一覧!$A$5:$A$204,0)),"※未登録のID"))</f>
        <v/>
      </c>
      <c r="D28" s="21"/>
      <c r="E28" s="21"/>
      <c r="F28" s="21"/>
      <c r="G28" s="18"/>
      <c r="H28" s="21"/>
      <c r="I28" s="26"/>
      <c r="J28" s="15"/>
      <c r="K28" s="27"/>
      <c r="L28" s="25" t="str">
        <f aca="false">IF(B28="","",B28&amp;"|"&amp;J28)</f>
        <v/>
      </c>
    </row>
    <row r="29" customFormat="false" ht="15" hidden="false" customHeight="false" outlineLevel="0" collapsed="false">
      <c r="A29" s="15"/>
      <c r="B29" s="21"/>
      <c r="C29" s="21" t="str">
        <f aca="false">IF(B29="","",IFERROR(INDEX(代理店一覧!$B$5:$B$204,MATCH(B29,代理店一覧!$A$5:$A$204,0)),"※未登録のID"))</f>
        <v/>
      </c>
      <c r="D29" s="21"/>
      <c r="E29" s="21"/>
      <c r="F29" s="21"/>
      <c r="G29" s="18"/>
      <c r="H29" s="21"/>
      <c r="I29" s="26"/>
      <c r="J29" s="15"/>
      <c r="K29" s="27"/>
      <c r="L29" s="25" t="str">
        <f aca="false">IF(B29="","",B29&amp;"|"&amp;J29)</f>
        <v/>
      </c>
    </row>
    <row r="30" customFormat="false" ht="15" hidden="false" customHeight="false" outlineLevel="0" collapsed="false">
      <c r="A30" s="15"/>
      <c r="B30" s="21"/>
      <c r="C30" s="21" t="str">
        <f aca="false">IF(B30="","",IFERROR(INDEX(代理店一覧!$B$5:$B$204,MATCH(B30,代理店一覧!$A$5:$A$204,0)),"※未登録のID"))</f>
        <v/>
      </c>
      <c r="D30" s="21"/>
      <c r="E30" s="21"/>
      <c r="F30" s="21"/>
      <c r="G30" s="18"/>
      <c r="H30" s="21"/>
      <c r="I30" s="26"/>
      <c r="J30" s="15"/>
      <c r="K30" s="27"/>
      <c r="L30" s="25" t="str">
        <f aca="false">IF(B30="","",B30&amp;"|"&amp;J30)</f>
        <v/>
      </c>
    </row>
    <row r="31" customFormat="false" ht="15" hidden="false" customHeight="false" outlineLevel="0" collapsed="false">
      <c r="A31" s="15"/>
      <c r="B31" s="21"/>
      <c r="C31" s="21" t="str">
        <f aca="false">IF(B31="","",IFERROR(INDEX(代理店一覧!$B$5:$B$204,MATCH(B31,代理店一覧!$A$5:$A$204,0)),"※未登録のID"))</f>
        <v/>
      </c>
      <c r="D31" s="21"/>
      <c r="E31" s="21"/>
      <c r="F31" s="21"/>
      <c r="G31" s="18"/>
      <c r="H31" s="21"/>
      <c r="I31" s="26"/>
      <c r="J31" s="15"/>
      <c r="K31" s="27"/>
      <c r="L31" s="25" t="str">
        <f aca="false">IF(B31="","",B31&amp;"|"&amp;J31)</f>
        <v/>
      </c>
    </row>
    <row r="32" customFormat="false" ht="15" hidden="false" customHeight="false" outlineLevel="0" collapsed="false">
      <c r="A32" s="15"/>
      <c r="B32" s="21"/>
      <c r="C32" s="21" t="str">
        <f aca="false">IF(B32="","",IFERROR(INDEX(代理店一覧!$B$5:$B$204,MATCH(B32,代理店一覧!$A$5:$A$204,0)),"※未登録のID"))</f>
        <v/>
      </c>
      <c r="D32" s="21"/>
      <c r="E32" s="21"/>
      <c r="F32" s="21"/>
      <c r="G32" s="18"/>
      <c r="H32" s="21"/>
      <c r="I32" s="26"/>
      <c r="J32" s="15"/>
      <c r="K32" s="27"/>
      <c r="L32" s="25" t="str">
        <f aca="false">IF(B32="","",B32&amp;"|"&amp;J32)</f>
        <v/>
      </c>
    </row>
    <row r="33" customFormat="false" ht="15" hidden="false" customHeight="false" outlineLevel="0" collapsed="false">
      <c r="A33" s="15"/>
      <c r="B33" s="21"/>
      <c r="C33" s="21" t="str">
        <f aca="false">IF(B33="","",IFERROR(INDEX(代理店一覧!$B$5:$B$204,MATCH(B33,代理店一覧!$A$5:$A$204,0)),"※未登録のID"))</f>
        <v/>
      </c>
      <c r="D33" s="21"/>
      <c r="E33" s="21"/>
      <c r="F33" s="21"/>
      <c r="G33" s="18"/>
      <c r="H33" s="21"/>
      <c r="I33" s="26"/>
      <c r="J33" s="15"/>
      <c r="K33" s="27"/>
      <c r="L33" s="25" t="str">
        <f aca="false">IF(B33="","",B33&amp;"|"&amp;J33)</f>
        <v/>
      </c>
    </row>
    <row r="34" customFormat="false" ht="15" hidden="false" customHeight="false" outlineLevel="0" collapsed="false">
      <c r="A34" s="15"/>
      <c r="B34" s="21"/>
      <c r="C34" s="21" t="str">
        <f aca="false">IF(B34="","",IFERROR(INDEX(代理店一覧!$B$5:$B$204,MATCH(B34,代理店一覧!$A$5:$A$204,0)),"※未登録のID"))</f>
        <v/>
      </c>
      <c r="D34" s="21"/>
      <c r="E34" s="21"/>
      <c r="F34" s="21"/>
      <c r="G34" s="18"/>
      <c r="H34" s="21"/>
      <c r="I34" s="26"/>
      <c r="J34" s="15"/>
      <c r="K34" s="27"/>
      <c r="L34" s="25" t="str">
        <f aca="false">IF(B34="","",B34&amp;"|"&amp;J34)</f>
        <v/>
      </c>
    </row>
    <row r="35" customFormat="false" ht="15" hidden="false" customHeight="false" outlineLevel="0" collapsed="false">
      <c r="A35" s="15"/>
      <c r="B35" s="21"/>
      <c r="C35" s="21" t="str">
        <f aca="false">IF(B35="","",IFERROR(INDEX(代理店一覧!$B$5:$B$204,MATCH(B35,代理店一覧!$A$5:$A$204,0)),"※未登録のID"))</f>
        <v/>
      </c>
      <c r="D35" s="21"/>
      <c r="E35" s="21"/>
      <c r="F35" s="21"/>
      <c r="G35" s="18"/>
      <c r="H35" s="21"/>
      <c r="I35" s="26"/>
      <c r="J35" s="15"/>
      <c r="K35" s="27"/>
      <c r="L35" s="25" t="str">
        <f aca="false">IF(B35="","",B35&amp;"|"&amp;J35)</f>
        <v/>
      </c>
    </row>
    <row r="36" customFormat="false" ht="15" hidden="false" customHeight="false" outlineLevel="0" collapsed="false">
      <c r="A36" s="15"/>
      <c r="B36" s="21"/>
      <c r="C36" s="21" t="str">
        <f aca="false">IF(B36="","",IFERROR(INDEX(代理店一覧!$B$5:$B$204,MATCH(B36,代理店一覧!$A$5:$A$204,0)),"※未登録のID"))</f>
        <v/>
      </c>
      <c r="D36" s="21"/>
      <c r="E36" s="21"/>
      <c r="F36" s="21"/>
      <c r="G36" s="18"/>
      <c r="H36" s="21"/>
      <c r="I36" s="26"/>
      <c r="J36" s="15"/>
      <c r="K36" s="27"/>
      <c r="L36" s="25" t="str">
        <f aca="false">IF(B36="","",B36&amp;"|"&amp;J36)</f>
        <v/>
      </c>
    </row>
    <row r="37" customFormat="false" ht="15" hidden="false" customHeight="false" outlineLevel="0" collapsed="false">
      <c r="A37" s="15"/>
      <c r="B37" s="21"/>
      <c r="C37" s="21" t="str">
        <f aca="false">IF(B37="","",IFERROR(INDEX(代理店一覧!$B$5:$B$204,MATCH(B37,代理店一覧!$A$5:$A$204,0)),"※未登録のID"))</f>
        <v/>
      </c>
      <c r="D37" s="21"/>
      <c r="E37" s="21"/>
      <c r="F37" s="21"/>
      <c r="G37" s="18"/>
      <c r="H37" s="21"/>
      <c r="I37" s="26"/>
      <c r="J37" s="15"/>
      <c r="K37" s="27"/>
      <c r="L37" s="25" t="str">
        <f aca="false">IF(B37="","",B37&amp;"|"&amp;J37)</f>
        <v/>
      </c>
    </row>
    <row r="38" customFormat="false" ht="15" hidden="false" customHeight="false" outlineLevel="0" collapsed="false">
      <c r="A38" s="15"/>
      <c r="B38" s="21"/>
      <c r="C38" s="21" t="str">
        <f aca="false">IF(B38="","",IFERROR(INDEX(代理店一覧!$B$5:$B$204,MATCH(B38,代理店一覧!$A$5:$A$204,0)),"※未登録のID"))</f>
        <v/>
      </c>
      <c r="D38" s="21"/>
      <c r="E38" s="21"/>
      <c r="F38" s="21"/>
      <c r="G38" s="18"/>
      <c r="H38" s="21"/>
      <c r="I38" s="26"/>
      <c r="J38" s="15"/>
      <c r="K38" s="27"/>
      <c r="L38" s="25" t="str">
        <f aca="false">IF(B38="","",B38&amp;"|"&amp;J38)</f>
        <v/>
      </c>
    </row>
    <row r="39" customFormat="false" ht="15" hidden="false" customHeight="false" outlineLevel="0" collapsed="false">
      <c r="A39" s="15"/>
      <c r="B39" s="21"/>
      <c r="C39" s="21" t="str">
        <f aca="false">IF(B39="","",IFERROR(INDEX(代理店一覧!$B$5:$B$204,MATCH(B39,代理店一覧!$A$5:$A$204,0)),"※未登録のID"))</f>
        <v/>
      </c>
      <c r="D39" s="21"/>
      <c r="E39" s="21"/>
      <c r="F39" s="21"/>
      <c r="G39" s="18"/>
      <c r="H39" s="21"/>
      <c r="I39" s="26"/>
      <c r="J39" s="15"/>
      <c r="K39" s="27"/>
      <c r="L39" s="25" t="str">
        <f aca="false">IF(B39="","",B39&amp;"|"&amp;J39)</f>
        <v/>
      </c>
    </row>
    <row r="40" customFormat="false" ht="15" hidden="false" customHeight="false" outlineLevel="0" collapsed="false">
      <c r="A40" s="15"/>
      <c r="B40" s="21"/>
      <c r="C40" s="21" t="str">
        <f aca="false">IF(B40="","",IFERROR(INDEX(代理店一覧!$B$5:$B$204,MATCH(B40,代理店一覧!$A$5:$A$204,0)),"※未登録のID"))</f>
        <v/>
      </c>
      <c r="D40" s="21"/>
      <c r="E40" s="21"/>
      <c r="F40" s="21"/>
      <c r="G40" s="18"/>
      <c r="H40" s="21"/>
      <c r="I40" s="26"/>
      <c r="J40" s="15"/>
      <c r="K40" s="27"/>
      <c r="L40" s="25" t="str">
        <f aca="false">IF(B40="","",B40&amp;"|"&amp;J40)</f>
        <v/>
      </c>
    </row>
    <row r="41" customFormat="false" ht="15" hidden="false" customHeight="false" outlineLevel="0" collapsed="false">
      <c r="A41" s="15"/>
      <c r="B41" s="21"/>
      <c r="C41" s="21" t="str">
        <f aca="false">IF(B41="","",IFERROR(INDEX(代理店一覧!$B$5:$B$204,MATCH(B41,代理店一覧!$A$5:$A$204,0)),"※未登録のID"))</f>
        <v/>
      </c>
      <c r="D41" s="21"/>
      <c r="E41" s="21"/>
      <c r="F41" s="21"/>
      <c r="G41" s="18"/>
      <c r="H41" s="21"/>
      <c r="I41" s="26"/>
      <c r="J41" s="15"/>
      <c r="K41" s="27"/>
      <c r="L41" s="25" t="str">
        <f aca="false">IF(B41="","",B41&amp;"|"&amp;J41)</f>
        <v/>
      </c>
    </row>
    <row r="42" customFormat="false" ht="15" hidden="false" customHeight="false" outlineLevel="0" collapsed="false">
      <c r="A42" s="15"/>
      <c r="B42" s="21"/>
      <c r="C42" s="21" t="str">
        <f aca="false">IF(B42="","",IFERROR(INDEX(代理店一覧!$B$5:$B$204,MATCH(B42,代理店一覧!$A$5:$A$204,0)),"※未登録のID"))</f>
        <v/>
      </c>
      <c r="D42" s="21"/>
      <c r="E42" s="21"/>
      <c r="F42" s="21"/>
      <c r="G42" s="18"/>
      <c r="H42" s="21"/>
      <c r="I42" s="26"/>
      <c r="J42" s="15"/>
      <c r="K42" s="27"/>
      <c r="L42" s="25" t="str">
        <f aca="false">IF(B42="","",B42&amp;"|"&amp;J42)</f>
        <v/>
      </c>
    </row>
    <row r="43" customFormat="false" ht="15" hidden="false" customHeight="false" outlineLevel="0" collapsed="false">
      <c r="A43" s="15"/>
      <c r="B43" s="21"/>
      <c r="C43" s="21" t="str">
        <f aca="false">IF(B43="","",IFERROR(INDEX(代理店一覧!$B$5:$B$204,MATCH(B43,代理店一覧!$A$5:$A$204,0)),"※未登録のID"))</f>
        <v/>
      </c>
      <c r="D43" s="21"/>
      <c r="E43" s="21"/>
      <c r="F43" s="21"/>
      <c r="G43" s="18"/>
      <c r="H43" s="21"/>
      <c r="I43" s="26"/>
      <c r="J43" s="15"/>
      <c r="K43" s="27"/>
      <c r="L43" s="25" t="str">
        <f aca="false">IF(B43="","",B43&amp;"|"&amp;J43)</f>
        <v/>
      </c>
    </row>
    <row r="44" customFormat="false" ht="15" hidden="false" customHeight="false" outlineLevel="0" collapsed="false">
      <c r="A44" s="15"/>
      <c r="B44" s="21"/>
      <c r="C44" s="21" t="str">
        <f aca="false">IF(B44="","",IFERROR(INDEX(代理店一覧!$B$5:$B$204,MATCH(B44,代理店一覧!$A$5:$A$204,0)),"※未登録のID"))</f>
        <v/>
      </c>
      <c r="D44" s="21"/>
      <c r="E44" s="21"/>
      <c r="F44" s="21"/>
      <c r="G44" s="18"/>
      <c r="H44" s="21"/>
      <c r="I44" s="26"/>
      <c r="J44" s="15"/>
      <c r="K44" s="27"/>
      <c r="L44" s="25" t="str">
        <f aca="false">IF(B44="","",B44&amp;"|"&amp;J44)</f>
        <v/>
      </c>
    </row>
    <row r="45" customFormat="false" ht="15" hidden="false" customHeight="false" outlineLevel="0" collapsed="false">
      <c r="A45" s="15"/>
      <c r="B45" s="21"/>
      <c r="C45" s="21" t="str">
        <f aca="false">IF(B45="","",IFERROR(INDEX(代理店一覧!$B$5:$B$204,MATCH(B45,代理店一覧!$A$5:$A$204,0)),"※未登録のID"))</f>
        <v/>
      </c>
      <c r="D45" s="21"/>
      <c r="E45" s="21"/>
      <c r="F45" s="21"/>
      <c r="G45" s="18"/>
      <c r="H45" s="21"/>
      <c r="I45" s="26"/>
      <c r="J45" s="15"/>
      <c r="K45" s="27"/>
      <c r="L45" s="25" t="str">
        <f aca="false">IF(B45="","",B45&amp;"|"&amp;J45)</f>
        <v/>
      </c>
    </row>
    <row r="46" customFormat="false" ht="15" hidden="false" customHeight="false" outlineLevel="0" collapsed="false">
      <c r="A46" s="15"/>
      <c r="B46" s="21"/>
      <c r="C46" s="21" t="str">
        <f aca="false">IF(B46="","",IFERROR(INDEX(代理店一覧!$B$5:$B$204,MATCH(B46,代理店一覧!$A$5:$A$204,0)),"※未登録のID"))</f>
        <v/>
      </c>
      <c r="D46" s="21"/>
      <c r="E46" s="21"/>
      <c r="F46" s="21"/>
      <c r="G46" s="18"/>
      <c r="H46" s="21"/>
      <c r="I46" s="26"/>
      <c r="J46" s="15"/>
      <c r="K46" s="27"/>
      <c r="L46" s="25" t="str">
        <f aca="false">IF(B46="","",B46&amp;"|"&amp;J46)</f>
        <v/>
      </c>
    </row>
    <row r="47" customFormat="false" ht="15" hidden="false" customHeight="false" outlineLevel="0" collapsed="false">
      <c r="A47" s="15"/>
      <c r="B47" s="21"/>
      <c r="C47" s="21" t="str">
        <f aca="false">IF(B47="","",IFERROR(INDEX(代理店一覧!$B$5:$B$204,MATCH(B47,代理店一覧!$A$5:$A$204,0)),"※未登録のID"))</f>
        <v/>
      </c>
      <c r="D47" s="21"/>
      <c r="E47" s="21"/>
      <c r="F47" s="21"/>
      <c r="G47" s="18"/>
      <c r="H47" s="21"/>
      <c r="I47" s="26"/>
      <c r="J47" s="15"/>
      <c r="K47" s="27"/>
      <c r="L47" s="25" t="str">
        <f aca="false">IF(B47="","",B47&amp;"|"&amp;J47)</f>
        <v/>
      </c>
    </row>
    <row r="48" customFormat="false" ht="15" hidden="false" customHeight="false" outlineLevel="0" collapsed="false">
      <c r="A48" s="15"/>
      <c r="B48" s="21"/>
      <c r="C48" s="21" t="str">
        <f aca="false">IF(B48="","",IFERROR(INDEX(代理店一覧!$B$5:$B$204,MATCH(B48,代理店一覧!$A$5:$A$204,0)),"※未登録のID"))</f>
        <v/>
      </c>
      <c r="D48" s="21"/>
      <c r="E48" s="21"/>
      <c r="F48" s="21"/>
      <c r="G48" s="18"/>
      <c r="H48" s="21"/>
      <c r="I48" s="26"/>
      <c r="J48" s="15"/>
      <c r="K48" s="27"/>
      <c r="L48" s="25" t="str">
        <f aca="false">IF(B48="","",B48&amp;"|"&amp;J48)</f>
        <v/>
      </c>
    </row>
    <row r="49" customFormat="false" ht="15" hidden="false" customHeight="false" outlineLevel="0" collapsed="false">
      <c r="A49" s="15"/>
      <c r="B49" s="21"/>
      <c r="C49" s="21" t="str">
        <f aca="false">IF(B49="","",IFERROR(INDEX(代理店一覧!$B$5:$B$204,MATCH(B49,代理店一覧!$A$5:$A$204,0)),"※未登録のID"))</f>
        <v/>
      </c>
      <c r="D49" s="21"/>
      <c r="E49" s="21"/>
      <c r="F49" s="21"/>
      <c r="G49" s="18"/>
      <c r="H49" s="21"/>
      <c r="I49" s="26"/>
      <c r="J49" s="15"/>
      <c r="K49" s="27"/>
      <c r="L49" s="25" t="str">
        <f aca="false">IF(B49="","",B49&amp;"|"&amp;J49)</f>
        <v/>
      </c>
    </row>
    <row r="50" customFormat="false" ht="15" hidden="false" customHeight="false" outlineLevel="0" collapsed="false">
      <c r="A50" s="15"/>
      <c r="B50" s="21"/>
      <c r="C50" s="21" t="str">
        <f aca="false">IF(B50="","",IFERROR(INDEX(代理店一覧!$B$5:$B$204,MATCH(B50,代理店一覧!$A$5:$A$204,0)),"※未登録のID"))</f>
        <v/>
      </c>
      <c r="D50" s="21"/>
      <c r="E50" s="21"/>
      <c r="F50" s="21"/>
      <c r="G50" s="18"/>
      <c r="H50" s="21"/>
      <c r="I50" s="26"/>
      <c r="J50" s="15"/>
      <c r="K50" s="27"/>
      <c r="L50" s="25" t="str">
        <f aca="false">IF(B50="","",B50&amp;"|"&amp;J50)</f>
        <v/>
      </c>
    </row>
    <row r="51" customFormat="false" ht="15" hidden="false" customHeight="false" outlineLevel="0" collapsed="false">
      <c r="A51" s="15"/>
      <c r="B51" s="21"/>
      <c r="C51" s="21" t="str">
        <f aca="false">IF(B51="","",IFERROR(INDEX(代理店一覧!$B$5:$B$204,MATCH(B51,代理店一覧!$A$5:$A$204,0)),"※未登録のID"))</f>
        <v/>
      </c>
      <c r="D51" s="21"/>
      <c r="E51" s="21"/>
      <c r="F51" s="21"/>
      <c r="G51" s="18"/>
      <c r="H51" s="21"/>
      <c r="I51" s="26"/>
      <c r="J51" s="15"/>
      <c r="K51" s="27"/>
      <c r="L51" s="25" t="str">
        <f aca="false">IF(B51="","",B51&amp;"|"&amp;J51)</f>
        <v/>
      </c>
    </row>
    <row r="52" customFormat="false" ht="15" hidden="false" customHeight="false" outlineLevel="0" collapsed="false">
      <c r="A52" s="15"/>
      <c r="B52" s="21"/>
      <c r="C52" s="21" t="str">
        <f aca="false">IF(B52="","",IFERROR(INDEX(代理店一覧!$B$5:$B$204,MATCH(B52,代理店一覧!$A$5:$A$204,0)),"※未登録のID"))</f>
        <v/>
      </c>
      <c r="D52" s="21"/>
      <c r="E52" s="21"/>
      <c r="F52" s="21"/>
      <c r="G52" s="18"/>
      <c r="H52" s="21"/>
      <c r="I52" s="26"/>
      <c r="J52" s="15"/>
      <c r="K52" s="27"/>
      <c r="L52" s="25" t="str">
        <f aca="false">IF(B52="","",B52&amp;"|"&amp;J52)</f>
        <v/>
      </c>
    </row>
    <row r="53" customFormat="false" ht="15" hidden="false" customHeight="false" outlineLevel="0" collapsed="false">
      <c r="A53" s="15"/>
      <c r="B53" s="21"/>
      <c r="C53" s="21" t="str">
        <f aca="false">IF(B53="","",IFERROR(INDEX(代理店一覧!$B$5:$B$204,MATCH(B53,代理店一覧!$A$5:$A$204,0)),"※未登録のID"))</f>
        <v/>
      </c>
      <c r="D53" s="21"/>
      <c r="E53" s="21"/>
      <c r="F53" s="21"/>
      <c r="G53" s="18"/>
      <c r="H53" s="21"/>
      <c r="I53" s="26"/>
      <c r="J53" s="15"/>
      <c r="K53" s="27"/>
      <c r="L53" s="25" t="str">
        <f aca="false">IF(B53="","",B53&amp;"|"&amp;J53)</f>
        <v/>
      </c>
    </row>
    <row r="54" customFormat="false" ht="15" hidden="false" customHeight="false" outlineLevel="0" collapsed="false">
      <c r="A54" s="15"/>
      <c r="B54" s="21"/>
      <c r="C54" s="21" t="str">
        <f aca="false">IF(B54="","",IFERROR(INDEX(代理店一覧!$B$5:$B$204,MATCH(B54,代理店一覧!$A$5:$A$204,0)),"※未登録のID"))</f>
        <v/>
      </c>
      <c r="D54" s="21"/>
      <c r="E54" s="21"/>
      <c r="F54" s="21"/>
      <c r="G54" s="18"/>
      <c r="H54" s="21"/>
      <c r="I54" s="26"/>
      <c r="J54" s="15"/>
      <c r="K54" s="27"/>
      <c r="L54" s="25" t="str">
        <f aca="false">IF(B54="","",B54&amp;"|"&amp;J54)</f>
        <v/>
      </c>
    </row>
    <row r="55" customFormat="false" ht="15" hidden="false" customHeight="false" outlineLevel="0" collapsed="false">
      <c r="A55" s="15"/>
      <c r="B55" s="21"/>
      <c r="C55" s="21" t="str">
        <f aca="false">IF(B55="","",IFERROR(INDEX(代理店一覧!$B$5:$B$204,MATCH(B55,代理店一覧!$A$5:$A$204,0)),"※未登録のID"))</f>
        <v/>
      </c>
      <c r="D55" s="21"/>
      <c r="E55" s="21"/>
      <c r="F55" s="21"/>
      <c r="G55" s="18"/>
      <c r="H55" s="21"/>
      <c r="I55" s="26"/>
      <c r="J55" s="15"/>
      <c r="K55" s="27"/>
      <c r="L55" s="25" t="str">
        <f aca="false">IF(B55="","",B55&amp;"|"&amp;J55)</f>
        <v/>
      </c>
    </row>
    <row r="56" customFormat="false" ht="15" hidden="false" customHeight="false" outlineLevel="0" collapsed="false">
      <c r="A56" s="15"/>
      <c r="B56" s="21"/>
      <c r="C56" s="21" t="str">
        <f aca="false">IF(B56="","",IFERROR(INDEX(代理店一覧!$B$5:$B$204,MATCH(B56,代理店一覧!$A$5:$A$204,0)),"※未登録のID"))</f>
        <v/>
      </c>
      <c r="D56" s="21"/>
      <c r="E56" s="21"/>
      <c r="F56" s="21"/>
      <c r="G56" s="18"/>
      <c r="H56" s="21"/>
      <c r="I56" s="26"/>
      <c r="J56" s="15"/>
      <c r="K56" s="27"/>
      <c r="L56" s="25" t="str">
        <f aca="false">IF(B56="","",B56&amp;"|"&amp;J56)</f>
        <v/>
      </c>
    </row>
    <row r="57" customFormat="false" ht="15" hidden="false" customHeight="false" outlineLevel="0" collapsed="false">
      <c r="A57" s="15"/>
      <c r="B57" s="21"/>
      <c r="C57" s="21" t="str">
        <f aca="false">IF(B57="","",IFERROR(INDEX(代理店一覧!$B$5:$B$204,MATCH(B57,代理店一覧!$A$5:$A$204,0)),"※未登録のID"))</f>
        <v/>
      </c>
      <c r="D57" s="21"/>
      <c r="E57" s="21"/>
      <c r="F57" s="21"/>
      <c r="G57" s="18"/>
      <c r="H57" s="21"/>
      <c r="I57" s="26"/>
      <c r="J57" s="15"/>
      <c r="K57" s="27"/>
      <c r="L57" s="25" t="str">
        <f aca="false">IF(B57="","",B57&amp;"|"&amp;J57)</f>
        <v/>
      </c>
    </row>
    <row r="58" customFormat="false" ht="15" hidden="false" customHeight="false" outlineLevel="0" collapsed="false">
      <c r="A58" s="15"/>
      <c r="B58" s="21"/>
      <c r="C58" s="21" t="str">
        <f aca="false">IF(B58="","",IFERROR(INDEX(代理店一覧!$B$5:$B$204,MATCH(B58,代理店一覧!$A$5:$A$204,0)),"※未登録のID"))</f>
        <v/>
      </c>
      <c r="D58" s="21"/>
      <c r="E58" s="21"/>
      <c r="F58" s="21"/>
      <c r="G58" s="18"/>
      <c r="H58" s="21"/>
      <c r="I58" s="26"/>
      <c r="J58" s="15"/>
      <c r="K58" s="27"/>
      <c r="L58" s="25" t="str">
        <f aca="false">IF(B58="","",B58&amp;"|"&amp;J58)</f>
        <v/>
      </c>
    </row>
    <row r="59" customFormat="false" ht="15" hidden="false" customHeight="false" outlineLevel="0" collapsed="false">
      <c r="A59" s="15"/>
      <c r="B59" s="21"/>
      <c r="C59" s="21" t="str">
        <f aca="false">IF(B59="","",IFERROR(INDEX(代理店一覧!$B$5:$B$204,MATCH(B59,代理店一覧!$A$5:$A$204,0)),"※未登録のID"))</f>
        <v/>
      </c>
      <c r="D59" s="21"/>
      <c r="E59" s="21"/>
      <c r="F59" s="21"/>
      <c r="G59" s="18"/>
      <c r="H59" s="21"/>
      <c r="I59" s="26"/>
      <c r="J59" s="15"/>
      <c r="K59" s="27"/>
      <c r="L59" s="25" t="str">
        <f aca="false">IF(B59="","",B59&amp;"|"&amp;J59)</f>
        <v/>
      </c>
    </row>
    <row r="60" customFormat="false" ht="15" hidden="false" customHeight="false" outlineLevel="0" collapsed="false">
      <c r="A60" s="15"/>
      <c r="B60" s="21"/>
      <c r="C60" s="21" t="str">
        <f aca="false">IF(B60="","",IFERROR(INDEX(代理店一覧!$B$5:$B$204,MATCH(B60,代理店一覧!$A$5:$A$204,0)),"※未登録のID"))</f>
        <v/>
      </c>
      <c r="D60" s="21"/>
      <c r="E60" s="21"/>
      <c r="F60" s="21"/>
      <c r="G60" s="18"/>
      <c r="H60" s="21"/>
      <c r="I60" s="26"/>
      <c r="J60" s="15"/>
      <c r="K60" s="27"/>
      <c r="L60" s="25" t="str">
        <f aca="false">IF(B60="","",B60&amp;"|"&amp;J60)</f>
        <v/>
      </c>
    </row>
    <row r="61" customFormat="false" ht="15" hidden="false" customHeight="false" outlineLevel="0" collapsed="false">
      <c r="A61" s="15"/>
      <c r="B61" s="21"/>
      <c r="C61" s="21" t="str">
        <f aca="false">IF(B61="","",IFERROR(INDEX(代理店一覧!$B$5:$B$204,MATCH(B61,代理店一覧!$A$5:$A$204,0)),"※未登録のID"))</f>
        <v/>
      </c>
      <c r="D61" s="21"/>
      <c r="E61" s="21"/>
      <c r="F61" s="21"/>
      <c r="G61" s="18"/>
      <c r="H61" s="21"/>
      <c r="I61" s="26"/>
      <c r="J61" s="15"/>
      <c r="K61" s="27"/>
      <c r="L61" s="25" t="str">
        <f aca="false">IF(B61="","",B61&amp;"|"&amp;J61)</f>
        <v/>
      </c>
    </row>
    <row r="62" customFormat="false" ht="15" hidden="false" customHeight="false" outlineLevel="0" collapsed="false">
      <c r="A62" s="15"/>
      <c r="B62" s="21"/>
      <c r="C62" s="21" t="str">
        <f aca="false">IF(B62="","",IFERROR(INDEX(代理店一覧!$B$5:$B$204,MATCH(B62,代理店一覧!$A$5:$A$204,0)),"※未登録のID"))</f>
        <v/>
      </c>
      <c r="D62" s="21"/>
      <c r="E62" s="21"/>
      <c r="F62" s="21"/>
      <c r="G62" s="18"/>
      <c r="H62" s="21"/>
      <c r="I62" s="26"/>
      <c r="J62" s="15"/>
      <c r="K62" s="27"/>
      <c r="L62" s="25" t="str">
        <f aca="false">IF(B62="","",B62&amp;"|"&amp;J62)</f>
        <v/>
      </c>
    </row>
    <row r="63" customFormat="false" ht="15" hidden="false" customHeight="false" outlineLevel="0" collapsed="false">
      <c r="A63" s="15"/>
      <c r="B63" s="21"/>
      <c r="C63" s="21" t="str">
        <f aca="false">IF(B63="","",IFERROR(INDEX(代理店一覧!$B$5:$B$204,MATCH(B63,代理店一覧!$A$5:$A$204,0)),"※未登録のID"))</f>
        <v/>
      </c>
      <c r="D63" s="21"/>
      <c r="E63" s="21"/>
      <c r="F63" s="21"/>
      <c r="G63" s="18"/>
      <c r="H63" s="21"/>
      <c r="I63" s="26"/>
      <c r="J63" s="15"/>
      <c r="K63" s="27"/>
      <c r="L63" s="25" t="str">
        <f aca="false">IF(B63="","",B63&amp;"|"&amp;J63)</f>
        <v/>
      </c>
    </row>
    <row r="64" customFormat="false" ht="15" hidden="false" customHeight="false" outlineLevel="0" collapsed="false">
      <c r="A64" s="15"/>
      <c r="B64" s="21"/>
      <c r="C64" s="21" t="str">
        <f aca="false">IF(B64="","",IFERROR(INDEX(代理店一覧!$B$5:$B$204,MATCH(B64,代理店一覧!$A$5:$A$204,0)),"※未登録のID"))</f>
        <v/>
      </c>
      <c r="D64" s="21"/>
      <c r="E64" s="21"/>
      <c r="F64" s="21"/>
      <c r="G64" s="18"/>
      <c r="H64" s="21"/>
      <c r="I64" s="26"/>
      <c r="J64" s="15"/>
      <c r="K64" s="27"/>
      <c r="L64" s="25" t="str">
        <f aca="false">IF(B64="","",B64&amp;"|"&amp;J64)</f>
        <v/>
      </c>
    </row>
    <row r="65" customFormat="false" ht="15" hidden="false" customHeight="false" outlineLevel="0" collapsed="false">
      <c r="A65" s="15"/>
      <c r="B65" s="21"/>
      <c r="C65" s="21" t="str">
        <f aca="false">IF(B65="","",IFERROR(INDEX(代理店一覧!$B$5:$B$204,MATCH(B65,代理店一覧!$A$5:$A$204,0)),"※未登録のID"))</f>
        <v/>
      </c>
      <c r="D65" s="21"/>
      <c r="E65" s="21"/>
      <c r="F65" s="21"/>
      <c r="G65" s="18"/>
      <c r="H65" s="21"/>
      <c r="I65" s="26"/>
      <c r="J65" s="15"/>
      <c r="K65" s="27"/>
      <c r="L65" s="25" t="str">
        <f aca="false">IF(B65="","",B65&amp;"|"&amp;J65)</f>
        <v/>
      </c>
    </row>
    <row r="66" customFormat="false" ht="15" hidden="false" customHeight="false" outlineLevel="0" collapsed="false">
      <c r="A66" s="15"/>
      <c r="B66" s="21"/>
      <c r="C66" s="21" t="str">
        <f aca="false">IF(B66="","",IFERROR(INDEX(代理店一覧!$B$5:$B$204,MATCH(B66,代理店一覧!$A$5:$A$204,0)),"※未登録のID"))</f>
        <v/>
      </c>
      <c r="D66" s="21"/>
      <c r="E66" s="21"/>
      <c r="F66" s="21"/>
      <c r="G66" s="18"/>
      <c r="H66" s="21"/>
      <c r="I66" s="26"/>
      <c r="J66" s="15"/>
      <c r="K66" s="27"/>
      <c r="L66" s="25" t="str">
        <f aca="false">IF(B66="","",B66&amp;"|"&amp;J66)</f>
        <v/>
      </c>
    </row>
    <row r="67" customFormat="false" ht="15" hidden="false" customHeight="false" outlineLevel="0" collapsed="false">
      <c r="A67" s="15"/>
      <c r="B67" s="21"/>
      <c r="C67" s="21" t="str">
        <f aca="false">IF(B67="","",IFERROR(INDEX(代理店一覧!$B$5:$B$204,MATCH(B67,代理店一覧!$A$5:$A$204,0)),"※未登録のID"))</f>
        <v/>
      </c>
      <c r="D67" s="21"/>
      <c r="E67" s="21"/>
      <c r="F67" s="21"/>
      <c r="G67" s="18"/>
      <c r="H67" s="21"/>
      <c r="I67" s="26"/>
      <c r="J67" s="15"/>
      <c r="K67" s="27"/>
      <c r="L67" s="25" t="str">
        <f aca="false">IF(B67="","",B67&amp;"|"&amp;J67)</f>
        <v/>
      </c>
    </row>
    <row r="68" customFormat="false" ht="15" hidden="false" customHeight="false" outlineLevel="0" collapsed="false">
      <c r="A68" s="15"/>
      <c r="B68" s="21"/>
      <c r="C68" s="21" t="str">
        <f aca="false">IF(B68="","",IFERROR(INDEX(代理店一覧!$B$5:$B$204,MATCH(B68,代理店一覧!$A$5:$A$204,0)),"※未登録のID"))</f>
        <v/>
      </c>
      <c r="D68" s="21"/>
      <c r="E68" s="21"/>
      <c r="F68" s="21"/>
      <c r="G68" s="18"/>
      <c r="H68" s="21"/>
      <c r="I68" s="26"/>
      <c r="J68" s="15"/>
      <c r="K68" s="27"/>
      <c r="L68" s="25" t="str">
        <f aca="false">IF(B68="","",B68&amp;"|"&amp;J68)</f>
        <v/>
      </c>
    </row>
    <row r="69" customFormat="false" ht="15" hidden="false" customHeight="false" outlineLevel="0" collapsed="false">
      <c r="A69" s="15"/>
      <c r="B69" s="21"/>
      <c r="C69" s="21" t="str">
        <f aca="false">IF(B69="","",IFERROR(INDEX(代理店一覧!$B$5:$B$204,MATCH(B69,代理店一覧!$A$5:$A$204,0)),"※未登録のID"))</f>
        <v/>
      </c>
      <c r="D69" s="21"/>
      <c r="E69" s="21"/>
      <c r="F69" s="21"/>
      <c r="G69" s="18"/>
      <c r="H69" s="21"/>
      <c r="I69" s="26"/>
      <c r="J69" s="15"/>
      <c r="K69" s="27"/>
      <c r="L69" s="25" t="str">
        <f aca="false">IF(B69="","",B69&amp;"|"&amp;J69)</f>
        <v/>
      </c>
    </row>
    <row r="70" customFormat="false" ht="15" hidden="false" customHeight="false" outlineLevel="0" collapsed="false">
      <c r="A70" s="15"/>
      <c r="B70" s="21"/>
      <c r="C70" s="21" t="str">
        <f aca="false">IF(B70="","",IFERROR(INDEX(代理店一覧!$B$5:$B$204,MATCH(B70,代理店一覧!$A$5:$A$204,0)),"※未登録のID"))</f>
        <v/>
      </c>
      <c r="D70" s="21"/>
      <c r="E70" s="21"/>
      <c r="F70" s="21"/>
      <c r="G70" s="18"/>
      <c r="H70" s="21"/>
      <c r="I70" s="26"/>
      <c r="J70" s="15"/>
      <c r="K70" s="27"/>
      <c r="L70" s="25" t="str">
        <f aca="false">IF(B70="","",B70&amp;"|"&amp;J70)</f>
        <v/>
      </c>
    </row>
    <row r="71" customFormat="false" ht="15" hidden="false" customHeight="false" outlineLevel="0" collapsed="false">
      <c r="A71" s="15"/>
      <c r="B71" s="21"/>
      <c r="C71" s="21" t="str">
        <f aca="false">IF(B71="","",IFERROR(INDEX(代理店一覧!$B$5:$B$204,MATCH(B71,代理店一覧!$A$5:$A$204,0)),"※未登録のID"))</f>
        <v/>
      </c>
      <c r="D71" s="21"/>
      <c r="E71" s="21"/>
      <c r="F71" s="21"/>
      <c r="G71" s="18"/>
      <c r="H71" s="21"/>
      <c r="I71" s="26"/>
      <c r="J71" s="15"/>
      <c r="K71" s="27"/>
      <c r="L71" s="25" t="str">
        <f aca="false">IF(B71="","",B71&amp;"|"&amp;J71)</f>
        <v/>
      </c>
    </row>
    <row r="72" customFormat="false" ht="15" hidden="false" customHeight="false" outlineLevel="0" collapsed="false">
      <c r="A72" s="15"/>
      <c r="B72" s="21"/>
      <c r="C72" s="21" t="str">
        <f aca="false">IF(B72="","",IFERROR(INDEX(代理店一覧!$B$5:$B$204,MATCH(B72,代理店一覧!$A$5:$A$204,0)),"※未登録のID"))</f>
        <v/>
      </c>
      <c r="D72" s="21"/>
      <c r="E72" s="21"/>
      <c r="F72" s="21"/>
      <c r="G72" s="18"/>
      <c r="H72" s="21"/>
      <c r="I72" s="26"/>
      <c r="J72" s="15"/>
      <c r="K72" s="27"/>
      <c r="L72" s="25" t="str">
        <f aca="false">IF(B72="","",B72&amp;"|"&amp;J72)</f>
        <v/>
      </c>
    </row>
    <row r="73" customFormat="false" ht="15" hidden="false" customHeight="false" outlineLevel="0" collapsed="false">
      <c r="A73" s="15"/>
      <c r="B73" s="21"/>
      <c r="C73" s="21" t="str">
        <f aca="false">IF(B73="","",IFERROR(INDEX(代理店一覧!$B$5:$B$204,MATCH(B73,代理店一覧!$A$5:$A$204,0)),"※未登録のID"))</f>
        <v/>
      </c>
      <c r="D73" s="21"/>
      <c r="E73" s="21"/>
      <c r="F73" s="21"/>
      <c r="G73" s="18"/>
      <c r="H73" s="21"/>
      <c r="I73" s="26"/>
      <c r="J73" s="15"/>
      <c r="K73" s="27"/>
      <c r="L73" s="25" t="str">
        <f aca="false">IF(B73="","",B73&amp;"|"&amp;J73)</f>
        <v/>
      </c>
    </row>
    <row r="74" customFormat="false" ht="15" hidden="false" customHeight="false" outlineLevel="0" collapsed="false">
      <c r="A74" s="15"/>
      <c r="B74" s="21"/>
      <c r="C74" s="21" t="str">
        <f aca="false">IF(B74="","",IFERROR(INDEX(代理店一覧!$B$5:$B$204,MATCH(B74,代理店一覧!$A$5:$A$204,0)),"※未登録のID"))</f>
        <v/>
      </c>
      <c r="D74" s="21"/>
      <c r="E74" s="21"/>
      <c r="F74" s="21"/>
      <c r="G74" s="18"/>
      <c r="H74" s="21"/>
      <c r="I74" s="26"/>
      <c r="J74" s="15"/>
      <c r="K74" s="27"/>
      <c r="L74" s="25" t="str">
        <f aca="false">IF(B74="","",B74&amp;"|"&amp;J74)</f>
        <v/>
      </c>
    </row>
    <row r="75" customFormat="false" ht="15" hidden="false" customHeight="false" outlineLevel="0" collapsed="false">
      <c r="A75" s="15"/>
      <c r="B75" s="21"/>
      <c r="C75" s="21" t="str">
        <f aca="false">IF(B75="","",IFERROR(INDEX(代理店一覧!$B$5:$B$204,MATCH(B75,代理店一覧!$A$5:$A$204,0)),"※未登録のID"))</f>
        <v/>
      </c>
      <c r="D75" s="21"/>
      <c r="E75" s="21"/>
      <c r="F75" s="21"/>
      <c r="G75" s="18"/>
      <c r="H75" s="21"/>
      <c r="I75" s="26"/>
      <c r="J75" s="15"/>
      <c r="K75" s="27"/>
      <c r="L75" s="25" t="str">
        <f aca="false">IF(B75="","",B75&amp;"|"&amp;J75)</f>
        <v/>
      </c>
    </row>
    <row r="76" customFormat="false" ht="15" hidden="false" customHeight="false" outlineLevel="0" collapsed="false">
      <c r="A76" s="15"/>
      <c r="B76" s="21"/>
      <c r="C76" s="21" t="str">
        <f aca="false">IF(B76="","",IFERROR(INDEX(代理店一覧!$B$5:$B$204,MATCH(B76,代理店一覧!$A$5:$A$204,0)),"※未登録のID"))</f>
        <v/>
      </c>
      <c r="D76" s="21"/>
      <c r="E76" s="21"/>
      <c r="F76" s="21"/>
      <c r="G76" s="18"/>
      <c r="H76" s="21"/>
      <c r="I76" s="26"/>
      <c r="J76" s="15"/>
      <c r="K76" s="27"/>
      <c r="L76" s="25" t="str">
        <f aca="false">IF(B76="","",B76&amp;"|"&amp;J76)</f>
        <v/>
      </c>
    </row>
    <row r="77" customFormat="false" ht="15" hidden="false" customHeight="false" outlineLevel="0" collapsed="false">
      <c r="A77" s="15"/>
      <c r="B77" s="21"/>
      <c r="C77" s="21" t="str">
        <f aca="false">IF(B77="","",IFERROR(INDEX(代理店一覧!$B$5:$B$204,MATCH(B77,代理店一覧!$A$5:$A$204,0)),"※未登録のID"))</f>
        <v/>
      </c>
      <c r="D77" s="21"/>
      <c r="E77" s="21"/>
      <c r="F77" s="21"/>
      <c r="G77" s="18"/>
      <c r="H77" s="21"/>
      <c r="I77" s="26"/>
      <c r="J77" s="15"/>
      <c r="K77" s="27"/>
      <c r="L77" s="25" t="str">
        <f aca="false">IF(B77="","",B77&amp;"|"&amp;J77)</f>
        <v/>
      </c>
    </row>
    <row r="78" customFormat="false" ht="15" hidden="false" customHeight="false" outlineLevel="0" collapsed="false">
      <c r="A78" s="15"/>
      <c r="B78" s="21"/>
      <c r="C78" s="21" t="str">
        <f aca="false">IF(B78="","",IFERROR(INDEX(代理店一覧!$B$5:$B$204,MATCH(B78,代理店一覧!$A$5:$A$204,0)),"※未登録のID"))</f>
        <v/>
      </c>
      <c r="D78" s="21"/>
      <c r="E78" s="21"/>
      <c r="F78" s="21"/>
      <c r="G78" s="18"/>
      <c r="H78" s="21"/>
      <c r="I78" s="26"/>
      <c r="J78" s="15"/>
      <c r="K78" s="27"/>
      <c r="L78" s="25" t="str">
        <f aca="false">IF(B78="","",B78&amp;"|"&amp;J78)</f>
        <v/>
      </c>
    </row>
    <row r="79" customFormat="false" ht="15" hidden="false" customHeight="false" outlineLevel="0" collapsed="false">
      <c r="A79" s="15"/>
      <c r="B79" s="21"/>
      <c r="C79" s="21" t="str">
        <f aca="false">IF(B79="","",IFERROR(INDEX(代理店一覧!$B$5:$B$204,MATCH(B79,代理店一覧!$A$5:$A$204,0)),"※未登録のID"))</f>
        <v/>
      </c>
      <c r="D79" s="21"/>
      <c r="E79" s="21"/>
      <c r="F79" s="21"/>
      <c r="G79" s="18"/>
      <c r="H79" s="21"/>
      <c r="I79" s="26"/>
      <c r="J79" s="15"/>
      <c r="K79" s="27"/>
      <c r="L79" s="25" t="str">
        <f aca="false">IF(B79="","",B79&amp;"|"&amp;J79)</f>
        <v/>
      </c>
    </row>
    <row r="80" customFormat="false" ht="15" hidden="false" customHeight="false" outlineLevel="0" collapsed="false">
      <c r="A80" s="15"/>
      <c r="B80" s="21"/>
      <c r="C80" s="21" t="str">
        <f aca="false">IF(B80="","",IFERROR(INDEX(代理店一覧!$B$5:$B$204,MATCH(B80,代理店一覧!$A$5:$A$204,0)),"※未登録のID"))</f>
        <v/>
      </c>
      <c r="D80" s="21"/>
      <c r="E80" s="21"/>
      <c r="F80" s="21"/>
      <c r="G80" s="18"/>
      <c r="H80" s="21"/>
      <c r="I80" s="26"/>
      <c r="J80" s="15"/>
      <c r="K80" s="27"/>
      <c r="L80" s="25" t="str">
        <f aca="false">IF(B80="","",B80&amp;"|"&amp;J80)</f>
        <v/>
      </c>
    </row>
    <row r="81" customFormat="false" ht="15" hidden="false" customHeight="false" outlineLevel="0" collapsed="false">
      <c r="A81" s="15"/>
      <c r="B81" s="21"/>
      <c r="C81" s="21" t="str">
        <f aca="false">IF(B81="","",IFERROR(INDEX(代理店一覧!$B$5:$B$204,MATCH(B81,代理店一覧!$A$5:$A$204,0)),"※未登録のID"))</f>
        <v/>
      </c>
      <c r="D81" s="21"/>
      <c r="E81" s="21"/>
      <c r="F81" s="21"/>
      <c r="G81" s="18"/>
      <c r="H81" s="21"/>
      <c r="I81" s="26"/>
      <c r="J81" s="15"/>
      <c r="K81" s="27"/>
      <c r="L81" s="25" t="str">
        <f aca="false">IF(B81="","",B81&amp;"|"&amp;J81)</f>
        <v/>
      </c>
    </row>
    <row r="82" customFormat="false" ht="15" hidden="false" customHeight="false" outlineLevel="0" collapsed="false">
      <c r="A82" s="15"/>
      <c r="B82" s="21"/>
      <c r="C82" s="21" t="str">
        <f aca="false">IF(B82="","",IFERROR(INDEX(代理店一覧!$B$5:$B$204,MATCH(B82,代理店一覧!$A$5:$A$204,0)),"※未登録のID"))</f>
        <v/>
      </c>
      <c r="D82" s="21"/>
      <c r="E82" s="21"/>
      <c r="F82" s="21"/>
      <c r="G82" s="18"/>
      <c r="H82" s="21"/>
      <c r="I82" s="26"/>
      <c r="J82" s="15"/>
      <c r="K82" s="27"/>
      <c r="L82" s="25" t="str">
        <f aca="false">IF(B82="","",B82&amp;"|"&amp;J82)</f>
        <v/>
      </c>
    </row>
    <row r="83" customFormat="false" ht="15" hidden="false" customHeight="false" outlineLevel="0" collapsed="false">
      <c r="A83" s="15"/>
      <c r="B83" s="21"/>
      <c r="C83" s="21" t="str">
        <f aca="false">IF(B83="","",IFERROR(INDEX(代理店一覧!$B$5:$B$204,MATCH(B83,代理店一覧!$A$5:$A$204,0)),"※未登録のID"))</f>
        <v/>
      </c>
      <c r="D83" s="21"/>
      <c r="E83" s="21"/>
      <c r="F83" s="21"/>
      <c r="G83" s="18"/>
      <c r="H83" s="21"/>
      <c r="I83" s="26"/>
      <c r="J83" s="15"/>
      <c r="K83" s="27"/>
      <c r="L83" s="25" t="str">
        <f aca="false">IF(B83="","",B83&amp;"|"&amp;J83)</f>
        <v/>
      </c>
    </row>
    <row r="84" customFormat="false" ht="15" hidden="false" customHeight="false" outlineLevel="0" collapsed="false">
      <c r="A84" s="15"/>
      <c r="B84" s="21"/>
      <c r="C84" s="21" t="str">
        <f aca="false">IF(B84="","",IFERROR(INDEX(代理店一覧!$B$5:$B$204,MATCH(B84,代理店一覧!$A$5:$A$204,0)),"※未登録のID"))</f>
        <v/>
      </c>
      <c r="D84" s="21"/>
      <c r="E84" s="21"/>
      <c r="F84" s="21"/>
      <c r="G84" s="18"/>
      <c r="H84" s="21"/>
      <c r="I84" s="26"/>
      <c r="J84" s="15"/>
      <c r="K84" s="27"/>
      <c r="L84" s="25" t="str">
        <f aca="false">IF(B84="","",B84&amp;"|"&amp;J84)</f>
        <v/>
      </c>
    </row>
    <row r="85" customFormat="false" ht="15" hidden="false" customHeight="false" outlineLevel="0" collapsed="false">
      <c r="A85" s="15"/>
      <c r="B85" s="21"/>
      <c r="C85" s="21" t="str">
        <f aca="false">IF(B85="","",IFERROR(INDEX(代理店一覧!$B$5:$B$204,MATCH(B85,代理店一覧!$A$5:$A$204,0)),"※未登録のID"))</f>
        <v/>
      </c>
      <c r="D85" s="21"/>
      <c r="E85" s="21"/>
      <c r="F85" s="21"/>
      <c r="G85" s="18"/>
      <c r="H85" s="21"/>
      <c r="I85" s="26"/>
      <c r="J85" s="15"/>
      <c r="K85" s="27"/>
      <c r="L85" s="25" t="str">
        <f aca="false">IF(B85="","",B85&amp;"|"&amp;J85)</f>
        <v/>
      </c>
    </row>
    <row r="86" customFormat="false" ht="15" hidden="false" customHeight="false" outlineLevel="0" collapsed="false">
      <c r="A86" s="15"/>
      <c r="B86" s="21"/>
      <c r="C86" s="21" t="str">
        <f aca="false">IF(B86="","",IFERROR(INDEX(代理店一覧!$B$5:$B$204,MATCH(B86,代理店一覧!$A$5:$A$204,0)),"※未登録のID"))</f>
        <v/>
      </c>
      <c r="D86" s="21"/>
      <c r="E86" s="21"/>
      <c r="F86" s="21"/>
      <c r="G86" s="18"/>
      <c r="H86" s="21"/>
      <c r="I86" s="26"/>
      <c r="J86" s="15"/>
      <c r="K86" s="27"/>
      <c r="L86" s="25" t="str">
        <f aca="false">IF(B86="","",B86&amp;"|"&amp;J86)</f>
        <v/>
      </c>
    </row>
    <row r="87" customFormat="false" ht="15" hidden="false" customHeight="false" outlineLevel="0" collapsed="false">
      <c r="A87" s="15"/>
      <c r="B87" s="21"/>
      <c r="C87" s="21" t="str">
        <f aca="false">IF(B87="","",IFERROR(INDEX(代理店一覧!$B$5:$B$204,MATCH(B87,代理店一覧!$A$5:$A$204,0)),"※未登録のID"))</f>
        <v/>
      </c>
      <c r="D87" s="21"/>
      <c r="E87" s="21"/>
      <c r="F87" s="21"/>
      <c r="G87" s="18"/>
      <c r="H87" s="21"/>
      <c r="I87" s="26"/>
      <c r="J87" s="15"/>
      <c r="K87" s="27"/>
      <c r="L87" s="25" t="str">
        <f aca="false">IF(B87="","",B87&amp;"|"&amp;J87)</f>
        <v/>
      </c>
    </row>
    <row r="88" customFormat="false" ht="15" hidden="false" customHeight="false" outlineLevel="0" collapsed="false">
      <c r="A88" s="15"/>
      <c r="B88" s="21"/>
      <c r="C88" s="21" t="str">
        <f aca="false">IF(B88="","",IFERROR(INDEX(代理店一覧!$B$5:$B$204,MATCH(B88,代理店一覧!$A$5:$A$204,0)),"※未登録のID"))</f>
        <v/>
      </c>
      <c r="D88" s="21"/>
      <c r="E88" s="21"/>
      <c r="F88" s="21"/>
      <c r="G88" s="18"/>
      <c r="H88" s="21"/>
      <c r="I88" s="26"/>
      <c r="J88" s="15"/>
      <c r="K88" s="27"/>
      <c r="L88" s="25" t="str">
        <f aca="false">IF(B88="","",B88&amp;"|"&amp;J88)</f>
        <v/>
      </c>
    </row>
    <row r="89" customFormat="false" ht="15" hidden="false" customHeight="false" outlineLevel="0" collapsed="false">
      <c r="A89" s="15"/>
      <c r="B89" s="21"/>
      <c r="C89" s="21" t="str">
        <f aca="false">IF(B89="","",IFERROR(INDEX(代理店一覧!$B$5:$B$204,MATCH(B89,代理店一覧!$A$5:$A$204,0)),"※未登録のID"))</f>
        <v/>
      </c>
      <c r="D89" s="21"/>
      <c r="E89" s="21"/>
      <c r="F89" s="21"/>
      <c r="G89" s="18"/>
      <c r="H89" s="21"/>
      <c r="I89" s="26"/>
      <c r="J89" s="15"/>
      <c r="K89" s="27"/>
      <c r="L89" s="25" t="str">
        <f aca="false">IF(B89="","",B89&amp;"|"&amp;J89)</f>
        <v/>
      </c>
    </row>
    <row r="90" customFormat="false" ht="15" hidden="false" customHeight="false" outlineLevel="0" collapsed="false">
      <c r="A90" s="15"/>
      <c r="B90" s="21"/>
      <c r="C90" s="21" t="str">
        <f aca="false">IF(B90="","",IFERROR(INDEX(代理店一覧!$B$5:$B$204,MATCH(B90,代理店一覧!$A$5:$A$204,0)),"※未登録のID"))</f>
        <v/>
      </c>
      <c r="D90" s="21"/>
      <c r="E90" s="21"/>
      <c r="F90" s="21"/>
      <c r="G90" s="18"/>
      <c r="H90" s="21"/>
      <c r="I90" s="26"/>
      <c r="J90" s="15"/>
      <c r="K90" s="27"/>
      <c r="L90" s="25" t="str">
        <f aca="false">IF(B90="","",B90&amp;"|"&amp;J90)</f>
        <v/>
      </c>
    </row>
    <row r="91" customFormat="false" ht="15" hidden="false" customHeight="false" outlineLevel="0" collapsed="false">
      <c r="A91" s="15"/>
      <c r="B91" s="21"/>
      <c r="C91" s="21" t="str">
        <f aca="false">IF(B91="","",IFERROR(INDEX(代理店一覧!$B$5:$B$204,MATCH(B91,代理店一覧!$A$5:$A$204,0)),"※未登録のID"))</f>
        <v/>
      </c>
      <c r="D91" s="21"/>
      <c r="E91" s="21"/>
      <c r="F91" s="21"/>
      <c r="G91" s="18"/>
      <c r="H91" s="21"/>
      <c r="I91" s="26"/>
      <c r="J91" s="15"/>
      <c r="K91" s="27"/>
      <c r="L91" s="25" t="str">
        <f aca="false">IF(B91="","",B91&amp;"|"&amp;J91)</f>
        <v/>
      </c>
    </row>
    <row r="92" customFormat="false" ht="15" hidden="false" customHeight="false" outlineLevel="0" collapsed="false">
      <c r="A92" s="15"/>
      <c r="B92" s="21"/>
      <c r="C92" s="21" t="str">
        <f aca="false">IF(B92="","",IFERROR(INDEX(代理店一覧!$B$5:$B$204,MATCH(B92,代理店一覧!$A$5:$A$204,0)),"※未登録のID"))</f>
        <v/>
      </c>
      <c r="D92" s="21"/>
      <c r="E92" s="21"/>
      <c r="F92" s="21"/>
      <c r="G92" s="18"/>
      <c r="H92" s="21"/>
      <c r="I92" s="26"/>
      <c r="J92" s="15"/>
      <c r="K92" s="27"/>
      <c r="L92" s="25" t="str">
        <f aca="false">IF(B92="","",B92&amp;"|"&amp;J92)</f>
        <v/>
      </c>
    </row>
    <row r="93" customFormat="false" ht="15" hidden="false" customHeight="false" outlineLevel="0" collapsed="false">
      <c r="A93" s="15"/>
      <c r="B93" s="21"/>
      <c r="C93" s="21" t="str">
        <f aca="false">IF(B93="","",IFERROR(INDEX(代理店一覧!$B$5:$B$204,MATCH(B93,代理店一覧!$A$5:$A$204,0)),"※未登録のID"))</f>
        <v/>
      </c>
      <c r="D93" s="21"/>
      <c r="E93" s="21"/>
      <c r="F93" s="21"/>
      <c r="G93" s="18"/>
      <c r="H93" s="21"/>
      <c r="I93" s="26"/>
      <c r="J93" s="15"/>
      <c r="K93" s="27"/>
      <c r="L93" s="25" t="str">
        <f aca="false">IF(B93="","",B93&amp;"|"&amp;J93)</f>
        <v/>
      </c>
    </row>
    <row r="94" customFormat="false" ht="15" hidden="false" customHeight="false" outlineLevel="0" collapsed="false">
      <c r="A94" s="15"/>
      <c r="B94" s="21"/>
      <c r="C94" s="21" t="str">
        <f aca="false">IF(B94="","",IFERROR(INDEX(代理店一覧!$B$5:$B$204,MATCH(B94,代理店一覧!$A$5:$A$204,0)),"※未登録のID"))</f>
        <v/>
      </c>
      <c r="D94" s="21"/>
      <c r="E94" s="21"/>
      <c r="F94" s="21"/>
      <c r="G94" s="18"/>
      <c r="H94" s="21"/>
      <c r="I94" s="26"/>
      <c r="J94" s="15"/>
      <c r="K94" s="27"/>
      <c r="L94" s="25" t="str">
        <f aca="false">IF(B94="","",B94&amp;"|"&amp;J94)</f>
        <v/>
      </c>
    </row>
    <row r="95" customFormat="false" ht="15" hidden="false" customHeight="false" outlineLevel="0" collapsed="false">
      <c r="A95" s="15"/>
      <c r="B95" s="21"/>
      <c r="C95" s="21" t="str">
        <f aca="false">IF(B95="","",IFERROR(INDEX(代理店一覧!$B$5:$B$204,MATCH(B95,代理店一覧!$A$5:$A$204,0)),"※未登録のID"))</f>
        <v/>
      </c>
      <c r="D95" s="21"/>
      <c r="E95" s="21"/>
      <c r="F95" s="21"/>
      <c r="G95" s="18"/>
      <c r="H95" s="21"/>
      <c r="I95" s="26"/>
      <c r="J95" s="15"/>
      <c r="K95" s="27"/>
      <c r="L95" s="25" t="str">
        <f aca="false">IF(B95="","",B95&amp;"|"&amp;J95)</f>
        <v/>
      </c>
    </row>
    <row r="96" customFormat="false" ht="15" hidden="false" customHeight="false" outlineLevel="0" collapsed="false">
      <c r="A96" s="15"/>
      <c r="B96" s="21"/>
      <c r="C96" s="21" t="str">
        <f aca="false">IF(B96="","",IFERROR(INDEX(代理店一覧!$B$5:$B$204,MATCH(B96,代理店一覧!$A$5:$A$204,0)),"※未登録のID"))</f>
        <v/>
      </c>
      <c r="D96" s="21"/>
      <c r="E96" s="21"/>
      <c r="F96" s="21"/>
      <c r="G96" s="18"/>
      <c r="H96" s="21"/>
      <c r="I96" s="26"/>
      <c r="J96" s="15"/>
      <c r="K96" s="27"/>
      <c r="L96" s="25" t="str">
        <f aca="false">IF(B96="","",B96&amp;"|"&amp;J96)</f>
        <v/>
      </c>
    </row>
    <row r="97" customFormat="false" ht="15" hidden="false" customHeight="false" outlineLevel="0" collapsed="false">
      <c r="A97" s="15"/>
      <c r="B97" s="21"/>
      <c r="C97" s="21" t="str">
        <f aca="false">IF(B97="","",IFERROR(INDEX(代理店一覧!$B$5:$B$204,MATCH(B97,代理店一覧!$A$5:$A$204,0)),"※未登録のID"))</f>
        <v/>
      </c>
      <c r="D97" s="21"/>
      <c r="E97" s="21"/>
      <c r="F97" s="21"/>
      <c r="G97" s="18"/>
      <c r="H97" s="21"/>
      <c r="I97" s="26"/>
      <c r="J97" s="15"/>
      <c r="K97" s="27"/>
      <c r="L97" s="25" t="str">
        <f aca="false">IF(B97="","",B97&amp;"|"&amp;J97)</f>
        <v/>
      </c>
    </row>
    <row r="98" customFormat="false" ht="15" hidden="false" customHeight="false" outlineLevel="0" collapsed="false">
      <c r="A98" s="15"/>
      <c r="B98" s="21"/>
      <c r="C98" s="21" t="str">
        <f aca="false">IF(B98="","",IFERROR(INDEX(代理店一覧!$B$5:$B$204,MATCH(B98,代理店一覧!$A$5:$A$204,0)),"※未登録のID"))</f>
        <v/>
      </c>
      <c r="D98" s="21"/>
      <c r="E98" s="21"/>
      <c r="F98" s="21"/>
      <c r="G98" s="18"/>
      <c r="H98" s="21"/>
      <c r="I98" s="26"/>
      <c r="J98" s="15"/>
      <c r="K98" s="27"/>
      <c r="L98" s="25" t="str">
        <f aca="false">IF(B98="","",B98&amp;"|"&amp;J98)</f>
        <v/>
      </c>
    </row>
    <row r="99" customFormat="false" ht="15" hidden="false" customHeight="false" outlineLevel="0" collapsed="false">
      <c r="A99" s="15"/>
      <c r="B99" s="21"/>
      <c r="C99" s="21" t="str">
        <f aca="false">IF(B99="","",IFERROR(INDEX(代理店一覧!$B$5:$B$204,MATCH(B99,代理店一覧!$A$5:$A$204,0)),"※未登録のID"))</f>
        <v/>
      </c>
      <c r="D99" s="21"/>
      <c r="E99" s="21"/>
      <c r="F99" s="21"/>
      <c r="G99" s="18"/>
      <c r="H99" s="21"/>
      <c r="I99" s="26"/>
      <c r="J99" s="15"/>
      <c r="K99" s="27"/>
      <c r="L99" s="25" t="str">
        <f aca="false">IF(B99="","",B99&amp;"|"&amp;J99)</f>
        <v/>
      </c>
    </row>
    <row r="100" customFormat="false" ht="15" hidden="false" customHeight="false" outlineLevel="0" collapsed="false">
      <c r="A100" s="15"/>
      <c r="B100" s="21"/>
      <c r="C100" s="21" t="str">
        <f aca="false">IF(B100="","",IFERROR(INDEX(代理店一覧!$B$5:$B$204,MATCH(B100,代理店一覧!$A$5:$A$204,0)),"※未登録のID"))</f>
        <v/>
      </c>
      <c r="D100" s="21"/>
      <c r="E100" s="21"/>
      <c r="F100" s="21"/>
      <c r="G100" s="18"/>
      <c r="H100" s="21"/>
      <c r="I100" s="26"/>
      <c r="J100" s="15"/>
      <c r="K100" s="27"/>
      <c r="L100" s="25" t="str">
        <f aca="false">IF(B100="","",B100&amp;"|"&amp;J100)</f>
        <v/>
      </c>
    </row>
    <row r="101" customFormat="false" ht="15" hidden="false" customHeight="false" outlineLevel="0" collapsed="false">
      <c r="A101" s="15"/>
      <c r="B101" s="21"/>
      <c r="C101" s="21" t="str">
        <f aca="false">IF(B101="","",IFERROR(INDEX(代理店一覧!$B$5:$B$204,MATCH(B101,代理店一覧!$A$5:$A$204,0)),"※未登録のID"))</f>
        <v/>
      </c>
      <c r="D101" s="21"/>
      <c r="E101" s="21"/>
      <c r="F101" s="21"/>
      <c r="G101" s="18"/>
      <c r="H101" s="21"/>
      <c r="I101" s="26"/>
      <c r="J101" s="15"/>
      <c r="K101" s="27"/>
      <c r="L101" s="25" t="str">
        <f aca="false">IF(B101="","",B101&amp;"|"&amp;J101)</f>
        <v/>
      </c>
    </row>
    <row r="102" customFormat="false" ht="15" hidden="false" customHeight="false" outlineLevel="0" collapsed="false">
      <c r="A102" s="15"/>
      <c r="B102" s="21"/>
      <c r="C102" s="21" t="str">
        <f aca="false">IF(B102="","",IFERROR(INDEX(代理店一覧!$B$5:$B$204,MATCH(B102,代理店一覧!$A$5:$A$204,0)),"※未登録のID"))</f>
        <v/>
      </c>
      <c r="D102" s="21"/>
      <c r="E102" s="21"/>
      <c r="F102" s="21"/>
      <c r="G102" s="18"/>
      <c r="H102" s="21"/>
      <c r="I102" s="26"/>
      <c r="J102" s="15"/>
      <c r="K102" s="27"/>
      <c r="L102" s="25" t="str">
        <f aca="false">IF(B102="","",B102&amp;"|"&amp;J102)</f>
        <v/>
      </c>
    </row>
    <row r="103" customFormat="false" ht="15" hidden="false" customHeight="false" outlineLevel="0" collapsed="false">
      <c r="A103" s="15"/>
      <c r="B103" s="21"/>
      <c r="C103" s="21" t="str">
        <f aca="false">IF(B103="","",IFERROR(INDEX(代理店一覧!$B$5:$B$204,MATCH(B103,代理店一覧!$A$5:$A$204,0)),"※未登録のID"))</f>
        <v/>
      </c>
      <c r="D103" s="21"/>
      <c r="E103" s="21"/>
      <c r="F103" s="21"/>
      <c r="G103" s="18"/>
      <c r="H103" s="21"/>
      <c r="I103" s="26"/>
      <c r="J103" s="15"/>
      <c r="K103" s="27"/>
      <c r="L103" s="25" t="str">
        <f aca="false">IF(B103="","",B103&amp;"|"&amp;J103)</f>
        <v/>
      </c>
    </row>
    <row r="104" customFormat="false" ht="15" hidden="false" customHeight="false" outlineLevel="0" collapsed="false">
      <c r="A104" s="15"/>
      <c r="B104" s="21"/>
      <c r="C104" s="21" t="str">
        <f aca="false">IF(B104="","",IFERROR(INDEX(代理店一覧!$B$5:$B$204,MATCH(B104,代理店一覧!$A$5:$A$204,0)),"※未登録のID"))</f>
        <v/>
      </c>
      <c r="D104" s="21"/>
      <c r="E104" s="21"/>
      <c r="F104" s="21"/>
      <c r="G104" s="18"/>
      <c r="H104" s="21"/>
      <c r="I104" s="26"/>
      <c r="J104" s="15"/>
      <c r="K104" s="27"/>
      <c r="L104" s="25" t="str">
        <f aca="false">IF(B104="","",B104&amp;"|"&amp;J104)</f>
        <v/>
      </c>
    </row>
    <row r="105" customFormat="false" ht="15" hidden="false" customHeight="false" outlineLevel="0" collapsed="false">
      <c r="A105" s="15"/>
      <c r="B105" s="21"/>
      <c r="C105" s="21" t="str">
        <f aca="false">IF(B105="","",IFERROR(INDEX(代理店一覧!$B$5:$B$204,MATCH(B105,代理店一覧!$A$5:$A$204,0)),"※未登録のID"))</f>
        <v/>
      </c>
      <c r="D105" s="21"/>
      <c r="E105" s="21"/>
      <c r="F105" s="21"/>
      <c r="G105" s="18"/>
      <c r="H105" s="21"/>
      <c r="I105" s="26"/>
      <c r="J105" s="15"/>
      <c r="K105" s="27"/>
      <c r="L105" s="25" t="str">
        <f aca="false">IF(B105="","",B105&amp;"|"&amp;J105)</f>
        <v/>
      </c>
    </row>
    <row r="106" customFormat="false" ht="15" hidden="false" customHeight="false" outlineLevel="0" collapsed="false">
      <c r="A106" s="15"/>
      <c r="B106" s="21"/>
      <c r="C106" s="21" t="str">
        <f aca="false">IF(B106="","",IFERROR(INDEX(代理店一覧!$B$5:$B$204,MATCH(B106,代理店一覧!$A$5:$A$204,0)),"※未登録のID"))</f>
        <v/>
      </c>
      <c r="D106" s="21"/>
      <c r="E106" s="21"/>
      <c r="F106" s="21"/>
      <c r="G106" s="18"/>
      <c r="H106" s="21"/>
      <c r="I106" s="26"/>
      <c r="J106" s="15"/>
      <c r="K106" s="27"/>
      <c r="L106" s="25" t="str">
        <f aca="false">IF(B106="","",B106&amp;"|"&amp;J106)</f>
        <v/>
      </c>
    </row>
    <row r="107" customFormat="false" ht="15" hidden="false" customHeight="false" outlineLevel="0" collapsed="false">
      <c r="A107" s="15"/>
      <c r="B107" s="21"/>
      <c r="C107" s="21" t="str">
        <f aca="false">IF(B107="","",IFERROR(INDEX(代理店一覧!$B$5:$B$204,MATCH(B107,代理店一覧!$A$5:$A$204,0)),"※未登録のID"))</f>
        <v/>
      </c>
      <c r="D107" s="21"/>
      <c r="E107" s="21"/>
      <c r="F107" s="21"/>
      <c r="G107" s="18"/>
      <c r="H107" s="21"/>
      <c r="I107" s="26"/>
      <c r="J107" s="15"/>
      <c r="K107" s="27"/>
      <c r="L107" s="25" t="str">
        <f aca="false">IF(B107="","",B107&amp;"|"&amp;J107)</f>
        <v/>
      </c>
    </row>
    <row r="108" customFormat="false" ht="15" hidden="false" customHeight="false" outlineLevel="0" collapsed="false">
      <c r="A108" s="15"/>
      <c r="B108" s="21"/>
      <c r="C108" s="21" t="str">
        <f aca="false">IF(B108="","",IFERROR(INDEX(代理店一覧!$B$5:$B$204,MATCH(B108,代理店一覧!$A$5:$A$204,0)),"※未登録のID"))</f>
        <v/>
      </c>
      <c r="D108" s="21"/>
      <c r="E108" s="21"/>
      <c r="F108" s="21"/>
      <c r="G108" s="18"/>
      <c r="H108" s="21"/>
      <c r="I108" s="26"/>
      <c r="J108" s="15"/>
      <c r="K108" s="27"/>
      <c r="L108" s="25" t="str">
        <f aca="false">IF(B108="","",B108&amp;"|"&amp;J108)</f>
        <v/>
      </c>
    </row>
    <row r="109" customFormat="false" ht="15" hidden="false" customHeight="false" outlineLevel="0" collapsed="false">
      <c r="A109" s="15"/>
      <c r="B109" s="21"/>
      <c r="C109" s="21" t="str">
        <f aca="false">IF(B109="","",IFERROR(INDEX(代理店一覧!$B$5:$B$204,MATCH(B109,代理店一覧!$A$5:$A$204,0)),"※未登録のID"))</f>
        <v/>
      </c>
      <c r="D109" s="21"/>
      <c r="E109" s="21"/>
      <c r="F109" s="21"/>
      <c r="G109" s="18"/>
      <c r="H109" s="21"/>
      <c r="I109" s="26"/>
      <c r="J109" s="15"/>
      <c r="K109" s="27"/>
      <c r="L109" s="25" t="str">
        <f aca="false">IF(B109="","",B109&amp;"|"&amp;J109)</f>
        <v/>
      </c>
    </row>
    <row r="110" customFormat="false" ht="15" hidden="false" customHeight="false" outlineLevel="0" collapsed="false">
      <c r="A110" s="15"/>
      <c r="B110" s="21"/>
      <c r="C110" s="21" t="str">
        <f aca="false">IF(B110="","",IFERROR(INDEX(代理店一覧!$B$5:$B$204,MATCH(B110,代理店一覧!$A$5:$A$204,0)),"※未登録のID"))</f>
        <v/>
      </c>
      <c r="D110" s="21"/>
      <c r="E110" s="21"/>
      <c r="F110" s="21"/>
      <c r="G110" s="18"/>
      <c r="H110" s="21"/>
      <c r="I110" s="26"/>
      <c r="J110" s="15"/>
      <c r="K110" s="27"/>
      <c r="L110" s="25" t="str">
        <f aca="false">IF(B110="","",B110&amp;"|"&amp;J110)</f>
        <v/>
      </c>
    </row>
    <row r="111" customFormat="false" ht="15" hidden="false" customHeight="false" outlineLevel="0" collapsed="false">
      <c r="A111" s="15"/>
      <c r="B111" s="21"/>
      <c r="C111" s="21" t="str">
        <f aca="false">IF(B111="","",IFERROR(INDEX(代理店一覧!$B$5:$B$204,MATCH(B111,代理店一覧!$A$5:$A$204,0)),"※未登録のID"))</f>
        <v/>
      </c>
      <c r="D111" s="21"/>
      <c r="E111" s="21"/>
      <c r="F111" s="21"/>
      <c r="G111" s="18"/>
      <c r="H111" s="21"/>
      <c r="I111" s="26"/>
      <c r="J111" s="15"/>
      <c r="K111" s="27"/>
      <c r="L111" s="25" t="str">
        <f aca="false">IF(B111="","",B111&amp;"|"&amp;J111)</f>
        <v/>
      </c>
    </row>
    <row r="112" customFormat="false" ht="15" hidden="false" customHeight="false" outlineLevel="0" collapsed="false">
      <c r="A112" s="15"/>
      <c r="B112" s="21"/>
      <c r="C112" s="21" t="str">
        <f aca="false">IF(B112="","",IFERROR(INDEX(代理店一覧!$B$5:$B$204,MATCH(B112,代理店一覧!$A$5:$A$204,0)),"※未登録のID"))</f>
        <v/>
      </c>
      <c r="D112" s="21"/>
      <c r="E112" s="21"/>
      <c r="F112" s="21"/>
      <c r="G112" s="18"/>
      <c r="H112" s="21"/>
      <c r="I112" s="26"/>
      <c r="J112" s="15"/>
      <c r="K112" s="27"/>
      <c r="L112" s="25" t="str">
        <f aca="false">IF(B112="","",B112&amp;"|"&amp;J112)</f>
        <v/>
      </c>
    </row>
    <row r="113" customFormat="false" ht="15" hidden="false" customHeight="false" outlineLevel="0" collapsed="false">
      <c r="A113" s="15"/>
      <c r="B113" s="21"/>
      <c r="C113" s="21" t="str">
        <f aca="false">IF(B113="","",IFERROR(INDEX(代理店一覧!$B$5:$B$204,MATCH(B113,代理店一覧!$A$5:$A$204,0)),"※未登録のID"))</f>
        <v/>
      </c>
      <c r="D113" s="21"/>
      <c r="E113" s="21"/>
      <c r="F113" s="21"/>
      <c r="G113" s="18"/>
      <c r="H113" s="21"/>
      <c r="I113" s="26"/>
      <c r="J113" s="15"/>
      <c r="K113" s="27"/>
      <c r="L113" s="25" t="str">
        <f aca="false">IF(B113="","",B113&amp;"|"&amp;J113)</f>
        <v/>
      </c>
    </row>
    <row r="114" customFormat="false" ht="15" hidden="false" customHeight="false" outlineLevel="0" collapsed="false">
      <c r="A114" s="15"/>
      <c r="B114" s="21"/>
      <c r="C114" s="21" t="str">
        <f aca="false">IF(B114="","",IFERROR(INDEX(代理店一覧!$B$5:$B$204,MATCH(B114,代理店一覧!$A$5:$A$204,0)),"※未登録のID"))</f>
        <v/>
      </c>
      <c r="D114" s="21"/>
      <c r="E114" s="21"/>
      <c r="F114" s="21"/>
      <c r="G114" s="18"/>
      <c r="H114" s="21"/>
      <c r="I114" s="26"/>
      <c r="J114" s="15"/>
      <c r="K114" s="27"/>
      <c r="L114" s="25" t="str">
        <f aca="false">IF(B114="","",B114&amp;"|"&amp;J114)</f>
        <v/>
      </c>
    </row>
    <row r="115" customFormat="false" ht="15" hidden="false" customHeight="false" outlineLevel="0" collapsed="false">
      <c r="A115" s="15"/>
      <c r="B115" s="21"/>
      <c r="C115" s="21" t="str">
        <f aca="false">IF(B115="","",IFERROR(INDEX(代理店一覧!$B$5:$B$204,MATCH(B115,代理店一覧!$A$5:$A$204,0)),"※未登録のID"))</f>
        <v/>
      </c>
      <c r="D115" s="21"/>
      <c r="E115" s="21"/>
      <c r="F115" s="21"/>
      <c r="G115" s="18"/>
      <c r="H115" s="21"/>
      <c r="I115" s="26"/>
      <c r="J115" s="15"/>
      <c r="K115" s="27"/>
      <c r="L115" s="25" t="str">
        <f aca="false">IF(B115="","",B115&amp;"|"&amp;J115)</f>
        <v/>
      </c>
    </row>
    <row r="116" customFormat="false" ht="15" hidden="false" customHeight="false" outlineLevel="0" collapsed="false">
      <c r="A116" s="15"/>
      <c r="B116" s="21"/>
      <c r="C116" s="21" t="str">
        <f aca="false">IF(B116="","",IFERROR(INDEX(代理店一覧!$B$5:$B$204,MATCH(B116,代理店一覧!$A$5:$A$204,0)),"※未登録のID"))</f>
        <v/>
      </c>
      <c r="D116" s="21"/>
      <c r="E116" s="21"/>
      <c r="F116" s="21"/>
      <c r="G116" s="18"/>
      <c r="H116" s="21"/>
      <c r="I116" s="26"/>
      <c r="J116" s="15"/>
      <c r="K116" s="27"/>
      <c r="L116" s="25" t="str">
        <f aca="false">IF(B116="","",B116&amp;"|"&amp;J116)</f>
        <v/>
      </c>
    </row>
    <row r="117" customFormat="false" ht="15" hidden="false" customHeight="false" outlineLevel="0" collapsed="false">
      <c r="A117" s="15"/>
      <c r="B117" s="21"/>
      <c r="C117" s="21" t="str">
        <f aca="false">IF(B117="","",IFERROR(INDEX(代理店一覧!$B$5:$B$204,MATCH(B117,代理店一覧!$A$5:$A$204,0)),"※未登録のID"))</f>
        <v/>
      </c>
      <c r="D117" s="21"/>
      <c r="E117" s="21"/>
      <c r="F117" s="21"/>
      <c r="G117" s="18"/>
      <c r="H117" s="21"/>
      <c r="I117" s="26"/>
      <c r="J117" s="15"/>
      <c r="K117" s="27"/>
      <c r="L117" s="25" t="str">
        <f aca="false">IF(B117="","",B117&amp;"|"&amp;J117)</f>
        <v/>
      </c>
    </row>
    <row r="118" customFormat="false" ht="15" hidden="false" customHeight="false" outlineLevel="0" collapsed="false">
      <c r="A118" s="15"/>
      <c r="B118" s="21"/>
      <c r="C118" s="21" t="str">
        <f aca="false">IF(B118="","",IFERROR(INDEX(代理店一覧!$B$5:$B$204,MATCH(B118,代理店一覧!$A$5:$A$204,0)),"※未登録のID"))</f>
        <v/>
      </c>
      <c r="D118" s="21"/>
      <c r="E118" s="21"/>
      <c r="F118" s="21"/>
      <c r="G118" s="18"/>
      <c r="H118" s="21"/>
      <c r="I118" s="26"/>
      <c r="J118" s="15"/>
      <c r="K118" s="27"/>
      <c r="L118" s="25" t="str">
        <f aca="false">IF(B118="","",B118&amp;"|"&amp;J118)</f>
        <v/>
      </c>
    </row>
    <row r="119" customFormat="false" ht="15" hidden="false" customHeight="false" outlineLevel="0" collapsed="false">
      <c r="A119" s="15"/>
      <c r="B119" s="21"/>
      <c r="C119" s="21" t="str">
        <f aca="false">IF(B119="","",IFERROR(INDEX(代理店一覧!$B$5:$B$204,MATCH(B119,代理店一覧!$A$5:$A$204,0)),"※未登録のID"))</f>
        <v/>
      </c>
      <c r="D119" s="21"/>
      <c r="E119" s="21"/>
      <c r="F119" s="21"/>
      <c r="G119" s="18"/>
      <c r="H119" s="21"/>
      <c r="I119" s="26"/>
      <c r="J119" s="15"/>
      <c r="K119" s="27"/>
      <c r="L119" s="25" t="str">
        <f aca="false">IF(B119="","",B119&amp;"|"&amp;J119)</f>
        <v/>
      </c>
    </row>
    <row r="120" customFormat="false" ht="15" hidden="false" customHeight="false" outlineLevel="0" collapsed="false">
      <c r="A120" s="15"/>
      <c r="B120" s="21"/>
      <c r="C120" s="21" t="str">
        <f aca="false">IF(B120="","",IFERROR(INDEX(代理店一覧!$B$5:$B$204,MATCH(B120,代理店一覧!$A$5:$A$204,0)),"※未登録のID"))</f>
        <v/>
      </c>
      <c r="D120" s="21"/>
      <c r="E120" s="21"/>
      <c r="F120" s="21"/>
      <c r="G120" s="18"/>
      <c r="H120" s="21"/>
      <c r="I120" s="26"/>
      <c r="J120" s="15"/>
      <c r="K120" s="27"/>
      <c r="L120" s="25" t="str">
        <f aca="false">IF(B120="","",B120&amp;"|"&amp;J120)</f>
        <v/>
      </c>
    </row>
    <row r="121" customFormat="false" ht="15" hidden="false" customHeight="false" outlineLevel="0" collapsed="false">
      <c r="A121" s="15"/>
      <c r="B121" s="21"/>
      <c r="C121" s="21" t="str">
        <f aca="false">IF(B121="","",IFERROR(INDEX(代理店一覧!$B$5:$B$204,MATCH(B121,代理店一覧!$A$5:$A$204,0)),"※未登録のID"))</f>
        <v/>
      </c>
      <c r="D121" s="21"/>
      <c r="E121" s="21"/>
      <c r="F121" s="21"/>
      <c r="G121" s="18"/>
      <c r="H121" s="21"/>
      <c r="I121" s="26"/>
      <c r="J121" s="15"/>
      <c r="K121" s="27"/>
      <c r="L121" s="25" t="str">
        <f aca="false">IF(B121="","",B121&amp;"|"&amp;J121)</f>
        <v/>
      </c>
    </row>
    <row r="122" customFormat="false" ht="15" hidden="false" customHeight="false" outlineLevel="0" collapsed="false">
      <c r="A122" s="15"/>
      <c r="B122" s="21"/>
      <c r="C122" s="21" t="str">
        <f aca="false">IF(B122="","",IFERROR(INDEX(代理店一覧!$B$5:$B$204,MATCH(B122,代理店一覧!$A$5:$A$204,0)),"※未登録のID"))</f>
        <v/>
      </c>
      <c r="D122" s="21"/>
      <c r="E122" s="21"/>
      <c r="F122" s="21"/>
      <c r="G122" s="18"/>
      <c r="H122" s="21"/>
      <c r="I122" s="26"/>
      <c r="J122" s="15"/>
      <c r="K122" s="27"/>
      <c r="L122" s="25" t="str">
        <f aca="false">IF(B122="","",B122&amp;"|"&amp;J122)</f>
        <v/>
      </c>
    </row>
    <row r="123" customFormat="false" ht="15" hidden="false" customHeight="false" outlineLevel="0" collapsed="false">
      <c r="A123" s="15"/>
      <c r="B123" s="21"/>
      <c r="C123" s="21" t="str">
        <f aca="false">IF(B123="","",IFERROR(INDEX(代理店一覧!$B$5:$B$204,MATCH(B123,代理店一覧!$A$5:$A$204,0)),"※未登録のID"))</f>
        <v/>
      </c>
      <c r="D123" s="21"/>
      <c r="E123" s="21"/>
      <c r="F123" s="21"/>
      <c r="G123" s="18"/>
      <c r="H123" s="21"/>
      <c r="I123" s="26"/>
      <c r="J123" s="15"/>
      <c r="K123" s="27"/>
      <c r="L123" s="25" t="str">
        <f aca="false">IF(B123="","",B123&amp;"|"&amp;J123)</f>
        <v/>
      </c>
    </row>
    <row r="124" customFormat="false" ht="15" hidden="false" customHeight="false" outlineLevel="0" collapsed="false">
      <c r="A124" s="15"/>
      <c r="B124" s="21"/>
      <c r="C124" s="21" t="str">
        <f aca="false">IF(B124="","",IFERROR(INDEX(代理店一覧!$B$5:$B$204,MATCH(B124,代理店一覧!$A$5:$A$204,0)),"※未登録のID"))</f>
        <v/>
      </c>
      <c r="D124" s="21"/>
      <c r="E124" s="21"/>
      <c r="F124" s="21"/>
      <c r="G124" s="18"/>
      <c r="H124" s="21"/>
      <c r="I124" s="26"/>
      <c r="J124" s="15"/>
      <c r="K124" s="27"/>
      <c r="L124" s="25" t="str">
        <f aca="false">IF(B124="","",B124&amp;"|"&amp;J124)</f>
        <v/>
      </c>
    </row>
    <row r="125" customFormat="false" ht="15" hidden="false" customHeight="false" outlineLevel="0" collapsed="false">
      <c r="A125" s="15"/>
      <c r="B125" s="21"/>
      <c r="C125" s="21" t="str">
        <f aca="false">IF(B125="","",IFERROR(INDEX(代理店一覧!$B$5:$B$204,MATCH(B125,代理店一覧!$A$5:$A$204,0)),"※未登録のID"))</f>
        <v/>
      </c>
      <c r="D125" s="21"/>
      <c r="E125" s="21"/>
      <c r="F125" s="21"/>
      <c r="G125" s="18"/>
      <c r="H125" s="21"/>
      <c r="I125" s="26"/>
      <c r="J125" s="15"/>
      <c r="K125" s="27"/>
      <c r="L125" s="25" t="str">
        <f aca="false">IF(B125="","",B125&amp;"|"&amp;J125)</f>
        <v/>
      </c>
    </row>
    <row r="126" customFormat="false" ht="15" hidden="false" customHeight="false" outlineLevel="0" collapsed="false">
      <c r="A126" s="15"/>
      <c r="B126" s="21"/>
      <c r="C126" s="21" t="str">
        <f aca="false">IF(B126="","",IFERROR(INDEX(代理店一覧!$B$5:$B$204,MATCH(B126,代理店一覧!$A$5:$A$204,0)),"※未登録のID"))</f>
        <v/>
      </c>
      <c r="D126" s="21"/>
      <c r="E126" s="21"/>
      <c r="F126" s="21"/>
      <c r="G126" s="18"/>
      <c r="H126" s="21"/>
      <c r="I126" s="26"/>
      <c r="J126" s="15"/>
      <c r="K126" s="27"/>
      <c r="L126" s="25" t="str">
        <f aca="false">IF(B126="","",B126&amp;"|"&amp;J126)</f>
        <v/>
      </c>
    </row>
    <row r="127" customFormat="false" ht="15" hidden="false" customHeight="false" outlineLevel="0" collapsed="false">
      <c r="A127" s="15"/>
      <c r="B127" s="21"/>
      <c r="C127" s="21" t="str">
        <f aca="false">IF(B127="","",IFERROR(INDEX(代理店一覧!$B$5:$B$204,MATCH(B127,代理店一覧!$A$5:$A$204,0)),"※未登録のID"))</f>
        <v/>
      </c>
      <c r="D127" s="21"/>
      <c r="E127" s="21"/>
      <c r="F127" s="21"/>
      <c r="G127" s="18"/>
      <c r="H127" s="21"/>
      <c r="I127" s="26"/>
      <c r="J127" s="15"/>
      <c r="K127" s="27"/>
      <c r="L127" s="25" t="str">
        <f aca="false">IF(B127="","",B127&amp;"|"&amp;J127)</f>
        <v/>
      </c>
    </row>
    <row r="128" customFormat="false" ht="15" hidden="false" customHeight="false" outlineLevel="0" collapsed="false">
      <c r="A128" s="15"/>
      <c r="B128" s="21"/>
      <c r="C128" s="21" t="str">
        <f aca="false">IF(B128="","",IFERROR(INDEX(代理店一覧!$B$5:$B$204,MATCH(B128,代理店一覧!$A$5:$A$204,0)),"※未登録のID"))</f>
        <v/>
      </c>
      <c r="D128" s="21"/>
      <c r="E128" s="21"/>
      <c r="F128" s="21"/>
      <c r="G128" s="18"/>
      <c r="H128" s="21"/>
      <c r="I128" s="26"/>
      <c r="J128" s="15"/>
      <c r="K128" s="27"/>
      <c r="L128" s="25" t="str">
        <f aca="false">IF(B128="","",B128&amp;"|"&amp;J128)</f>
        <v/>
      </c>
    </row>
    <row r="129" customFormat="false" ht="15" hidden="false" customHeight="false" outlineLevel="0" collapsed="false">
      <c r="A129" s="15"/>
      <c r="B129" s="21"/>
      <c r="C129" s="21" t="str">
        <f aca="false">IF(B129="","",IFERROR(INDEX(代理店一覧!$B$5:$B$204,MATCH(B129,代理店一覧!$A$5:$A$204,0)),"※未登録のID"))</f>
        <v/>
      </c>
      <c r="D129" s="21"/>
      <c r="E129" s="21"/>
      <c r="F129" s="21"/>
      <c r="G129" s="18"/>
      <c r="H129" s="21"/>
      <c r="I129" s="26"/>
      <c r="J129" s="15"/>
      <c r="K129" s="27"/>
      <c r="L129" s="25" t="str">
        <f aca="false">IF(B129="","",B129&amp;"|"&amp;J129)</f>
        <v/>
      </c>
    </row>
    <row r="130" customFormat="false" ht="15" hidden="false" customHeight="false" outlineLevel="0" collapsed="false">
      <c r="A130" s="15"/>
      <c r="B130" s="21"/>
      <c r="C130" s="21" t="str">
        <f aca="false">IF(B130="","",IFERROR(INDEX(代理店一覧!$B$5:$B$204,MATCH(B130,代理店一覧!$A$5:$A$204,0)),"※未登録のID"))</f>
        <v/>
      </c>
      <c r="D130" s="21"/>
      <c r="E130" s="21"/>
      <c r="F130" s="21"/>
      <c r="G130" s="18"/>
      <c r="H130" s="21"/>
      <c r="I130" s="26"/>
      <c r="J130" s="15"/>
      <c r="K130" s="27"/>
      <c r="L130" s="25" t="str">
        <f aca="false">IF(B130="","",B130&amp;"|"&amp;J130)</f>
        <v/>
      </c>
    </row>
    <row r="131" customFormat="false" ht="15" hidden="false" customHeight="false" outlineLevel="0" collapsed="false">
      <c r="A131" s="15"/>
      <c r="B131" s="21"/>
      <c r="C131" s="21" t="str">
        <f aca="false">IF(B131="","",IFERROR(INDEX(代理店一覧!$B$5:$B$204,MATCH(B131,代理店一覧!$A$5:$A$204,0)),"※未登録のID"))</f>
        <v/>
      </c>
      <c r="D131" s="21"/>
      <c r="E131" s="21"/>
      <c r="F131" s="21"/>
      <c r="G131" s="18"/>
      <c r="H131" s="21"/>
      <c r="I131" s="26"/>
      <c r="J131" s="15"/>
      <c r="K131" s="27"/>
      <c r="L131" s="25" t="str">
        <f aca="false">IF(B131="","",B131&amp;"|"&amp;J131)</f>
        <v/>
      </c>
    </row>
    <row r="132" customFormat="false" ht="15" hidden="false" customHeight="false" outlineLevel="0" collapsed="false">
      <c r="A132" s="15"/>
      <c r="B132" s="21"/>
      <c r="C132" s="21" t="str">
        <f aca="false">IF(B132="","",IFERROR(INDEX(代理店一覧!$B$5:$B$204,MATCH(B132,代理店一覧!$A$5:$A$204,0)),"※未登録のID"))</f>
        <v/>
      </c>
      <c r="D132" s="21"/>
      <c r="E132" s="21"/>
      <c r="F132" s="21"/>
      <c r="G132" s="18"/>
      <c r="H132" s="21"/>
      <c r="I132" s="26"/>
      <c r="J132" s="15"/>
      <c r="K132" s="27"/>
      <c r="L132" s="25" t="str">
        <f aca="false">IF(B132="","",B132&amp;"|"&amp;J132)</f>
        <v/>
      </c>
    </row>
    <row r="133" customFormat="false" ht="15" hidden="false" customHeight="false" outlineLevel="0" collapsed="false">
      <c r="A133" s="15"/>
      <c r="B133" s="21"/>
      <c r="C133" s="21" t="str">
        <f aca="false">IF(B133="","",IFERROR(INDEX(代理店一覧!$B$5:$B$204,MATCH(B133,代理店一覧!$A$5:$A$204,0)),"※未登録のID"))</f>
        <v/>
      </c>
      <c r="D133" s="21"/>
      <c r="E133" s="21"/>
      <c r="F133" s="21"/>
      <c r="G133" s="18"/>
      <c r="H133" s="21"/>
      <c r="I133" s="26"/>
      <c r="J133" s="15"/>
      <c r="K133" s="27"/>
      <c r="L133" s="25" t="str">
        <f aca="false">IF(B133="","",B133&amp;"|"&amp;J133)</f>
        <v/>
      </c>
    </row>
    <row r="134" customFormat="false" ht="15" hidden="false" customHeight="false" outlineLevel="0" collapsed="false">
      <c r="A134" s="15"/>
      <c r="B134" s="21"/>
      <c r="C134" s="21" t="str">
        <f aca="false">IF(B134="","",IFERROR(INDEX(代理店一覧!$B$5:$B$204,MATCH(B134,代理店一覧!$A$5:$A$204,0)),"※未登録のID"))</f>
        <v/>
      </c>
      <c r="D134" s="21"/>
      <c r="E134" s="21"/>
      <c r="F134" s="21"/>
      <c r="G134" s="18"/>
      <c r="H134" s="21"/>
      <c r="I134" s="26"/>
      <c r="J134" s="15"/>
      <c r="K134" s="27"/>
      <c r="L134" s="25" t="str">
        <f aca="false">IF(B134="","",B134&amp;"|"&amp;J134)</f>
        <v/>
      </c>
    </row>
    <row r="135" customFormat="false" ht="15" hidden="false" customHeight="false" outlineLevel="0" collapsed="false">
      <c r="A135" s="15"/>
      <c r="B135" s="21"/>
      <c r="C135" s="21" t="str">
        <f aca="false">IF(B135="","",IFERROR(INDEX(代理店一覧!$B$5:$B$204,MATCH(B135,代理店一覧!$A$5:$A$204,0)),"※未登録のID"))</f>
        <v/>
      </c>
      <c r="D135" s="21"/>
      <c r="E135" s="21"/>
      <c r="F135" s="21"/>
      <c r="G135" s="18"/>
      <c r="H135" s="21"/>
      <c r="I135" s="26"/>
      <c r="J135" s="15"/>
      <c r="K135" s="27"/>
      <c r="L135" s="25" t="str">
        <f aca="false">IF(B135="","",B135&amp;"|"&amp;J135)</f>
        <v/>
      </c>
    </row>
    <row r="136" customFormat="false" ht="15" hidden="false" customHeight="false" outlineLevel="0" collapsed="false">
      <c r="A136" s="15"/>
      <c r="B136" s="21"/>
      <c r="C136" s="21" t="str">
        <f aca="false">IF(B136="","",IFERROR(INDEX(代理店一覧!$B$5:$B$204,MATCH(B136,代理店一覧!$A$5:$A$204,0)),"※未登録のID"))</f>
        <v/>
      </c>
      <c r="D136" s="21"/>
      <c r="E136" s="21"/>
      <c r="F136" s="21"/>
      <c r="G136" s="18"/>
      <c r="H136" s="21"/>
      <c r="I136" s="26"/>
      <c r="J136" s="15"/>
      <c r="K136" s="27"/>
      <c r="L136" s="25" t="str">
        <f aca="false">IF(B136="","",B136&amp;"|"&amp;J136)</f>
        <v/>
      </c>
    </row>
    <row r="137" customFormat="false" ht="15" hidden="false" customHeight="false" outlineLevel="0" collapsed="false">
      <c r="A137" s="15"/>
      <c r="B137" s="21"/>
      <c r="C137" s="21" t="str">
        <f aca="false">IF(B137="","",IFERROR(INDEX(代理店一覧!$B$5:$B$204,MATCH(B137,代理店一覧!$A$5:$A$204,0)),"※未登録のID"))</f>
        <v/>
      </c>
      <c r="D137" s="21"/>
      <c r="E137" s="21"/>
      <c r="F137" s="21"/>
      <c r="G137" s="18"/>
      <c r="H137" s="21"/>
      <c r="I137" s="26"/>
      <c r="J137" s="15"/>
      <c r="K137" s="27"/>
      <c r="L137" s="25" t="str">
        <f aca="false">IF(B137="","",B137&amp;"|"&amp;J137)</f>
        <v/>
      </c>
    </row>
    <row r="138" customFormat="false" ht="15" hidden="false" customHeight="false" outlineLevel="0" collapsed="false">
      <c r="A138" s="15"/>
      <c r="B138" s="21"/>
      <c r="C138" s="21" t="str">
        <f aca="false">IF(B138="","",IFERROR(INDEX(代理店一覧!$B$5:$B$204,MATCH(B138,代理店一覧!$A$5:$A$204,0)),"※未登録のID"))</f>
        <v/>
      </c>
      <c r="D138" s="21"/>
      <c r="E138" s="21"/>
      <c r="F138" s="21"/>
      <c r="G138" s="18"/>
      <c r="H138" s="21"/>
      <c r="I138" s="26"/>
      <c r="J138" s="15"/>
      <c r="K138" s="27"/>
      <c r="L138" s="25" t="str">
        <f aca="false">IF(B138="","",B138&amp;"|"&amp;J138)</f>
        <v/>
      </c>
    </row>
    <row r="139" customFormat="false" ht="15" hidden="false" customHeight="false" outlineLevel="0" collapsed="false">
      <c r="A139" s="15"/>
      <c r="B139" s="21"/>
      <c r="C139" s="21" t="str">
        <f aca="false">IF(B139="","",IFERROR(INDEX(代理店一覧!$B$5:$B$204,MATCH(B139,代理店一覧!$A$5:$A$204,0)),"※未登録のID"))</f>
        <v/>
      </c>
      <c r="D139" s="21"/>
      <c r="E139" s="21"/>
      <c r="F139" s="21"/>
      <c r="G139" s="18"/>
      <c r="H139" s="21"/>
      <c r="I139" s="26"/>
      <c r="J139" s="15"/>
      <c r="K139" s="27"/>
      <c r="L139" s="25" t="str">
        <f aca="false">IF(B139="","",B139&amp;"|"&amp;J139)</f>
        <v/>
      </c>
    </row>
    <row r="140" customFormat="false" ht="15" hidden="false" customHeight="false" outlineLevel="0" collapsed="false">
      <c r="A140" s="15"/>
      <c r="B140" s="21"/>
      <c r="C140" s="21" t="str">
        <f aca="false">IF(B140="","",IFERROR(INDEX(代理店一覧!$B$5:$B$204,MATCH(B140,代理店一覧!$A$5:$A$204,0)),"※未登録のID"))</f>
        <v/>
      </c>
      <c r="D140" s="21"/>
      <c r="E140" s="21"/>
      <c r="F140" s="21"/>
      <c r="G140" s="18"/>
      <c r="H140" s="21"/>
      <c r="I140" s="26"/>
      <c r="J140" s="15"/>
      <c r="K140" s="27"/>
      <c r="L140" s="25" t="str">
        <f aca="false">IF(B140="","",B140&amp;"|"&amp;J140)</f>
        <v/>
      </c>
    </row>
    <row r="141" customFormat="false" ht="15" hidden="false" customHeight="false" outlineLevel="0" collapsed="false">
      <c r="A141" s="15"/>
      <c r="B141" s="21"/>
      <c r="C141" s="21" t="str">
        <f aca="false">IF(B141="","",IFERROR(INDEX(代理店一覧!$B$5:$B$204,MATCH(B141,代理店一覧!$A$5:$A$204,0)),"※未登録のID"))</f>
        <v/>
      </c>
      <c r="D141" s="21"/>
      <c r="E141" s="21"/>
      <c r="F141" s="21"/>
      <c r="G141" s="18"/>
      <c r="H141" s="21"/>
      <c r="I141" s="26"/>
      <c r="J141" s="15"/>
      <c r="K141" s="27"/>
      <c r="L141" s="25" t="str">
        <f aca="false">IF(B141="","",B141&amp;"|"&amp;J141)</f>
        <v/>
      </c>
    </row>
    <row r="142" customFormat="false" ht="15" hidden="false" customHeight="false" outlineLevel="0" collapsed="false">
      <c r="A142" s="15"/>
      <c r="B142" s="21"/>
      <c r="C142" s="21" t="str">
        <f aca="false">IF(B142="","",IFERROR(INDEX(代理店一覧!$B$5:$B$204,MATCH(B142,代理店一覧!$A$5:$A$204,0)),"※未登録のID"))</f>
        <v/>
      </c>
      <c r="D142" s="21"/>
      <c r="E142" s="21"/>
      <c r="F142" s="21"/>
      <c r="G142" s="18"/>
      <c r="H142" s="21"/>
      <c r="I142" s="26"/>
      <c r="J142" s="15"/>
      <c r="K142" s="27"/>
      <c r="L142" s="25" t="str">
        <f aca="false">IF(B142="","",B142&amp;"|"&amp;J142)</f>
        <v/>
      </c>
    </row>
    <row r="143" customFormat="false" ht="15" hidden="false" customHeight="false" outlineLevel="0" collapsed="false">
      <c r="A143" s="15"/>
      <c r="B143" s="21"/>
      <c r="C143" s="21" t="str">
        <f aca="false">IF(B143="","",IFERROR(INDEX(代理店一覧!$B$5:$B$204,MATCH(B143,代理店一覧!$A$5:$A$204,0)),"※未登録のID"))</f>
        <v/>
      </c>
      <c r="D143" s="21"/>
      <c r="E143" s="21"/>
      <c r="F143" s="21"/>
      <c r="G143" s="18"/>
      <c r="H143" s="21"/>
      <c r="I143" s="26"/>
      <c r="J143" s="15"/>
      <c r="K143" s="27"/>
      <c r="L143" s="25" t="str">
        <f aca="false">IF(B143="","",B143&amp;"|"&amp;J143)</f>
        <v/>
      </c>
    </row>
    <row r="144" customFormat="false" ht="15" hidden="false" customHeight="false" outlineLevel="0" collapsed="false">
      <c r="A144" s="15"/>
      <c r="B144" s="21"/>
      <c r="C144" s="21" t="str">
        <f aca="false">IF(B144="","",IFERROR(INDEX(代理店一覧!$B$5:$B$204,MATCH(B144,代理店一覧!$A$5:$A$204,0)),"※未登録のID"))</f>
        <v/>
      </c>
      <c r="D144" s="21"/>
      <c r="E144" s="21"/>
      <c r="F144" s="21"/>
      <c r="G144" s="18"/>
      <c r="H144" s="21"/>
      <c r="I144" s="26"/>
      <c r="J144" s="15"/>
      <c r="K144" s="27"/>
      <c r="L144" s="25" t="str">
        <f aca="false">IF(B144="","",B144&amp;"|"&amp;J144)</f>
        <v/>
      </c>
    </row>
    <row r="145" customFormat="false" ht="15" hidden="false" customHeight="false" outlineLevel="0" collapsed="false">
      <c r="A145" s="15"/>
      <c r="B145" s="21"/>
      <c r="C145" s="21" t="str">
        <f aca="false">IF(B145="","",IFERROR(INDEX(代理店一覧!$B$5:$B$204,MATCH(B145,代理店一覧!$A$5:$A$204,0)),"※未登録のID"))</f>
        <v/>
      </c>
      <c r="D145" s="21"/>
      <c r="E145" s="21"/>
      <c r="F145" s="21"/>
      <c r="G145" s="18"/>
      <c r="H145" s="21"/>
      <c r="I145" s="26"/>
      <c r="J145" s="15"/>
      <c r="K145" s="27"/>
      <c r="L145" s="25" t="str">
        <f aca="false">IF(B145="","",B145&amp;"|"&amp;J145)</f>
        <v/>
      </c>
    </row>
    <row r="146" customFormat="false" ht="15" hidden="false" customHeight="false" outlineLevel="0" collapsed="false">
      <c r="A146" s="15"/>
      <c r="B146" s="21"/>
      <c r="C146" s="21" t="str">
        <f aca="false">IF(B146="","",IFERROR(INDEX(代理店一覧!$B$5:$B$204,MATCH(B146,代理店一覧!$A$5:$A$204,0)),"※未登録のID"))</f>
        <v/>
      </c>
      <c r="D146" s="21"/>
      <c r="E146" s="21"/>
      <c r="F146" s="21"/>
      <c r="G146" s="18"/>
      <c r="H146" s="21"/>
      <c r="I146" s="26"/>
      <c r="J146" s="15"/>
      <c r="K146" s="27"/>
      <c r="L146" s="25" t="str">
        <f aca="false">IF(B146="","",B146&amp;"|"&amp;J146)</f>
        <v/>
      </c>
    </row>
    <row r="147" customFormat="false" ht="15" hidden="false" customHeight="false" outlineLevel="0" collapsed="false">
      <c r="A147" s="15"/>
      <c r="B147" s="21"/>
      <c r="C147" s="21" t="str">
        <f aca="false">IF(B147="","",IFERROR(INDEX(代理店一覧!$B$5:$B$204,MATCH(B147,代理店一覧!$A$5:$A$204,0)),"※未登録のID"))</f>
        <v/>
      </c>
      <c r="D147" s="21"/>
      <c r="E147" s="21"/>
      <c r="F147" s="21"/>
      <c r="G147" s="18"/>
      <c r="H147" s="21"/>
      <c r="I147" s="26"/>
      <c r="J147" s="15"/>
      <c r="K147" s="27"/>
      <c r="L147" s="25" t="str">
        <f aca="false">IF(B147="","",B147&amp;"|"&amp;J147)</f>
        <v/>
      </c>
    </row>
    <row r="148" customFormat="false" ht="15" hidden="false" customHeight="false" outlineLevel="0" collapsed="false">
      <c r="A148" s="15"/>
      <c r="B148" s="21"/>
      <c r="C148" s="21" t="str">
        <f aca="false">IF(B148="","",IFERROR(INDEX(代理店一覧!$B$5:$B$204,MATCH(B148,代理店一覧!$A$5:$A$204,0)),"※未登録のID"))</f>
        <v/>
      </c>
      <c r="D148" s="21"/>
      <c r="E148" s="21"/>
      <c r="F148" s="21"/>
      <c r="G148" s="18"/>
      <c r="H148" s="21"/>
      <c r="I148" s="26"/>
      <c r="J148" s="15"/>
      <c r="K148" s="27"/>
      <c r="L148" s="25" t="str">
        <f aca="false">IF(B148="","",B148&amp;"|"&amp;J148)</f>
        <v/>
      </c>
    </row>
    <row r="149" customFormat="false" ht="15" hidden="false" customHeight="false" outlineLevel="0" collapsed="false">
      <c r="A149" s="15"/>
      <c r="B149" s="21"/>
      <c r="C149" s="21" t="str">
        <f aca="false">IF(B149="","",IFERROR(INDEX(代理店一覧!$B$5:$B$204,MATCH(B149,代理店一覧!$A$5:$A$204,0)),"※未登録のID"))</f>
        <v/>
      </c>
      <c r="D149" s="21"/>
      <c r="E149" s="21"/>
      <c r="F149" s="21"/>
      <c r="G149" s="18"/>
      <c r="H149" s="21"/>
      <c r="I149" s="26"/>
      <c r="J149" s="15"/>
      <c r="K149" s="27"/>
      <c r="L149" s="25" t="str">
        <f aca="false">IF(B149="","",B149&amp;"|"&amp;J149)</f>
        <v/>
      </c>
    </row>
    <row r="150" customFormat="false" ht="15" hidden="false" customHeight="false" outlineLevel="0" collapsed="false">
      <c r="A150" s="15"/>
      <c r="B150" s="21"/>
      <c r="C150" s="21" t="str">
        <f aca="false">IF(B150="","",IFERROR(INDEX(代理店一覧!$B$5:$B$204,MATCH(B150,代理店一覧!$A$5:$A$204,0)),"※未登録のID"))</f>
        <v/>
      </c>
      <c r="D150" s="21"/>
      <c r="E150" s="21"/>
      <c r="F150" s="21"/>
      <c r="G150" s="18"/>
      <c r="H150" s="21"/>
      <c r="I150" s="26"/>
      <c r="J150" s="15"/>
      <c r="K150" s="27"/>
      <c r="L150" s="25" t="str">
        <f aca="false">IF(B150="","",B150&amp;"|"&amp;J150)</f>
        <v/>
      </c>
    </row>
    <row r="151" customFormat="false" ht="15" hidden="false" customHeight="false" outlineLevel="0" collapsed="false">
      <c r="A151" s="15"/>
      <c r="B151" s="21"/>
      <c r="C151" s="21" t="str">
        <f aca="false">IF(B151="","",IFERROR(INDEX(代理店一覧!$B$5:$B$204,MATCH(B151,代理店一覧!$A$5:$A$204,0)),"※未登録のID"))</f>
        <v/>
      </c>
      <c r="D151" s="21"/>
      <c r="E151" s="21"/>
      <c r="F151" s="21"/>
      <c r="G151" s="18"/>
      <c r="H151" s="21"/>
      <c r="I151" s="26"/>
      <c r="J151" s="15"/>
      <c r="K151" s="27"/>
      <c r="L151" s="25" t="str">
        <f aca="false">IF(B151="","",B151&amp;"|"&amp;J151)</f>
        <v/>
      </c>
    </row>
    <row r="152" customFormat="false" ht="15" hidden="false" customHeight="false" outlineLevel="0" collapsed="false">
      <c r="A152" s="15"/>
      <c r="B152" s="21"/>
      <c r="C152" s="21" t="str">
        <f aca="false">IF(B152="","",IFERROR(INDEX(代理店一覧!$B$5:$B$204,MATCH(B152,代理店一覧!$A$5:$A$204,0)),"※未登録のID"))</f>
        <v/>
      </c>
      <c r="D152" s="21"/>
      <c r="E152" s="21"/>
      <c r="F152" s="21"/>
      <c r="G152" s="18"/>
      <c r="H152" s="21"/>
      <c r="I152" s="26"/>
      <c r="J152" s="15"/>
      <c r="K152" s="27"/>
      <c r="L152" s="25" t="str">
        <f aca="false">IF(B152="","",B152&amp;"|"&amp;J152)</f>
        <v/>
      </c>
    </row>
    <row r="153" customFormat="false" ht="15" hidden="false" customHeight="false" outlineLevel="0" collapsed="false">
      <c r="A153" s="15"/>
      <c r="B153" s="21"/>
      <c r="C153" s="21" t="str">
        <f aca="false">IF(B153="","",IFERROR(INDEX(代理店一覧!$B$5:$B$204,MATCH(B153,代理店一覧!$A$5:$A$204,0)),"※未登録のID"))</f>
        <v/>
      </c>
      <c r="D153" s="21"/>
      <c r="E153" s="21"/>
      <c r="F153" s="21"/>
      <c r="G153" s="18"/>
      <c r="H153" s="21"/>
      <c r="I153" s="26"/>
      <c r="J153" s="15"/>
      <c r="K153" s="27"/>
      <c r="L153" s="25" t="str">
        <f aca="false">IF(B153="","",B153&amp;"|"&amp;J153)</f>
        <v/>
      </c>
    </row>
    <row r="154" customFormat="false" ht="15" hidden="false" customHeight="false" outlineLevel="0" collapsed="false">
      <c r="A154" s="15"/>
      <c r="B154" s="21"/>
      <c r="C154" s="21" t="str">
        <f aca="false">IF(B154="","",IFERROR(INDEX(代理店一覧!$B$5:$B$204,MATCH(B154,代理店一覧!$A$5:$A$204,0)),"※未登録のID"))</f>
        <v/>
      </c>
      <c r="D154" s="21"/>
      <c r="E154" s="21"/>
      <c r="F154" s="21"/>
      <c r="G154" s="18"/>
      <c r="H154" s="21"/>
      <c r="I154" s="26"/>
      <c r="J154" s="15"/>
      <c r="K154" s="27"/>
      <c r="L154" s="25" t="str">
        <f aca="false">IF(B154="","",B154&amp;"|"&amp;J154)</f>
        <v/>
      </c>
    </row>
    <row r="155" customFormat="false" ht="15" hidden="false" customHeight="false" outlineLevel="0" collapsed="false">
      <c r="A155" s="15"/>
      <c r="B155" s="21"/>
      <c r="C155" s="21" t="str">
        <f aca="false">IF(B155="","",IFERROR(INDEX(代理店一覧!$B$5:$B$204,MATCH(B155,代理店一覧!$A$5:$A$204,0)),"※未登録のID"))</f>
        <v/>
      </c>
      <c r="D155" s="21"/>
      <c r="E155" s="21"/>
      <c r="F155" s="21"/>
      <c r="G155" s="18"/>
      <c r="H155" s="21"/>
      <c r="I155" s="26"/>
      <c r="J155" s="15"/>
      <c r="K155" s="27"/>
      <c r="L155" s="25" t="str">
        <f aca="false">IF(B155="","",B155&amp;"|"&amp;J155)</f>
        <v/>
      </c>
    </row>
    <row r="156" customFormat="false" ht="15" hidden="false" customHeight="false" outlineLevel="0" collapsed="false">
      <c r="A156" s="15"/>
      <c r="B156" s="21"/>
      <c r="C156" s="21" t="str">
        <f aca="false">IF(B156="","",IFERROR(INDEX(代理店一覧!$B$5:$B$204,MATCH(B156,代理店一覧!$A$5:$A$204,0)),"※未登録のID"))</f>
        <v/>
      </c>
      <c r="D156" s="21"/>
      <c r="E156" s="21"/>
      <c r="F156" s="21"/>
      <c r="G156" s="18"/>
      <c r="H156" s="21"/>
      <c r="I156" s="26"/>
      <c r="J156" s="15"/>
      <c r="K156" s="27"/>
      <c r="L156" s="25" t="str">
        <f aca="false">IF(B156="","",B156&amp;"|"&amp;J156)</f>
        <v/>
      </c>
    </row>
    <row r="157" customFormat="false" ht="15" hidden="false" customHeight="false" outlineLevel="0" collapsed="false">
      <c r="A157" s="15"/>
      <c r="B157" s="21"/>
      <c r="C157" s="21" t="str">
        <f aca="false">IF(B157="","",IFERROR(INDEX(代理店一覧!$B$5:$B$204,MATCH(B157,代理店一覧!$A$5:$A$204,0)),"※未登録のID"))</f>
        <v/>
      </c>
      <c r="D157" s="21"/>
      <c r="E157" s="21"/>
      <c r="F157" s="21"/>
      <c r="G157" s="18"/>
      <c r="H157" s="21"/>
      <c r="I157" s="26"/>
      <c r="J157" s="15"/>
      <c r="K157" s="27"/>
      <c r="L157" s="25" t="str">
        <f aca="false">IF(B157="","",B157&amp;"|"&amp;J157)</f>
        <v/>
      </c>
    </row>
    <row r="158" customFormat="false" ht="15" hidden="false" customHeight="false" outlineLevel="0" collapsed="false">
      <c r="A158" s="15"/>
      <c r="B158" s="21"/>
      <c r="C158" s="21" t="str">
        <f aca="false">IF(B158="","",IFERROR(INDEX(代理店一覧!$B$5:$B$204,MATCH(B158,代理店一覧!$A$5:$A$204,0)),"※未登録のID"))</f>
        <v/>
      </c>
      <c r="D158" s="21"/>
      <c r="E158" s="21"/>
      <c r="F158" s="21"/>
      <c r="G158" s="18"/>
      <c r="H158" s="21"/>
      <c r="I158" s="26"/>
      <c r="J158" s="15"/>
      <c r="K158" s="27"/>
      <c r="L158" s="25" t="str">
        <f aca="false">IF(B158="","",B158&amp;"|"&amp;J158)</f>
        <v/>
      </c>
    </row>
    <row r="159" customFormat="false" ht="15" hidden="false" customHeight="false" outlineLevel="0" collapsed="false">
      <c r="A159" s="15"/>
      <c r="B159" s="21"/>
      <c r="C159" s="21" t="str">
        <f aca="false">IF(B159="","",IFERROR(INDEX(代理店一覧!$B$5:$B$204,MATCH(B159,代理店一覧!$A$5:$A$204,0)),"※未登録のID"))</f>
        <v/>
      </c>
      <c r="D159" s="21"/>
      <c r="E159" s="21"/>
      <c r="F159" s="21"/>
      <c r="G159" s="18"/>
      <c r="H159" s="21"/>
      <c r="I159" s="26"/>
      <c r="J159" s="15"/>
      <c r="K159" s="27"/>
      <c r="L159" s="25" t="str">
        <f aca="false">IF(B159="","",B159&amp;"|"&amp;J159)</f>
        <v/>
      </c>
    </row>
    <row r="160" customFormat="false" ht="15" hidden="false" customHeight="false" outlineLevel="0" collapsed="false">
      <c r="A160" s="15"/>
      <c r="B160" s="21"/>
      <c r="C160" s="21" t="str">
        <f aca="false">IF(B160="","",IFERROR(INDEX(代理店一覧!$B$5:$B$204,MATCH(B160,代理店一覧!$A$5:$A$204,0)),"※未登録のID"))</f>
        <v/>
      </c>
      <c r="D160" s="21"/>
      <c r="E160" s="21"/>
      <c r="F160" s="21"/>
      <c r="G160" s="18"/>
      <c r="H160" s="21"/>
      <c r="I160" s="26"/>
      <c r="J160" s="15"/>
      <c r="K160" s="27"/>
      <c r="L160" s="25" t="str">
        <f aca="false">IF(B160="","",B160&amp;"|"&amp;J160)</f>
        <v/>
      </c>
    </row>
    <row r="161" customFormat="false" ht="15" hidden="false" customHeight="false" outlineLevel="0" collapsed="false">
      <c r="A161" s="15"/>
      <c r="B161" s="21"/>
      <c r="C161" s="21" t="str">
        <f aca="false">IF(B161="","",IFERROR(INDEX(代理店一覧!$B$5:$B$204,MATCH(B161,代理店一覧!$A$5:$A$204,0)),"※未登録のID"))</f>
        <v/>
      </c>
      <c r="D161" s="21"/>
      <c r="E161" s="21"/>
      <c r="F161" s="21"/>
      <c r="G161" s="18"/>
      <c r="H161" s="21"/>
      <c r="I161" s="26"/>
      <c r="J161" s="15"/>
      <c r="K161" s="27"/>
      <c r="L161" s="25" t="str">
        <f aca="false">IF(B161="","",B161&amp;"|"&amp;J161)</f>
        <v/>
      </c>
    </row>
    <row r="162" customFormat="false" ht="15" hidden="false" customHeight="false" outlineLevel="0" collapsed="false">
      <c r="A162" s="15"/>
      <c r="B162" s="21"/>
      <c r="C162" s="21" t="str">
        <f aca="false">IF(B162="","",IFERROR(INDEX(代理店一覧!$B$5:$B$204,MATCH(B162,代理店一覧!$A$5:$A$204,0)),"※未登録のID"))</f>
        <v/>
      </c>
      <c r="D162" s="21"/>
      <c r="E162" s="21"/>
      <c r="F162" s="21"/>
      <c r="G162" s="18"/>
      <c r="H162" s="21"/>
      <c r="I162" s="26"/>
      <c r="J162" s="15"/>
      <c r="K162" s="27"/>
      <c r="L162" s="25" t="str">
        <f aca="false">IF(B162="","",B162&amp;"|"&amp;J162)</f>
        <v/>
      </c>
    </row>
    <row r="163" customFormat="false" ht="15" hidden="false" customHeight="false" outlineLevel="0" collapsed="false">
      <c r="A163" s="15"/>
      <c r="B163" s="21"/>
      <c r="C163" s="21" t="str">
        <f aca="false">IF(B163="","",IFERROR(INDEX(代理店一覧!$B$5:$B$204,MATCH(B163,代理店一覧!$A$5:$A$204,0)),"※未登録のID"))</f>
        <v/>
      </c>
      <c r="D163" s="21"/>
      <c r="E163" s="21"/>
      <c r="F163" s="21"/>
      <c r="G163" s="18"/>
      <c r="H163" s="21"/>
      <c r="I163" s="26"/>
      <c r="J163" s="15"/>
      <c r="K163" s="27"/>
      <c r="L163" s="25" t="str">
        <f aca="false">IF(B163="","",B163&amp;"|"&amp;J163)</f>
        <v/>
      </c>
    </row>
    <row r="164" customFormat="false" ht="15" hidden="false" customHeight="false" outlineLevel="0" collapsed="false">
      <c r="A164" s="15"/>
      <c r="B164" s="21"/>
      <c r="C164" s="21" t="str">
        <f aca="false">IF(B164="","",IFERROR(INDEX(代理店一覧!$B$5:$B$204,MATCH(B164,代理店一覧!$A$5:$A$204,0)),"※未登録のID"))</f>
        <v/>
      </c>
      <c r="D164" s="21"/>
      <c r="E164" s="21"/>
      <c r="F164" s="21"/>
      <c r="G164" s="18"/>
      <c r="H164" s="21"/>
      <c r="I164" s="26"/>
      <c r="J164" s="15"/>
      <c r="K164" s="27"/>
      <c r="L164" s="25" t="str">
        <f aca="false">IF(B164="","",B164&amp;"|"&amp;J164)</f>
        <v/>
      </c>
    </row>
    <row r="165" customFormat="false" ht="15" hidden="false" customHeight="false" outlineLevel="0" collapsed="false">
      <c r="A165" s="15"/>
      <c r="B165" s="21"/>
      <c r="C165" s="21" t="str">
        <f aca="false">IF(B165="","",IFERROR(INDEX(代理店一覧!$B$5:$B$204,MATCH(B165,代理店一覧!$A$5:$A$204,0)),"※未登録のID"))</f>
        <v/>
      </c>
      <c r="D165" s="21"/>
      <c r="E165" s="21"/>
      <c r="F165" s="21"/>
      <c r="G165" s="18"/>
      <c r="H165" s="21"/>
      <c r="I165" s="26"/>
      <c r="J165" s="15"/>
      <c r="K165" s="27"/>
      <c r="L165" s="25" t="str">
        <f aca="false">IF(B165="","",B165&amp;"|"&amp;J165)</f>
        <v/>
      </c>
    </row>
    <row r="166" customFormat="false" ht="15" hidden="false" customHeight="false" outlineLevel="0" collapsed="false">
      <c r="A166" s="15"/>
      <c r="B166" s="21"/>
      <c r="C166" s="21" t="str">
        <f aca="false">IF(B166="","",IFERROR(INDEX(代理店一覧!$B$5:$B$204,MATCH(B166,代理店一覧!$A$5:$A$204,0)),"※未登録のID"))</f>
        <v/>
      </c>
      <c r="D166" s="21"/>
      <c r="E166" s="21"/>
      <c r="F166" s="21"/>
      <c r="G166" s="18"/>
      <c r="H166" s="21"/>
      <c r="I166" s="26"/>
      <c r="J166" s="15"/>
      <c r="K166" s="27"/>
      <c r="L166" s="25" t="str">
        <f aca="false">IF(B166="","",B166&amp;"|"&amp;J166)</f>
        <v/>
      </c>
    </row>
    <row r="167" customFormat="false" ht="15" hidden="false" customHeight="false" outlineLevel="0" collapsed="false">
      <c r="A167" s="15"/>
      <c r="B167" s="21"/>
      <c r="C167" s="21" t="str">
        <f aca="false">IF(B167="","",IFERROR(INDEX(代理店一覧!$B$5:$B$204,MATCH(B167,代理店一覧!$A$5:$A$204,0)),"※未登録のID"))</f>
        <v/>
      </c>
      <c r="D167" s="21"/>
      <c r="E167" s="21"/>
      <c r="F167" s="21"/>
      <c r="G167" s="18"/>
      <c r="H167" s="21"/>
      <c r="I167" s="26"/>
      <c r="J167" s="15"/>
      <c r="K167" s="27"/>
      <c r="L167" s="25" t="str">
        <f aca="false">IF(B167="","",B167&amp;"|"&amp;J167)</f>
        <v/>
      </c>
    </row>
    <row r="168" customFormat="false" ht="15" hidden="false" customHeight="false" outlineLevel="0" collapsed="false">
      <c r="A168" s="15"/>
      <c r="B168" s="21"/>
      <c r="C168" s="21" t="str">
        <f aca="false">IF(B168="","",IFERROR(INDEX(代理店一覧!$B$5:$B$204,MATCH(B168,代理店一覧!$A$5:$A$204,0)),"※未登録のID"))</f>
        <v/>
      </c>
      <c r="D168" s="21"/>
      <c r="E168" s="21"/>
      <c r="F168" s="21"/>
      <c r="G168" s="18"/>
      <c r="H168" s="21"/>
      <c r="I168" s="26"/>
      <c r="J168" s="15"/>
      <c r="K168" s="27"/>
      <c r="L168" s="25" t="str">
        <f aca="false">IF(B168="","",B168&amp;"|"&amp;J168)</f>
        <v/>
      </c>
    </row>
    <row r="169" customFormat="false" ht="15" hidden="false" customHeight="false" outlineLevel="0" collapsed="false">
      <c r="A169" s="15"/>
      <c r="B169" s="21"/>
      <c r="C169" s="21" t="str">
        <f aca="false">IF(B169="","",IFERROR(INDEX(代理店一覧!$B$5:$B$204,MATCH(B169,代理店一覧!$A$5:$A$204,0)),"※未登録のID"))</f>
        <v/>
      </c>
      <c r="D169" s="21"/>
      <c r="E169" s="21"/>
      <c r="F169" s="21"/>
      <c r="G169" s="18"/>
      <c r="H169" s="21"/>
      <c r="I169" s="26"/>
      <c r="J169" s="15"/>
      <c r="K169" s="27"/>
      <c r="L169" s="25" t="str">
        <f aca="false">IF(B169="","",B169&amp;"|"&amp;J169)</f>
        <v/>
      </c>
    </row>
    <row r="170" customFormat="false" ht="15" hidden="false" customHeight="false" outlineLevel="0" collapsed="false">
      <c r="A170" s="15"/>
      <c r="B170" s="21"/>
      <c r="C170" s="21" t="str">
        <f aca="false">IF(B170="","",IFERROR(INDEX(代理店一覧!$B$5:$B$204,MATCH(B170,代理店一覧!$A$5:$A$204,0)),"※未登録のID"))</f>
        <v/>
      </c>
      <c r="D170" s="21"/>
      <c r="E170" s="21"/>
      <c r="F170" s="21"/>
      <c r="G170" s="18"/>
      <c r="H170" s="21"/>
      <c r="I170" s="26"/>
      <c r="J170" s="15"/>
      <c r="K170" s="27"/>
      <c r="L170" s="25" t="str">
        <f aca="false">IF(B170="","",B170&amp;"|"&amp;J170)</f>
        <v/>
      </c>
    </row>
    <row r="171" customFormat="false" ht="15" hidden="false" customHeight="false" outlineLevel="0" collapsed="false">
      <c r="A171" s="15"/>
      <c r="B171" s="21"/>
      <c r="C171" s="21" t="str">
        <f aca="false">IF(B171="","",IFERROR(INDEX(代理店一覧!$B$5:$B$204,MATCH(B171,代理店一覧!$A$5:$A$204,0)),"※未登録のID"))</f>
        <v/>
      </c>
      <c r="D171" s="21"/>
      <c r="E171" s="21"/>
      <c r="F171" s="21"/>
      <c r="G171" s="18"/>
      <c r="H171" s="21"/>
      <c r="I171" s="26"/>
      <c r="J171" s="15"/>
      <c r="K171" s="27"/>
      <c r="L171" s="25" t="str">
        <f aca="false">IF(B171="","",B171&amp;"|"&amp;J171)</f>
        <v/>
      </c>
    </row>
    <row r="172" customFormat="false" ht="15" hidden="false" customHeight="false" outlineLevel="0" collapsed="false">
      <c r="A172" s="15"/>
      <c r="B172" s="21"/>
      <c r="C172" s="21" t="str">
        <f aca="false">IF(B172="","",IFERROR(INDEX(代理店一覧!$B$5:$B$204,MATCH(B172,代理店一覧!$A$5:$A$204,0)),"※未登録のID"))</f>
        <v/>
      </c>
      <c r="D172" s="21"/>
      <c r="E172" s="21"/>
      <c r="F172" s="21"/>
      <c r="G172" s="18"/>
      <c r="H172" s="21"/>
      <c r="I172" s="26"/>
      <c r="J172" s="15"/>
      <c r="K172" s="27"/>
      <c r="L172" s="25" t="str">
        <f aca="false">IF(B172="","",B172&amp;"|"&amp;J172)</f>
        <v/>
      </c>
    </row>
    <row r="173" customFormat="false" ht="15" hidden="false" customHeight="false" outlineLevel="0" collapsed="false">
      <c r="A173" s="15"/>
      <c r="B173" s="21"/>
      <c r="C173" s="21" t="str">
        <f aca="false">IF(B173="","",IFERROR(INDEX(代理店一覧!$B$5:$B$204,MATCH(B173,代理店一覧!$A$5:$A$204,0)),"※未登録のID"))</f>
        <v/>
      </c>
      <c r="D173" s="21"/>
      <c r="E173" s="21"/>
      <c r="F173" s="21"/>
      <c r="G173" s="18"/>
      <c r="H173" s="21"/>
      <c r="I173" s="26"/>
      <c r="J173" s="15"/>
      <c r="K173" s="27"/>
      <c r="L173" s="25" t="str">
        <f aca="false">IF(B173="","",B173&amp;"|"&amp;J173)</f>
        <v/>
      </c>
    </row>
    <row r="174" customFormat="false" ht="15" hidden="false" customHeight="false" outlineLevel="0" collapsed="false">
      <c r="A174" s="15"/>
      <c r="B174" s="21"/>
      <c r="C174" s="21" t="str">
        <f aca="false">IF(B174="","",IFERROR(INDEX(代理店一覧!$B$5:$B$204,MATCH(B174,代理店一覧!$A$5:$A$204,0)),"※未登録のID"))</f>
        <v/>
      </c>
      <c r="D174" s="21"/>
      <c r="E174" s="21"/>
      <c r="F174" s="21"/>
      <c r="G174" s="18"/>
      <c r="H174" s="21"/>
      <c r="I174" s="26"/>
      <c r="J174" s="15"/>
      <c r="K174" s="27"/>
      <c r="L174" s="25" t="str">
        <f aca="false">IF(B174="","",B174&amp;"|"&amp;J174)</f>
        <v/>
      </c>
    </row>
    <row r="175" customFormat="false" ht="15" hidden="false" customHeight="false" outlineLevel="0" collapsed="false">
      <c r="A175" s="15"/>
      <c r="B175" s="21"/>
      <c r="C175" s="21" t="str">
        <f aca="false">IF(B175="","",IFERROR(INDEX(代理店一覧!$B$5:$B$204,MATCH(B175,代理店一覧!$A$5:$A$204,0)),"※未登録のID"))</f>
        <v/>
      </c>
      <c r="D175" s="21"/>
      <c r="E175" s="21"/>
      <c r="F175" s="21"/>
      <c r="G175" s="18"/>
      <c r="H175" s="21"/>
      <c r="I175" s="26"/>
      <c r="J175" s="15"/>
      <c r="K175" s="27"/>
      <c r="L175" s="25" t="str">
        <f aca="false">IF(B175="","",B175&amp;"|"&amp;J175)</f>
        <v/>
      </c>
    </row>
    <row r="176" customFormat="false" ht="15" hidden="false" customHeight="false" outlineLevel="0" collapsed="false">
      <c r="A176" s="15"/>
      <c r="B176" s="21"/>
      <c r="C176" s="21" t="str">
        <f aca="false">IF(B176="","",IFERROR(INDEX(代理店一覧!$B$5:$B$204,MATCH(B176,代理店一覧!$A$5:$A$204,0)),"※未登録のID"))</f>
        <v/>
      </c>
      <c r="D176" s="21"/>
      <c r="E176" s="21"/>
      <c r="F176" s="21"/>
      <c r="G176" s="18"/>
      <c r="H176" s="21"/>
      <c r="I176" s="26"/>
      <c r="J176" s="15"/>
      <c r="K176" s="27"/>
      <c r="L176" s="25" t="str">
        <f aca="false">IF(B176="","",B176&amp;"|"&amp;J176)</f>
        <v/>
      </c>
    </row>
    <row r="177" customFormat="false" ht="15" hidden="false" customHeight="false" outlineLevel="0" collapsed="false">
      <c r="A177" s="15"/>
      <c r="B177" s="21"/>
      <c r="C177" s="21" t="str">
        <f aca="false">IF(B177="","",IFERROR(INDEX(代理店一覧!$B$5:$B$204,MATCH(B177,代理店一覧!$A$5:$A$204,0)),"※未登録のID"))</f>
        <v/>
      </c>
      <c r="D177" s="21"/>
      <c r="E177" s="21"/>
      <c r="F177" s="21"/>
      <c r="G177" s="18"/>
      <c r="H177" s="21"/>
      <c r="I177" s="26"/>
      <c r="J177" s="15"/>
      <c r="K177" s="27"/>
      <c r="L177" s="25" t="str">
        <f aca="false">IF(B177="","",B177&amp;"|"&amp;J177)</f>
        <v/>
      </c>
    </row>
    <row r="178" customFormat="false" ht="15" hidden="false" customHeight="false" outlineLevel="0" collapsed="false">
      <c r="A178" s="15"/>
      <c r="B178" s="21"/>
      <c r="C178" s="21" t="str">
        <f aca="false">IF(B178="","",IFERROR(INDEX(代理店一覧!$B$5:$B$204,MATCH(B178,代理店一覧!$A$5:$A$204,0)),"※未登録のID"))</f>
        <v/>
      </c>
      <c r="D178" s="21"/>
      <c r="E178" s="21"/>
      <c r="F178" s="21"/>
      <c r="G178" s="18"/>
      <c r="H178" s="21"/>
      <c r="I178" s="26"/>
      <c r="J178" s="15"/>
      <c r="K178" s="27"/>
      <c r="L178" s="25" t="str">
        <f aca="false">IF(B178="","",B178&amp;"|"&amp;J178)</f>
        <v/>
      </c>
    </row>
    <row r="179" customFormat="false" ht="15" hidden="false" customHeight="false" outlineLevel="0" collapsed="false">
      <c r="A179" s="15"/>
      <c r="B179" s="21"/>
      <c r="C179" s="21" t="str">
        <f aca="false">IF(B179="","",IFERROR(INDEX(代理店一覧!$B$5:$B$204,MATCH(B179,代理店一覧!$A$5:$A$204,0)),"※未登録のID"))</f>
        <v/>
      </c>
      <c r="D179" s="21"/>
      <c r="E179" s="21"/>
      <c r="F179" s="21"/>
      <c r="G179" s="18"/>
      <c r="H179" s="21"/>
      <c r="I179" s="26"/>
      <c r="J179" s="15"/>
      <c r="K179" s="27"/>
      <c r="L179" s="25" t="str">
        <f aca="false">IF(B179="","",B179&amp;"|"&amp;J179)</f>
        <v/>
      </c>
    </row>
    <row r="180" customFormat="false" ht="15" hidden="false" customHeight="false" outlineLevel="0" collapsed="false">
      <c r="A180" s="15"/>
      <c r="B180" s="21"/>
      <c r="C180" s="21" t="str">
        <f aca="false">IF(B180="","",IFERROR(INDEX(代理店一覧!$B$5:$B$204,MATCH(B180,代理店一覧!$A$5:$A$204,0)),"※未登録のID"))</f>
        <v/>
      </c>
      <c r="D180" s="21"/>
      <c r="E180" s="21"/>
      <c r="F180" s="21"/>
      <c r="G180" s="18"/>
      <c r="H180" s="21"/>
      <c r="I180" s="26"/>
      <c r="J180" s="15"/>
      <c r="K180" s="27"/>
      <c r="L180" s="25" t="str">
        <f aca="false">IF(B180="","",B180&amp;"|"&amp;J180)</f>
        <v/>
      </c>
    </row>
    <row r="181" customFormat="false" ht="15" hidden="false" customHeight="false" outlineLevel="0" collapsed="false">
      <c r="A181" s="15"/>
      <c r="B181" s="21"/>
      <c r="C181" s="21" t="str">
        <f aca="false">IF(B181="","",IFERROR(INDEX(代理店一覧!$B$5:$B$204,MATCH(B181,代理店一覧!$A$5:$A$204,0)),"※未登録のID"))</f>
        <v/>
      </c>
      <c r="D181" s="21"/>
      <c r="E181" s="21"/>
      <c r="F181" s="21"/>
      <c r="G181" s="18"/>
      <c r="H181" s="21"/>
      <c r="I181" s="26"/>
      <c r="J181" s="15"/>
      <c r="K181" s="27"/>
      <c r="L181" s="25" t="str">
        <f aca="false">IF(B181="","",B181&amp;"|"&amp;J181)</f>
        <v/>
      </c>
    </row>
    <row r="182" customFormat="false" ht="15" hidden="false" customHeight="false" outlineLevel="0" collapsed="false">
      <c r="A182" s="15"/>
      <c r="B182" s="21"/>
      <c r="C182" s="21" t="str">
        <f aca="false">IF(B182="","",IFERROR(INDEX(代理店一覧!$B$5:$B$204,MATCH(B182,代理店一覧!$A$5:$A$204,0)),"※未登録のID"))</f>
        <v/>
      </c>
      <c r="D182" s="21"/>
      <c r="E182" s="21"/>
      <c r="F182" s="21"/>
      <c r="G182" s="18"/>
      <c r="H182" s="21"/>
      <c r="I182" s="26"/>
      <c r="J182" s="15"/>
      <c r="K182" s="27"/>
      <c r="L182" s="25" t="str">
        <f aca="false">IF(B182="","",B182&amp;"|"&amp;J182)</f>
        <v/>
      </c>
    </row>
    <row r="183" customFormat="false" ht="15" hidden="false" customHeight="false" outlineLevel="0" collapsed="false">
      <c r="A183" s="15"/>
      <c r="B183" s="21"/>
      <c r="C183" s="21" t="str">
        <f aca="false">IF(B183="","",IFERROR(INDEX(代理店一覧!$B$5:$B$204,MATCH(B183,代理店一覧!$A$5:$A$204,0)),"※未登録のID"))</f>
        <v/>
      </c>
      <c r="D183" s="21"/>
      <c r="E183" s="21"/>
      <c r="F183" s="21"/>
      <c r="G183" s="18"/>
      <c r="H183" s="21"/>
      <c r="I183" s="26"/>
      <c r="J183" s="15"/>
      <c r="K183" s="27"/>
      <c r="L183" s="25" t="str">
        <f aca="false">IF(B183="","",B183&amp;"|"&amp;J183)</f>
        <v/>
      </c>
    </row>
    <row r="184" customFormat="false" ht="15" hidden="false" customHeight="false" outlineLevel="0" collapsed="false">
      <c r="A184" s="15"/>
      <c r="B184" s="21"/>
      <c r="C184" s="21" t="str">
        <f aca="false">IF(B184="","",IFERROR(INDEX(代理店一覧!$B$5:$B$204,MATCH(B184,代理店一覧!$A$5:$A$204,0)),"※未登録のID"))</f>
        <v/>
      </c>
      <c r="D184" s="21"/>
      <c r="E184" s="21"/>
      <c r="F184" s="21"/>
      <c r="G184" s="18"/>
      <c r="H184" s="21"/>
      <c r="I184" s="26"/>
      <c r="J184" s="15"/>
      <c r="K184" s="27"/>
      <c r="L184" s="25" t="str">
        <f aca="false">IF(B184="","",B184&amp;"|"&amp;J184)</f>
        <v/>
      </c>
    </row>
    <row r="185" customFormat="false" ht="15" hidden="false" customHeight="false" outlineLevel="0" collapsed="false">
      <c r="A185" s="15"/>
      <c r="B185" s="21"/>
      <c r="C185" s="21" t="str">
        <f aca="false">IF(B185="","",IFERROR(INDEX(代理店一覧!$B$5:$B$204,MATCH(B185,代理店一覧!$A$5:$A$204,0)),"※未登録のID"))</f>
        <v/>
      </c>
      <c r="D185" s="21"/>
      <c r="E185" s="21"/>
      <c r="F185" s="21"/>
      <c r="G185" s="18"/>
      <c r="H185" s="21"/>
      <c r="I185" s="26"/>
      <c r="J185" s="15"/>
      <c r="K185" s="27"/>
      <c r="L185" s="25" t="str">
        <f aca="false">IF(B185="","",B185&amp;"|"&amp;J185)</f>
        <v/>
      </c>
    </row>
    <row r="186" customFormat="false" ht="15" hidden="false" customHeight="false" outlineLevel="0" collapsed="false">
      <c r="A186" s="15"/>
      <c r="B186" s="21"/>
      <c r="C186" s="21" t="str">
        <f aca="false">IF(B186="","",IFERROR(INDEX(代理店一覧!$B$5:$B$204,MATCH(B186,代理店一覧!$A$5:$A$204,0)),"※未登録のID"))</f>
        <v/>
      </c>
      <c r="D186" s="21"/>
      <c r="E186" s="21"/>
      <c r="F186" s="21"/>
      <c r="G186" s="18"/>
      <c r="H186" s="21"/>
      <c r="I186" s="26"/>
      <c r="J186" s="15"/>
      <c r="K186" s="27"/>
      <c r="L186" s="25" t="str">
        <f aca="false">IF(B186="","",B186&amp;"|"&amp;J186)</f>
        <v/>
      </c>
    </row>
    <row r="187" customFormat="false" ht="15" hidden="false" customHeight="false" outlineLevel="0" collapsed="false">
      <c r="A187" s="15"/>
      <c r="B187" s="21"/>
      <c r="C187" s="21" t="str">
        <f aca="false">IF(B187="","",IFERROR(INDEX(代理店一覧!$B$5:$B$204,MATCH(B187,代理店一覧!$A$5:$A$204,0)),"※未登録のID"))</f>
        <v/>
      </c>
      <c r="D187" s="21"/>
      <c r="E187" s="21"/>
      <c r="F187" s="21"/>
      <c r="G187" s="18"/>
      <c r="H187" s="21"/>
      <c r="I187" s="26"/>
      <c r="J187" s="15"/>
      <c r="K187" s="27"/>
      <c r="L187" s="25" t="str">
        <f aca="false">IF(B187="","",B187&amp;"|"&amp;J187)</f>
        <v/>
      </c>
    </row>
    <row r="188" customFormat="false" ht="15" hidden="false" customHeight="false" outlineLevel="0" collapsed="false">
      <c r="A188" s="15"/>
      <c r="B188" s="21"/>
      <c r="C188" s="21" t="str">
        <f aca="false">IF(B188="","",IFERROR(INDEX(代理店一覧!$B$5:$B$204,MATCH(B188,代理店一覧!$A$5:$A$204,0)),"※未登録のID"))</f>
        <v/>
      </c>
      <c r="D188" s="21"/>
      <c r="E188" s="21"/>
      <c r="F188" s="21"/>
      <c r="G188" s="18"/>
      <c r="H188" s="21"/>
      <c r="I188" s="26"/>
      <c r="J188" s="15"/>
      <c r="K188" s="27"/>
      <c r="L188" s="25" t="str">
        <f aca="false">IF(B188="","",B188&amp;"|"&amp;J188)</f>
        <v/>
      </c>
    </row>
    <row r="189" customFormat="false" ht="15" hidden="false" customHeight="false" outlineLevel="0" collapsed="false">
      <c r="A189" s="15"/>
      <c r="B189" s="21"/>
      <c r="C189" s="21" t="str">
        <f aca="false">IF(B189="","",IFERROR(INDEX(代理店一覧!$B$5:$B$204,MATCH(B189,代理店一覧!$A$5:$A$204,0)),"※未登録のID"))</f>
        <v/>
      </c>
      <c r="D189" s="21"/>
      <c r="E189" s="21"/>
      <c r="F189" s="21"/>
      <c r="G189" s="18"/>
      <c r="H189" s="21"/>
      <c r="I189" s="26"/>
      <c r="J189" s="15"/>
      <c r="K189" s="27"/>
      <c r="L189" s="25" t="str">
        <f aca="false">IF(B189="","",B189&amp;"|"&amp;J189)</f>
        <v/>
      </c>
    </row>
    <row r="190" customFormat="false" ht="15" hidden="false" customHeight="false" outlineLevel="0" collapsed="false">
      <c r="A190" s="15"/>
      <c r="B190" s="21"/>
      <c r="C190" s="21" t="str">
        <f aca="false">IF(B190="","",IFERROR(INDEX(代理店一覧!$B$5:$B$204,MATCH(B190,代理店一覧!$A$5:$A$204,0)),"※未登録のID"))</f>
        <v/>
      </c>
      <c r="D190" s="21"/>
      <c r="E190" s="21"/>
      <c r="F190" s="21"/>
      <c r="G190" s="18"/>
      <c r="H190" s="21"/>
      <c r="I190" s="26"/>
      <c r="J190" s="15"/>
      <c r="K190" s="27"/>
      <c r="L190" s="25" t="str">
        <f aca="false">IF(B190="","",B190&amp;"|"&amp;J190)</f>
        <v/>
      </c>
    </row>
    <row r="191" customFormat="false" ht="15" hidden="false" customHeight="false" outlineLevel="0" collapsed="false">
      <c r="A191" s="15"/>
      <c r="B191" s="21"/>
      <c r="C191" s="21" t="str">
        <f aca="false">IF(B191="","",IFERROR(INDEX(代理店一覧!$B$5:$B$204,MATCH(B191,代理店一覧!$A$5:$A$204,0)),"※未登録のID"))</f>
        <v/>
      </c>
      <c r="D191" s="21"/>
      <c r="E191" s="21"/>
      <c r="F191" s="21"/>
      <c r="G191" s="18"/>
      <c r="H191" s="21"/>
      <c r="I191" s="26"/>
      <c r="J191" s="15"/>
      <c r="K191" s="27"/>
      <c r="L191" s="25" t="str">
        <f aca="false">IF(B191="","",B191&amp;"|"&amp;J191)</f>
        <v/>
      </c>
    </row>
    <row r="192" customFormat="false" ht="15" hidden="false" customHeight="false" outlineLevel="0" collapsed="false">
      <c r="A192" s="15"/>
      <c r="B192" s="21"/>
      <c r="C192" s="21" t="str">
        <f aca="false">IF(B192="","",IFERROR(INDEX(代理店一覧!$B$5:$B$204,MATCH(B192,代理店一覧!$A$5:$A$204,0)),"※未登録のID"))</f>
        <v/>
      </c>
      <c r="D192" s="21"/>
      <c r="E192" s="21"/>
      <c r="F192" s="21"/>
      <c r="G192" s="18"/>
      <c r="H192" s="21"/>
      <c r="I192" s="26"/>
      <c r="J192" s="15"/>
      <c r="K192" s="27"/>
      <c r="L192" s="25" t="str">
        <f aca="false">IF(B192="","",B192&amp;"|"&amp;J192)</f>
        <v/>
      </c>
    </row>
    <row r="193" customFormat="false" ht="15" hidden="false" customHeight="false" outlineLevel="0" collapsed="false">
      <c r="A193" s="15"/>
      <c r="B193" s="21"/>
      <c r="C193" s="21" t="str">
        <f aca="false">IF(B193="","",IFERROR(INDEX(代理店一覧!$B$5:$B$204,MATCH(B193,代理店一覧!$A$5:$A$204,0)),"※未登録のID"))</f>
        <v/>
      </c>
      <c r="D193" s="21"/>
      <c r="E193" s="21"/>
      <c r="F193" s="21"/>
      <c r="G193" s="18"/>
      <c r="H193" s="21"/>
      <c r="I193" s="26"/>
      <c r="J193" s="15"/>
      <c r="K193" s="27"/>
      <c r="L193" s="25" t="str">
        <f aca="false">IF(B193="","",B193&amp;"|"&amp;J193)</f>
        <v/>
      </c>
    </row>
    <row r="194" customFormat="false" ht="15" hidden="false" customHeight="false" outlineLevel="0" collapsed="false">
      <c r="A194" s="15"/>
      <c r="B194" s="21"/>
      <c r="C194" s="21" t="str">
        <f aca="false">IF(B194="","",IFERROR(INDEX(代理店一覧!$B$5:$B$204,MATCH(B194,代理店一覧!$A$5:$A$204,0)),"※未登録のID"))</f>
        <v/>
      </c>
      <c r="D194" s="21"/>
      <c r="E194" s="21"/>
      <c r="F194" s="21"/>
      <c r="G194" s="18"/>
      <c r="H194" s="21"/>
      <c r="I194" s="26"/>
      <c r="J194" s="15"/>
      <c r="K194" s="27"/>
      <c r="L194" s="25" t="str">
        <f aca="false">IF(B194="","",B194&amp;"|"&amp;J194)</f>
        <v/>
      </c>
    </row>
    <row r="195" customFormat="false" ht="15" hidden="false" customHeight="false" outlineLevel="0" collapsed="false">
      <c r="A195" s="15"/>
      <c r="B195" s="21"/>
      <c r="C195" s="21" t="str">
        <f aca="false">IF(B195="","",IFERROR(INDEX(代理店一覧!$B$5:$B$204,MATCH(B195,代理店一覧!$A$5:$A$204,0)),"※未登録のID"))</f>
        <v/>
      </c>
      <c r="D195" s="21"/>
      <c r="E195" s="21"/>
      <c r="F195" s="21"/>
      <c r="G195" s="18"/>
      <c r="H195" s="21"/>
      <c r="I195" s="26"/>
      <c r="J195" s="15"/>
      <c r="K195" s="27"/>
      <c r="L195" s="25" t="str">
        <f aca="false">IF(B195="","",B195&amp;"|"&amp;J195)</f>
        <v/>
      </c>
    </row>
    <row r="196" customFormat="false" ht="15" hidden="false" customHeight="false" outlineLevel="0" collapsed="false">
      <c r="A196" s="15"/>
      <c r="B196" s="21"/>
      <c r="C196" s="21" t="str">
        <f aca="false">IF(B196="","",IFERROR(INDEX(代理店一覧!$B$5:$B$204,MATCH(B196,代理店一覧!$A$5:$A$204,0)),"※未登録のID"))</f>
        <v/>
      </c>
      <c r="D196" s="21"/>
      <c r="E196" s="21"/>
      <c r="F196" s="21"/>
      <c r="G196" s="18"/>
      <c r="H196" s="21"/>
      <c r="I196" s="26"/>
      <c r="J196" s="15"/>
      <c r="K196" s="27"/>
      <c r="L196" s="25" t="str">
        <f aca="false">IF(B196="","",B196&amp;"|"&amp;J196)</f>
        <v/>
      </c>
    </row>
    <row r="197" customFormat="false" ht="15" hidden="false" customHeight="false" outlineLevel="0" collapsed="false">
      <c r="A197" s="15"/>
      <c r="B197" s="21"/>
      <c r="C197" s="21" t="str">
        <f aca="false">IF(B197="","",IFERROR(INDEX(代理店一覧!$B$5:$B$204,MATCH(B197,代理店一覧!$A$5:$A$204,0)),"※未登録のID"))</f>
        <v/>
      </c>
      <c r="D197" s="21"/>
      <c r="E197" s="21"/>
      <c r="F197" s="21"/>
      <c r="G197" s="18"/>
      <c r="H197" s="21"/>
      <c r="I197" s="26"/>
      <c r="J197" s="15"/>
      <c r="K197" s="27"/>
      <c r="L197" s="25" t="str">
        <f aca="false">IF(B197="","",B197&amp;"|"&amp;J197)</f>
        <v/>
      </c>
    </row>
    <row r="198" customFormat="false" ht="15" hidden="false" customHeight="false" outlineLevel="0" collapsed="false">
      <c r="A198" s="15"/>
      <c r="B198" s="21"/>
      <c r="C198" s="21" t="str">
        <f aca="false">IF(B198="","",IFERROR(INDEX(代理店一覧!$B$5:$B$204,MATCH(B198,代理店一覧!$A$5:$A$204,0)),"※未登録のID"))</f>
        <v/>
      </c>
      <c r="D198" s="21"/>
      <c r="E198" s="21"/>
      <c r="F198" s="21"/>
      <c r="G198" s="18"/>
      <c r="H198" s="21"/>
      <c r="I198" s="26"/>
      <c r="J198" s="15"/>
      <c r="K198" s="27"/>
      <c r="L198" s="25" t="str">
        <f aca="false">IF(B198="","",B198&amp;"|"&amp;J198)</f>
        <v/>
      </c>
    </row>
    <row r="199" customFormat="false" ht="15" hidden="false" customHeight="false" outlineLevel="0" collapsed="false">
      <c r="A199" s="15"/>
      <c r="B199" s="21"/>
      <c r="C199" s="21" t="str">
        <f aca="false">IF(B199="","",IFERROR(INDEX(代理店一覧!$B$5:$B$204,MATCH(B199,代理店一覧!$A$5:$A$204,0)),"※未登録のID"))</f>
        <v/>
      </c>
      <c r="D199" s="21"/>
      <c r="E199" s="21"/>
      <c r="F199" s="21"/>
      <c r="G199" s="18"/>
      <c r="H199" s="21"/>
      <c r="I199" s="26"/>
      <c r="J199" s="15"/>
      <c r="K199" s="27"/>
      <c r="L199" s="25" t="str">
        <f aca="false">IF(B199="","",B199&amp;"|"&amp;J199)</f>
        <v/>
      </c>
    </row>
    <row r="200" customFormat="false" ht="15" hidden="false" customHeight="false" outlineLevel="0" collapsed="false">
      <c r="A200" s="15"/>
      <c r="B200" s="21"/>
      <c r="C200" s="21" t="str">
        <f aca="false">IF(B200="","",IFERROR(INDEX(代理店一覧!$B$5:$B$204,MATCH(B200,代理店一覧!$A$5:$A$204,0)),"※未登録のID"))</f>
        <v/>
      </c>
      <c r="D200" s="21"/>
      <c r="E200" s="21"/>
      <c r="F200" s="21"/>
      <c r="G200" s="18"/>
      <c r="H200" s="21"/>
      <c r="I200" s="26"/>
      <c r="J200" s="15"/>
      <c r="K200" s="27"/>
      <c r="L200" s="25" t="str">
        <f aca="false">IF(B200="","",B200&amp;"|"&amp;J200)</f>
        <v/>
      </c>
    </row>
    <row r="201" customFormat="false" ht="15" hidden="false" customHeight="false" outlineLevel="0" collapsed="false">
      <c r="A201" s="15"/>
      <c r="B201" s="21"/>
      <c r="C201" s="21" t="str">
        <f aca="false">IF(B201="","",IFERROR(INDEX(代理店一覧!$B$5:$B$204,MATCH(B201,代理店一覧!$A$5:$A$204,0)),"※未登録のID"))</f>
        <v/>
      </c>
      <c r="D201" s="21"/>
      <c r="E201" s="21"/>
      <c r="F201" s="21"/>
      <c r="G201" s="18"/>
      <c r="H201" s="21"/>
      <c r="I201" s="26"/>
      <c r="J201" s="15"/>
      <c r="K201" s="27"/>
      <c r="L201" s="25" t="str">
        <f aca="false">IF(B201="","",B201&amp;"|"&amp;J201)</f>
        <v/>
      </c>
    </row>
    <row r="202" customFormat="false" ht="15" hidden="false" customHeight="false" outlineLevel="0" collapsed="false">
      <c r="A202" s="15"/>
      <c r="B202" s="21"/>
      <c r="C202" s="21" t="str">
        <f aca="false">IF(B202="","",IFERROR(INDEX(代理店一覧!$B$5:$B$204,MATCH(B202,代理店一覧!$A$5:$A$204,0)),"※未登録のID"))</f>
        <v/>
      </c>
      <c r="D202" s="21"/>
      <c r="E202" s="21"/>
      <c r="F202" s="21"/>
      <c r="G202" s="18"/>
      <c r="H202" s="21"/>
      <c r="I202" s="26"/>
      <c r="J202" s="15"/>
      <c r="K202" s="27"/>
      <c r="L202" s="25" t="str">
        <f aca="false">IF(B202="","",B202&amp;"|"&amp;J202)</f>
        <v/>
      </c>
    </row>
    <row r="203" customFormat="false" ht="15" hidden="false" customHeight="false" outlineLevel="0" collapsed="false">
      <c r="A203" s="15"/>
      <c r="B203" s="21"/>
      <c r="C203" s="21" t="str">
        <f aca="false">IF(B203="","",IFERROR(INDEX(代理店一覧!$B$5:$B$204,MATCH(B203,代理店一覧!$A$5:$A$204,0)),"※未登録のID"))</f>
        <v/>
      </c>
      <c r="D203" s="21"/>
      <c r="E203" s="21"/>
      <c r="F203" s="21"/>
      <c r="G203" s="18"/>
      <c r="H203" s="21"/>
      <c r="I203" s="26"/>
      <c r="J203" s="15"/>
      <c r="K203" s="27"/>
      <c r="L203" s="25" t="str">
        <f aca="false">IF(B203="","",B203&amp;"|"&amp;J203)</f>
        <v/>
      </c>
    </row>
    <row r="204" customFormat="false" ht="15" hidden="false" customHeight="false" outlineLevel="0" collapsed="false">
      <c r="A204" s="15"/>
      <c r="B204" s="21"/>
      <c r="C204" s="21" t="str">
        <f aca="false">IF(B204="","",IFERROR(INDEX(代理店一覧!$B$5:$B$204,MATCH(B204,代理店一覧!$A$5:$A$204,0)),"※未登録のID"))</f>
        <v/>
      </c>
      <c r="D204" s="21"/>
      <c r="E204" s="21"/>
      <c r="F204" s="21"/>
      <c r="G204" s="18"/>
      <c r="H204" s="21"/>
      <c r="I204" s="26"/>
      <c r="J204" s="15"/>
      <c r="K204" s="27"/>
      <c r="L204" s="25" t="str">
        <f aca="false">IF(B204="","",B204&amp;"|"&amp;J204)</f>
        <v/>
      </c>
    </row>
    <row r="205" customFormat="false" ht="15" hidden="false" customHeight="false" outlineLevel="0" collapsed="false">
      <c r="A205" s="15"/>
      <c r="B205" s="21"/>
      <c r="C205" s="21" t="str">
        <f aca="false">IF(B205="","",IFERROR(INDEX(代理店一覧!$B$5:$B$204,MATCH(B205,代理店一覧!$A$5:$A$204,0)),"※未登録のID"))</f>
        <v/>
      </c>
      <c r="D205" s="21"/>
      <c r="E205" s="21"/>
      <c r="F205" s="21"/>
      <c r="G205" s="18"/>
      <c r="H205" s="21"/>
      <c r="I205" s="26"/>
      <c r="J205" s="15"/>
      <c r="K205" s="27"/>
      <c r="L205" s="25" t="str">
        <f aca="false">IF(B205="","",B205&amp;"|"&amp;J205)</f>
        <v/>
      </c>
    </row>
    <row r="206" customFormat="false" ht="15" hidden="false" customHeight="false" outlineLevel="0" collapsed="false">
      <c r="A206" s="15"/>
      <c r="B206" s="21"/>
      <c r="C206" s="21" t="str">
        <f aca="false">IF(B206="","",IFERROR(INDEX(代理店一覧!$B$5:$B$204,MATCH(B206,代理店一覧!$A$5:$A$204,0)),"※未登録のID"))</f>
        <v/>
      </c>
      <c r="D206" s="21"/>
      <c r="E206" s="21"/>
      <c r="F206" s="21"/>
      <c r="G206" s="18"/>
      <c r="H206" s="21"/>
      <c r="I206" s="26"/>
      <c r="J206" s="15"/>
      <c r="K206" s="27"/>
      <c r="L206" s="25" t="str">
        <f aca="false">IF(B206="","",B206&amp;"|"&amp;J206)</f>
        <v/>
      </c>
    </row>
    <row r="207" customFormat="false" ht="15" hidden="false" customHeight="false" outlineLevel="0" collapsed="false">
      <c r="A207" s="15"/>
      <c r="B207" s="21"/>
      <c r="C207" s="21" t="str">
        <f aca="false">IF(B207="","",IFERROR(INDEX(代理店一覧!$B$5:$B$204,MATCH(B207,代理店一覧!$A$5:$A$204,0)),"※未登録のID"))</f>
        <v/>
      </c>
      <c r="D207" s="21"/>
      <c r="E207" s="21"/>
      <c r="F207" s="21"/>
      <c r="G207" s="18"/>
      <c r="H207" s="21"/>
      <c r="I207" s="26"/>
      <c r="J207" s="15"/>
      <c r="K207" s="27"/>
      <c r="L207" s="25" t="str">
        <f aca="false">IF(B207="","",B207&amp;"|"&amp;J207)</f>
        <v/>
      </c>
    </row>
    <row r="208" customFormat="false" ht="15" hidden="false" customHeight="false" outlineLevel="0" collapsed="false">
      <c r="A208" s="15"/>
      <c r="B208" s="21"/>
      <c r="C208" s="21" t="str">
        <f aca="false">IF(B208="","",IFERROR(INDEX(代理店一覧!$B$5:$B$204,MATCH(B208,代理店一覧!$A$5:$A$204,0)),"※未登録のID"))</f>
        <v/>
      </c>
      <c r="D208" s="21"/>
      <c r="E208" s="21"/>
      <c r="F208" s="21"/>
      <c r="G208" s="18"/>
      <c r="H208" s="21"/>
      <c r="I208" s="26"/>
      <c r="J208" s="15"/>
      <c r="K208" s="27"/>
      <c r="L208" s="25" t="str">
        <f aca="false">IF(B208="","",B208&amp;"|"&amp;J208)</f>
        <v/>
      </c>
    </row>
    <row r="209" customFormat="false" ht="15" hidden="false" customHeight="false" outlineLevel="0" collapsed="false">
      <c r="A209" s="15"/>
      <c r="B209" s="21"/>
      <c r="C209" s="21" t="str">
        <f aca="false">IF(B209="","",IFERROR(INDEX(代理店一覧!$B$5:$B$204,MATCH(B209,代理店一覧!$A$5:$A$204,0)),"※未登録のID"))</f>
        <v/>
      </c>
      <c r="D209" s="21"/>
      <c r="E209" s="21"/>
      <c r="F209" s="21"/>
      <c r="G209" s="18"/>
      <c r="H209" s="21"/>
      <c r="I209" s="26"/>
      <c r="J209" s="15"/>
      <c r="K209" s="27"/>
      <c r="L209" s="25" t="str">
        <f aca="false">IF(B209="","",B209&amp;"|"&amp;J209)</f>
        <v/>
      </c>
    </row>
    <row r="210" customFormat="false" ht="15" hidden="false" customHeight="false" outlineLevel="0" collapsed="false">
      <c r="A210" s="15"/>
      <c r="B210" s="21"/>
      <c r="C210" s="21" t="str">
        <f aca="false">IF(B210="","",IFERROR(INDEX(代理店一覧!$B$5:$B$204,MATCH(B210,代理店一覧!$A$5:$A$204,0)),"※未登録のID"))</f>
        <v/>
      </c>
      <c r="D210" s="21"/>
      <c r="E210" s="21"/>
      <c r="F210" s="21"/>
      <c r="G210" s="18"/>
      <c r="H210" s="21"/>
      <c r="I210" s="26"/>
      <c r="J210" s="15"/>
      <c r="K210" s="27"/>
      <c r="L210" s="25" t="str">
        <f aca="false">IF(B210="","",B210&amp;"|"&amp;J210)</f>
        <v/>
      </c>
    </row>
    <row r="211" customFormat="false" ht="15" hidden="false" customHeight="false" outlineLevel="0" collapsed="false">
      <c r="A211" s="15"/>
      <c r="B211" s="21"/>
      <c r="C211" s="21" t="str">
        <f aca="false">IF(B211="","",IFERROR(INDEX(代理店一覧!$B$5:$B$204,MATCH(B211,代理店一覧!$A$5:$A$204,0)),"※未登録のID"))</f>
        <v/>
      </c>
      <c r="D211" s="21"/>
      <c r="E211" s="21"/>
      <c r="F211" s="21"/>
      <c r="G211" s="18"/>
      <c r="H211" s="21"/>
      <c r="I211" s="26"/>
      <c r="J211" s="15"/>
      <c r="K211" s="27"/>
      <c r="L211" s="25" t="str">
        <f aca="false">IF(B211="","",B211&amp;"|"&amp;J211)</f>
        <v/>
      </c>
    </row>
    <row r="212" customFormat="false" ht="15" hidden="false" customHeight="false" outlineLevel="0" collapsed="false">
      <c r="A212" s="15"/>
      <c r="B212" s="21"/>
      <c r="C212" s="21" t="str">
        <f aca="false">IF(B212="","",IFERROR(INDEX(代理店一覧!$B$5:$B$204,MATCH(B212,代理店一覧!$A$5:$A$204,0)),"※未登録のID"))</f>
        <v/>
      </c>
      <c r="D212" s="21"/>
      <c r="E212" s="21"/>
      <c r="F212" s="21"/>
      <c r="G212" s="18"/>
      <c r="H212" s="21"/>
      <c r="I212" s="26"/>
      <c r="J212" s="15"/>
      <c r="K212" s="27"/>
      <c r="L212" s="25" t="str">
        <f aca="false">IF(B212="","",B212&amp;"|"&amp;J212)</f>
        <v/>
      </c>
    </row>
    <row r="213" customFormat="false" ht="15" hidden="false" customHeight="false" outlineLevel="0" collapsed="false">
      <c r="A213" s="15"/>
      <c r="B213" s="21"/>
      <c r="C213" s="21" t="str">
        <f aca="false">IF(B213="","",IFERROR(INDEX(代理店一覧!$B$5:$B$204,MATCH(B213,代理店一覧!$A$5:$A$204,0)),"※未登録のID"))</f>
        <v/>
      </c>
      <c r="D213" s="21"/>
      <c r="E213" s="21"/>
      <c r="F213" s="21"/>
      <c r="G213" s="18"/>
      <c r="H213" s="21"/>
      <c r="I213" s="26"/>
      <c r="J213" s="15"/>
      <c r="K213" s="27"/>
      <c r="L213" s="25" t="str">
        <f aca="false">IF(B213="","",B213&amp;"|"&amp;J213)</f>
        <v/>
      </c>
    </row>
    <row r="214" customFormat="false" ht="15" hidden="false" customHeight="false" outlineLevel="0" collapsed="false">
      <c r="A214" s="15"/>
      <c r="B214" s="21"/>
      <c r="C214" s="21" t="str">
        <f aca="false">IF(B214="","",IFERROR(INDEX(代理店一覧!$B$5:$B$204,MATCH(B214,代理店一覧!$A$5:$A$204,0)),"※未登録のID"))</f>
        <v/>
      </c>
      <c r="D214" s="21"/>
      <c r="E214" s="21"/>
      <c r="F214" s="21"/>
      <c r="G214" s="18"/>
      <c r="H214" s="21"/>
      <c r="I214" s="26"/>
      <c r="J214" s="15"/>
      <c r="K214" s="27"/>
      <c r="L214" s="25" t="str">
        <f aca="false">IF(B214="","",B214&amp;"|"&amp;J214)</f>
        <v/>
      </c>
    </row>
    <row r="215" customFormat="false" ht="15" hidden="false" customHeight="false" outlineLevel="0" collapsed="false">
      <c r="A215" s="15"/>
      <c r="B215" s="21"/>
      <c r="C215" s="21" t="str">
        <f aca="false">IF(B215="","",IFERROR(INDEX(代理店一覧!$B$5:$B$204,MATCH(B215,代理店一覧!$A$5:$A$204,0)),"※未登録のID"))</f>
        <v/>
      </c>
      <c r="D215" s="21"/>
      <c r="E215" s="21"/>
      <c r="F215" s="21"/>
      <c r="G215" s="18"/>
      <c r="H215" s="21"/>
      <c r="I215" s="26"/>
      <c r="J215" s="15"/>
      <c r="K215" s="27"/>
      <c r="L215" s="25" t="str">
        <f aca="false">IF(B215="","",B215&amp;"|"&amp;J215)</f>
        <v/>
      </c>
    </row>
    <row r="216" customFormat="false" ht="15" hidden="false" customHeight="false" outlineLevel="0" collapsed="false">
      <c r="A216" s="15"/>
      <c r="B216" s="21"/>
      <c r="C216" s="21" t="str">
        <f aca="false">IF(B216="","",IFERROR(INDEX(代理店一覧!$B$5:$B$204,MATCH(B216,代理店一覧!$A$5:$A$204,0)),"※未登録のID"))</f>
        <v/>
      </c>
      <c r="D216" s="21"/>
      <c r="E216" s="21"/>
      <c r="F216" s="21"/>
      <c r="G216" s="18"/>
      <c r="H216" s="21"/>
      <c r="I216" s="26"/>
      <c r="J216" s="15"/>
      <c r="K216" s="27"/>
      <c r="L216" s="25" t="str">
        <f aca="false">IF(B216="","",B216&amp;"|"&amp;J216)</f>
        <v/>
      </c>
    </row>
    <row r="217" customFormat="false" ht="15" hidden="false" customHeight="false" outlineLevel="0" collapsed="false">
      <c r="A217" s="15"/>
      <c r="B217" s="21"/>
      <c r="C217" s="21" t="str">
        <f aca="false">IF(B217="","",IFERROR(INDEX(代理店一覧!$B$5:$B$204,MATCH(B217,代理店一覧!$A$5:$A$204,0)),"※未登録のID"))</f>
        <v/>
      </c>
      <c r="D217" s="21"/>
      <c r="E217" s="21"/>
      <c r="F217" s="21"/>
      <c r="G217" s="18"/>
      <c r="H217" s="21"/>
      <c r="I217" s="26"/>
      <c r="J217" s="15"/>
      <c r="K217" s="27"/>
      <c r="L217" s="25" t="str">
        <f aca="false">IF(B217="","",B217&amp;"|"&amp;J217)</f>
        <v/>
      </c>
    </row>
    <row r="218" customFormat="false" ht="15" hidden="false" customHeight="false" outlineLevel="0" collapsed="false">
      <c r="A218" s="15"/>
      <c r="B218" s="21"/>
      <c r="C218" s="21" t="str">
        <f aca="false">IF(B218="","",IFERROR(INDEX(代理店一覧!$B$5:$B$204,MATCH(B218,代理店一覧!$A$5:$A$204,0)),"※未登録のID"))</f>
        <v/>
      </c>
      <c r="D218" s="21"/>
      <c r="E218" s="21"/>
      <c r="F218" s="21"/>
      <c r="G218" s="18"/>
      <c r="H218" s="21"/>
      <c r="I218" s="26"/>
      <c r="J218" s="15"/>
      <c r="K218" s="27"/>
      <c r="L218" s="25" t="str">
        <f aca="false">IF(B218="","",B218&amp;"|"&amp;J218)</f>
        <v/>
      </c>
    </row>
    <row r="219" customFormat="false" ht="15" hidden="false" customHeight="false" outlineLevel="0" collapsed="false">
      <c r="A219" s="15"/>
      <c r="B219" s="21"/>
      <c r="C219" s="21" t="str">
        <f aca="false">IF(B219="","",IFERROR(INDEX(代理店一覧!$B$5:$B$204,MATCH(B219,代理店一覧!$A$5:$A$204,0)),"※未登録のID"))</f>
        <v/>
      </c>
      <c r="D219" s="21"/>
      <c r="E219" s="21"/>
      <c r="F219" s="21"/>
      <c r="G219" s="18"/>
      <c r="H219" s="21"/>
      <c r="I219" s="26"/>
      <c r="J219" s="15"/>
      <c r="K219" s="27"/>
      <c r="L219" s="25" t="str">
        <f aca="false">IF(B219="","",B219&amp;"|"&amp;J219)</f>
        <v/>
      </c>
    </row>
    <row r="220" customFormat="false" ht="15" hidden="false" customHeight="false" outlineLevel="0" collapsed="false">
      <c r="A220" s="15"/>
      <c r="B220" s="21"/>
      <c r="C220" s="21" t="str">
        <f aca="false">IF(B220="","",IFERROR(INDEX(代理店一覧!$B$5:$B$204,MATCH(B220,代理店一覧!$A$5:$A$204,0)),"※未登録のID"))</f>
        <v/>
      </c>
      <c r="D220" s="21"/>
      <c r="E220" s="21"/>
      <c r="F220" s="21"/>
      <c r="G220" s="18"/>
      <c r="H220" s="21"/>
      <c r="I220" s="26"/>
      <c r="J220" s="15"/>
      <c r="K220" s="27"/>
      <c r="L220" s="25" t="str">
        <f aca="false">IF(B220="","",B220&amp;"|"&amp;J220)</f>
        <v/>
      </c>
    </row>
    <row r="221" customFormat="false" ht="15" hidden="false" customHeight="false" outlineLevel="0" collapsed="false">
      <c r="A221" s="15"/>
      <c r="B221" s="21"/>
      <c r="C221" s="21" t="str">
        <f aca="false">IF(B221="","",IFERROR(INDEX(代理店一覧!$B$5:$B$204,MATCH(B221,代理店一覧!$A$5:$A$204,0)),"※未登録のID"))</f>
        <v/>
      </c>
      <c r="D221" s="21"/>
      <c r="E221" s="21"/>
      <c r="F221" s="21"/>
      <c r="G221" s="18"/>
      <c r="H221" s="21"/>
      <c r="I221" s="26"/>
      <c r="J221" s="15"/>
      <c r="K221" s="27"/>
      <c r="L221" s="25" t="str">
        <f aca="false">IF(B221="","",B221&amp;"|"&amp;J221)</f>
        <v/>
      </c>
    </row>
    <row r="222" customFormat="false" ht="15" hidden="false" customHeight="false" outlineLevel="0" collapsed="false">
      <c r="A222" s="15"/>
      <c r="B222" s="21"/>
      <c r="C222" s="21" t="str">
        <f aca="false">IF(B222="","",IFERROR(INDEX(代理店一覧!$B$5:$B$204,MATCH(B222,代理店一覧!$A$5:$A$204,0)),"※未登録のID"))</f>
        <v/>
      </c>
      <c r="D222" s="21"/>
      <c r="E222" s="21"/>
      <c r="F222" s="21"/>
      <c r="G222" s="18"/>
      <c r="H222" s="21"/>
      <c r="I222" s="26"/>
      <c r="J222" s="15"/>
      <c r="K222" s="27"/>
      <c r="L222" s="25" t="str">
        <f aca="false">IF(B222="","",B222&amp;"|"&amp;J222)</f>
        <v/>
      </c>
    </row>
    <row r="223" customFormat="false" ht="15" hidden="false" customHeight="false" outlineLevel="0" collapsed="false">
      <c r="A223" s="15"/>
      <c r="B223" s="21"/>
      <c r="C223" s="21" t="str">
        <f aca="false">IF(B223="","",IFERROR(INDEX(代理店一覧!$B$5:$B$204,MATCH(B223,代理店一覧!$A$5:$A$204,0)),"※未登録のID"))</f>
        <v/>
      </c>
      <c r="D223" s="21"/>
      <c r="E223" s="21"/>
      <c r="F223" s="21"/>
      <c r="G223" s="18"/>
      <c r="H223" s="21"/>
      <c r="I223" s="26"/>
      <c r="J223" s="15"/>
      <c r="K223" s="27"/>
      <c r="L223" s="25" t="str">
        <f aca="false">IF(B223="","",B223&amp;"|"&amp;J223)</f>
        <v/>
      </c>
    </row>
    <row r="224" customFormat="false" ht="15" hidden="false" customHeight="false" outlineLevel="0" collapsed="false">
      <c r="A224" s="15"/>
      <c r="B224" s="21"/>
      <c r="C224" s="21" t="str">
        <f aca="false">IF(B224="","",IFERROR(INDEX(代理店一覧!$B$5:$B$204,MATCH(B224,代理店一覧!$A$5:$A$204,0)),"※未登録のID"))</f>
        <v/>
      </c>
      <c r="D224" s="21"/>
      <c r="E224" s="21"/>
      <c r="F224" s="21"/>
      <c r="G224" s="18"/>
      <c r="H224" s="21"/>
      <c r="I224" s="26"/>
      <c r="J224" s="15"/>
      <c r="K224" s="27"/>
      <c r="L224" s="25" t="str">
        <f aca="false">IF(B224="","",B224&amp;"|"&amp;J224)</f>
        <v/>
      </c>
    </row>
    <row r="225" customFormat="false" ht="15" hidden="false" customHeight="false" outlineLevel="0" collapsed="false">
      <c r="A225" s="15"/>
      <c r="B225" s="21"/>
      <c r="C225" s="21" t="str">
        <f aca="false">IF(B225="","",IFERROR(INDEX(代理店一覧!$B$5:$B$204,MATCH(B225,代理店一覧!$A$5:$A$204,0)),"※未登録のID"))</f>
        <v/>
      </c>
      <c r="D225" s="21"/>
      <c r="E225" s="21"/>
      <c r="F225" s="21"/>
      <c r="G225" s="18"/>
      <c r="H225" s="21"/>
      <c r="I225" s="26"/>
      <c r="J225" s="15"/>
      <c r="K225" s="27"/>
      <c r="L225" s="25" t="str">
        <f aca="false">IF(B225="","",B225&amp;"|"&amp;J225)</f>
        <v/>
      </c>
    </row>
    <row r="226" customFormat="false" ht="15" hidden="false" customHeight="false" outlineLevel="0" collapsed="false">
      <c r="A226" s="15"/>
      <c r="B226" s="21"/>
      <c r="C226" s="21" t="str">
        <f aca="false">IF(B226="","",IFERROR(INDEX(代理店一覧!$B$5:$B$204,MATCH(B226,代理店一覧!$A$5:$A$204,0)),"※未登録のID"))</f>
        <v/>
      </c>
      <c r="D226" s="21"/>
      <c r="E226" s="21"/>
      <c r="F226" s="21"/>
      <c r="G226" s="18"/>
      <c r="H226" s="21"/>
      <c r="I226" s="26"/>
      <c r="J226" s="15"/>
      <c r="K226" s="27"/>
      <c r="L226" s="25" t="str">
        <f aca="false">IF(B226="","",B226&amp;"|"&amp;J226)</f>
        <v/>
      </c>
    </row>
    <row r="227" customFormat="false" ht="15" hidden="false" customHeight="false" outlineLevel="0" collapsed="false">
      <c r="A227" s="15"/>
      <c r="B227" s="21"/>
      <c r="C227" s="21" t="str">
        <f aca="false">IF(B227="","",IFERROR(INDEX(代理店一覧!$B$5:$B$204,MATCH(B227,代理店一覧!$A$5:$A$204,0)),"※未登録のID"))</f>
        <v/>
      </c>
      <c r="D227" s="21"/>
      <c r="E227" s="21"/>
      <c r="F227" s="21"/>
      <c r="G227" s="18"/>
      <c r="H227" s="21"/>
      <c r="I227" s="26"/>
      <c r="J227" s="15"/>
      <c r="K227" s="27"/>
      <c r="L227" s="25" t="str">
        <f aca="false">IF(B227="","",B227&amp;"|"&amp;J227)</f>
        <v/>
      </c>
    </row>
    <row r="228" customFormat="false" ht="15" hidden="false" customHeight="false" outlineLevel="0" collapsed="false">
      <c r="A228" s="15"/>
      <c r="B228" s="21"/>
      <c r="C228" s="21" t="str">
        <f aca="false">IF(B228="","",IFERROR(INDEX(代理店一覧!$B$5:$B$204,MATCH(B228,代理店一覧!$A$5:$A$204,0)),"※未登録のID"))</f>
        <v/>
      </c>
      <c r="D228" s="21"/>
      <c r="E228" s="21"/>
      <c r="F228" s="21"/>
      <c r="G228" s="18"/>
      <c r="H228" s="21"/>
      <c r="I228" s="26"/>
      <c r="J228" s="15"/>
      <c r="K228" s="27"/>
      <c r="L228" s="25" t="str">
        <f aca="false">IF(B228="","",B228&amp;"|"&amp;J228)</f>
        <v/>
      </c>
    </row>
    <row r="229" customFormat="false" ht="15" hidden="false" customHeight="false" outlineLevel="0" collapsed="false">
      <c r="A229" s="15"/>
      <c r="B229" s="21"/>
      <c r="C229" s="21" t="str">
        <f aca="false">IF(B229="","",IFERROR(INDEX(代理店一覧!$B$5:$B$204,MATCH(B229,代理店一覧!$A$5:$A$204,0)),"※未登録のID"))</f>
        <v/>
      </c>
      <c r="D229" s="21"/>
      <c r="E229" s="21"/>
      <c r="F229" s="21"/>
      <c r="G229" s="18"/>
      <c r="H229" s="21"/>
      <c r="I229" s="26"/>
      <c r="J229" s="15"/>
      <c r="K229" s="27"/>
      <c r="L229" s="25" t="str">
        <f aca="false">IF(B229="","",B229&amp;"|"&amp;J229)</f>
        <v/>
      </c>
    </row>
    <row r="230" customFormat="false" ht="15" hidden="false" customHeight="false" outlineLevel="0" collapsed="false">
      <c r="A230" s="15"/>
      <c r="B230" s="21"/>
      <c r="C230" s="21" t="str">
        <f aca="false">IF(B230="","",IFERROR(INDEX(代理店一覧!$B$5:$B$204,MATCH(B230,代理店一覧!$A$5:$A$204,0)),"※未登録のID"))</f>
        <v/>
      </c>
      <c r="D230" s="21"/>
      <c r="E230" s="21"/>
      <c r="F230" s="21"/>
      <c r="G230" s="18"/>
      <c r="H230" s="21"/>
      <c r="I230" s="26"/>
      <c r="J230" s="15"/>
      <c r="K230" s="27"/>
      <c r="L230" s="25" t="str">
        <f aca="false">IF(B230="","",B230&amp;"|"&amp;J230)</f>
        <v/>
      </c>
    </row>
    <row r="231" customFormat="false" ht="15" hidden="false" customHeight="false" outlineLevel="0" collapsed="false">
      <c r="A231" s="15"/>
      <c r="B231" s="21"/>
      <c r="C231" s="21" t="str">
        <f aca="false">IF(B231="","",IFERROR(INDEX(代理店一覧!$B$5:$B$204,MATCH(B231,代理店一覧!$A$5:$A$204,0)),"※未登録のID"))</f>
        <v/>
      </c>
      <c r="D231" s="21"/>
      <c r="E231" s="21"/>
      <c r="F231" s="21"/>
      <c r="G231" s="18"/>
      <c r="H231" s="21"/>
      <c r="I231" s="26"/>
      <c r="J231" s="15"/>
      <c r="K231" s="27"/>
      <c r="L231" s="25" t="str">
        <f aca="false">IF(B231="","",B231&amp;"|"&amp;J231)</f>
        <v/>
      </c>
    </row>
    <row r="232" customFormat="false" ht="15" hidden="false" customHeight="false" outlineLevel="0" collapsed="false">
      <c r="A232" s="15"/>
      <c r="B232" s="21"/>
      <c r="C232" s="21" t="str">
        <f aca="false">IF(B232="","",IFERROR(INDEX(代理店一覧!$B$5:$B$204,MATCH(B232,代理店一覧!$A$5:$A$204,0)),"※未登録のID"))</f>
        <v/>
      </c>
      <c r="D232" s="21"/>
      <c r="E232" s="21"/>
      <c r="F232" s="21"/>
      <c r="G232" s="18"/>
      <c r="H232" s="21"/>
      <c r="I232" s="26"/>
      <c r="J232" s="15"/>
      <c r="K232" s="27"/>
      <c r="L232" s="25" t="str">
        <f aca="false">IF(B232="","",B232&amp;"|"&amp;J232)</f>
        <v/>
      </c>
    </row>
    <row r="233" customFormat="false" ht="15" hidden="false" customHeight="false" outlineLevel="0" collapsed="false">
      <c r="A233" s="15"/>
      <c r="B233" s="21"/>
      <c r="C233" s="21" t="str">
        <f aca="false">IF(B233="","",IFERROR(INDEX(代理店一覧!$B$5:$B$204,MATCH(B233,代理店一覧!$A$5:$A$204,0)),"※未登録のID"))</f>
        <v/>
      </c>
      <c r="D233" s="21"/>
      <c r="E233" s="21"/>
      <c r="F233" s="21"/>
      <c r="G233" s="18"/>
      <c r="H233" s="21"/>
      <c r="I233" s="26"/>
      <c r="J233" s="15"/>
      <c r="K233" s="27"/>
      <c r="L233" s="25" t="str">
        <f aca="false">IF(B233="","",B233&amp;"|"&amp;J233)</f>
        <v/>
      </c>
    </row>
    <row r="234" customFormat="false" ht="15" hidden="false" customHeight="false" outlineLevel="0" collapsed="false">
      <c r="A234" s="15"/>
      <c r="B234" s="21"/>
      <c r="C234" s="21" t="str">
        <f aca="false">IF(B234="","",IFERROR(INDEX(代理店一覧!$B$5:$B$204,MATCH(B234,代理店一覧!$A$5:$A$204,0)),"※未登録のID"))</f>
        <v/>
      </c>
      <c r="D234" s="21"/>
      <c r="E234" s="21"/>
      <c r="F234" s="21"/>
      <c r="G234" s="18"/>
      <c r="H234" s="21"/>
      <c r="I234" s="26"/>
      <c r="J234" s="15"/>
      <c r="K234" s="27"/>
      <c r="L234" s="25" t="str">
        <f aca="false">IF(B234="","",B234&amp;"|"&amp;J234)</f>
        <v/>
      </c>
    </row>
    <row r="235" customFormat="false" ht="15" hidden="false" customHeight="false" outlineLevel="0" collapsed="false">
      <c r="A235" s="15"/>
      <c r="B235" s="21"/>
      <c r="C235" s="21" t="str">
        <f aca="false">IF(B235="","",IFERROR(INDEX(代理店一覧!$B$5:$B$204,MATCH(B235,代理店一覧!$A$5:$A$204,0)),"※未登録のID"))</f>
        <v/>
      </c>
      <c r="D235" s="21"/>
      <c r="E235" s="21"/>
      <c r="F235" s="21"/>
      <c r="G235" s="18"/>
      <c r="H235" s="21"/>
      <c r="I235" s="26"/>
      <c r="J235" s="15"/>
      <c r="K235" s="27"/>
      <c r="L235" s="25" t="str">
        <f aca="false">IF(B235="","",B235&amp;"|"&amp;J235)</f>
        <v/>
      </c>
    </row>
    <row r="236" customFormat="false" ht="15" hidden="false" customHeight="false" outlineLevel="0" collapsed="false">
      <c r="A236" s="15"/>
      <c r="B236" s="21"/>
      <c r="C236" s="21" t="str">
        <f aca="false">IF(B236="","",IFERROR(INDEX(代理店一覧!$B$5:$B$204,MATCH(B236,代理店一覧!$A$5:$A$204,0)),"※未登録のID"))</f>
        <v/>
      </c>
      <c r="D236" s="21"/>
      <c r="E236" s="21"/>
      <c r="F236" s="21"/>
      <c r="G236" s="18"/>
      <c r="H236" s="21"/>
      <c r="I236" s="26"/>
      <c r="J236" s="15"/>
      <c r="K236" s="27"/>
      <c r="L236" s="25" t="str">
        <f aca="false">IF(B236="","",B236&amp;"|"&amp;J236)</f>
        <v/>
      </c>
    </row>
    <row r="237" customFormat="false" ht="15" hidden="false" customHeight="false" outlineLevel="0" collapsed="false">
      <c r="A237" s="15"/>
      <c r="B237" s="21"/>
      <c r="C237" s="21" t="str">
        <f aca="false">IF(B237="","",IFERROR(INDEX(代理店一覧!$B$5:$B$204,MATCH(B237,代理店一覧!$A$5:$A$204,0)),"※未登録のID"))</f>
        <v/>
      </c>
      <c r="D237" s="21"/>
      <c r="E237" s="21"/>
      <c r="F237" s="21"/>
      <c r="G237" s="18"/>
      <c r="H237" s="21"/>
      <c r="I237" s="26"/>
      <c r="J237" s="15"/>
      <c r="K237" s="27"/>
      <c r="L237" s="25" t="str">
        <f aca="false">IF(B237="","",B237&amp;"|"&amp;J237)</f>
        <v/>
      </c>
    </row>
    <row r="238" customFormat="false" ht="15" hidden="false" customHeight="false" outlineLevel="0" collapsed="false">
      <c r="A238" s="15"/>
      <c r="B238" s="21"/>
      <c r="C238" s="21" t="str">
        <f aca="false">IF(B238="","",IFERROR(INDEX(代理店一覧!$B$5:$B$204,MATCH(B238,代理店一覧!$A$5:$A$204,0)),"※未登録のID"))</f>
        <v/>
      </c>
      <c r="D238" s="21"/>
      <c r="E238" s="21"/>
      <c r="F238" s="21"/>
      <c r="G238" s="18"/>
      <c r="H238" s="21"/>
      <c r="I238" s="26"/>
      <c r="J238" s="15"/>
      <c r="K238" s="27"/>
      <c r="L238" s="25" t="str">
        <f aca="false">IF(B238="","",B238&amp;"|"&amp;J238)</f>
        <v/>
      </c>
    </row>
    <row r="239" customFormat="false" ht="15" hidden="false" customHeight="false" outlineLevel="0" collapsed="false">
      <c r="A239" s="15"/>
      <c r="B239" s="21"/>
      <c r="C239" s="21" t="str">
        <f aca="false">IF(B239="","",IFERROR(INDEX(代理店一覧!$B$5:$B$204,MATCH(B239,代理店一覧!$A$5:$A$204,0)),"※未登録のID"))</f>
        <v/>
      </c>
      <c r="D239" s="21"/>
      <c r="E239" s="21"/>
      <c r="F239" s="21"/>
      <c r="G239" s="18"/>
      <c r="H239" s="21"/>
      <c r="I239" s="26"/>
      <c r="J239" s="15"/>
      <c r="K239" s="27"/>
      <c r="L239" s="25" t="str">
        <f aca="false">IF(B239="","",B239&amp;"|"&amp;J239)</f>
        <v/>
      </c>
    </row>
    <row r="240" customFormat="false" ht="15" hidden="false" customHeight="false" outlineLevel="0" collapsed="false">
      <c r="A240" s="15"/>
      <c r="B240" s="21"/>
      <c r="C240" s="21" t="str">
        <f aca="false">IF(B240="","",IFERROR(INDEX(代理店一覧!$B$5:$B$204,MATCH(B240,代理店一覧!$A$5:$A$204,0)),"※未登録のID"))</f>
        <v/>
      </c>
      <c r="D240" s="21"/>
      <c r="E240" s="21"/>
      <c r="F240" s="21"/>
      <c r="G240" s="18"/>
      <c r="H240" s="21"/>
      <c r="I240" s="26"/>
      <c r="J240" s="15"/>
      <c r="K240" s="27"/>
      <c r="L240" s="25" t="str">
        <f aca="false">IF(B240="","",B240&amp;"|"&amp;J240)</f>
        <v/>
      </c>
    </row>
    <row r="241" customFormat="false" ht="15" hidden="false" customHeight="false" outlineLevel="0" collapsed="false">
      <c r="A241" s="15"/>
      <c r="B241" s="21"/>
      <c r="C241" s="21" t="str">
        <f aca="false">IF(B241="","",IFERROR(INDEX(代理店一覧!$B$5:$B$204,MATCH(B241,代理店一覧!$A$5:$A$204,0)),"※未登録のID"))</f>
        <v/>
      </c>
      <c r="D241" s="21"/>
      <c r="E241" s="21"/>
      <c r="F241" s="21"/>
      <c r="G241" s="18"/>
      <c r="H241" s="21"/>
      <c r="I241" s="26"/>
      <c r="J241" s="15"/>
      <c r="K241" s="27"/>
      <c r="L241" s="25" t="str">
        <f aca="false">IF(B241="","",B241&amp;"|"&amp;J241)</f>
        <v/>
      </c>
    </row>
    <row r="242" customFormat="false" ht="15" hidden="false" customHeight="false" outlineLevel="0" collapsed="false">
      <c r="A242" s="15"/>
      <c r="B242" s="21"/>
      <c r="C242" s="21" t="str">
        <f aca="false">IF(B242="","",IFERROR(INDEX(代理店一覧!$B$5:$B$204,MATCH(B242,代理店一覧!$A$5:$A$204,0)),"※未登録のID"))</f>
        <v/>
      </c>
      <c r="D242" s="21"/>
      <c r="E242" s="21"/>
      <c r="F242" s="21"/>
      <c r="G242" s="18"/>
      <c r="H242" s="21"/>
      <c r="I242" s="26"/>
      <c r="J242" s="15"/>
      <c r="K242" s="27"/>
      <c r="L242" s="25" t="str">
        <f aca="false">IF(B242="","",B242&amp;"|"&amp;J242)</f>
        <v/>
      </c>
    </row>
    <row r="243" customFormat="false" ht="15" hidden="false" customHeight="false" outlineLevel="0" collapsed="false">
      <c r="A243" s="15"/>
      <c r="B243" s="21"/>
      <c r="C243" s="21" t="str">
        <f aca="false">IF(B243="","",IFERROR(INDEX(代理店一覧!$B$5:$B$204,MATCH(B243,代理店一覧!$A$5:$A$204,0)),"※未登録のID"))</f>
        <v/>
      </c>
      <c r="D243" s="21"/>
      <c r="E243" s="21"/>
      <c r="F243" s="21"/>
      <c r="G243" s="18"/>
      <c r="H243" s="21"/>
      <c r="I243" s="26"/>
      <c r="J243" s="15"/>
      <c r="K243" s="27"/>
      <c r="L243" s="25" t="str">
        <f aca="false">IF(B243="","",B243&amp;"|"&amp;J243)</f>
        <v/>
      </c>
    </row>
    <row r="244" customFormat="false" ht="15" hidden="false" customHeight="false" outlineLevel="0" collapsed="false">
      <c r="A244" s="15"/>
      <c r="B244" s="21"/>
      <c r="C244" s="21" t="str">
        <f aca="false">IF(B244="","",IFERROR(INDEX(代理店一覧!$B$5:$B$204,MATCH(B244,代理店一覧!$A$5:$A$204,0)),"※未登録のID"))</f>
        <v/>
      </c>
      <c r="D244" s="21"/>
      <c r="E244" s="21"/>
      <c r="F244" s="21"/>
      <c r="G244" s="18"/>
      <c r="H244" s="21"/>
      <c r="I244" s="26"/>
      <c r="J244" s="15"/>
      <c r="K244" s="27"/>
      <c r="L244" s="25" t="str">
        <f aca="false">IF(B244="","",B244&amp;"|"&amp;J244)</f>
        <v/>
      </c>
    </row>
    <row r="245" customFormat="false" ht="15" hidden="false" customHeight="false" outlineLevel="0" collapsed="false">
      <c r="A245" s="15"/>
      <c r="B245" s="21"/>
      <c r="C245" s="21" t="str">
        <f aca="false">IF(B245="","",IFERROR(INDEX(代理店一覧!$B$5:$B$204,MATCH(B245,代理店一覧!$A$5:$A$204,0)),"※未登録のID"))</f>
        <v/>
      </c>
      <c r="D245" s="21"/>
      <c r="E245" s="21"/>
      <c r="F245" s="21"/>
      <c r="G245" s="18"/>
      <c r="H245" s="21"/>
      <c r="I245" s="26"/>
      <c r="J245" s="15"/>
      <c r="K245" s="27"/>
      <c r="L245" s="25" t="str">
        <f aca="false">IF(B245="","",B245&amp;"|"&amp;J245)</f>
        <v/>
      </c>
    </row>
    <row r="246" customFormat="false" ht="15" hidden="false" customHeight="false" outlineLevel="0" collapsed="false">
      <c r="A246" s="15"/>
      <c r="B246" s="21"/>
      <c r="C246" s="21" t="str">
        <f aca="false">IF(B246="","",IFERROR(INDEX(代理店一覧!$B$5:$B$204,MATCH(B246,代理店一覧!$A$5:$A$204,0)),"※未登録のID"))</f>
        <v/>
      </c>
      <c r="D246" s="21"/>
      <c r="E246" s="21"/>
      <c r="F246" s="21"/>
      <c r="G246" s="18"/>
      <c r="H246" s="21"/>
      <c r="I246" s="26"/>
      <c r="J246" s="15"/>
      <c r="K246" s="27"/>
      <c r="L246" s="25" t="str">
        <f aca="false">IF(B246="","",B246&amp;"|"&amp;J246)</f>
        <v/>
      </c>
    </row>
    <row r="247" customFormat="false" ht="15" hidden="false" customHeight="false" outlineLevel="0" collapsed="false">
      <c r="A247" s="15"/>
      <c r="B247" s="21"/>
      <c r="C247" s="21" t="str">
        <f aca="false">IF(B247="","",IFERROR(INDEX(代理店一覧!$B$5:$B$204,MATCH(B247,代理店一覧!$A$5:$A$204,0)),"※未登録のID"))</f>
        <v/>
      </c>
      <c r="D247" s="21"/>
      <c r="E247" s="21"/>
      <c r="F247" s="21"/>
      <c r="G247" s="18"/>
      <c r="H247" s="21"/>
      <c r="I247" s="26"/>
      <c r="J247" s="15"/>
      <c r="K247" s="27"/>
      <c r="L247" s="25" t="str">
        <f aca="false">IF(B247="","",B247&amp;"|"&amp;J247)</f>
        <v/>
      </c>
    </row>
    <row r="248" customFormat="false" ht="15" hidden="false" customHeight="false" outlineLevel="0" collapsed="false">
      <c r="A248" s="15"/>
      <c r="B248" s="21"/>
      <c r="C248" s="21" t="str">
        <f aca="false">IF(B248="","",IFERROR(INDEX(代理店一覧!$B$5:$B$204,MATCH(B248,代理店一覧!$A$5:$A$204,0)),"※未登録のID"))</f>
        <v/>
      </c>
      <c r="D248" s="21"/>
      <c r="E248" s="21"/>
      <c r="F248" s="21"/>
      <c r="G248" s="18"/>
      <c r="H248" s="21"/>
      <c r="I248" s="26"/>
      <c r="J248" s="15"/>
      <c r="K248" s="27"/>
      <c r="L248" s="25" t="str">
        <f aca="false">IF(B248="","",B248&amp;"|"&amp;J248)</f>
        <v/>
      </c>
    </row>
    <row r="249" customFormat="false" ht="15" hidden="false" customHeight="false" outlineLevel="0" collapsed="false">
      <c r="A249" s="15"/>
      <c r="B249" s="21"/>
      <c r="C249" s="21" t="str">
        <f aca="false">IF(B249="","",IFERROR(INDEX(代理店一覧!$B$5:$B$204,MATCH(B249,代理店一覧!$A$5:$A$204,0)),"※未登録のID"))</f>
        <v/>
      </c>
      <c r="D249" s="21"/>
      <c r="E249" s="21"/>
      <c r="F249" s="21"/>
      <c r="G249" s="18"/>
      <c r="H249" s="21"/>
      <c r="I249" s="26"/>
      <c r="J249" s="15"/>
      <c r="K249" s="27"/>
      <c r="L249" s="25" t="str">
        <f aca="false">IF(B249="","",B249&amp;"|"&amp;J249)</f>
        <v/>
      </c>
    </row>
    <row r="250" customFormat="false" ht="15" hidden="false" customHeight="false" outlineLevel="0" collapsed="false">
      <c r="A250" s="15"/>
      <c r="B250" s="21"/>
      <c r="C250" s="21" t="str">
        <f aca="false">IF(B250="","",IFERROR(INDEX(代理店一覧!$B$5:$B$204,MATCH(B250,代理店一覧!$A$5:$A$204,0)),"※未登録のID"))</f>
        <v/>
      </c>
      <c r="D250" s="21"/>
      <c r="E250" s="21"/>
      <c r="F250" s="21"/>
      <c r="G250" s="18"/>
      <c r="H250" s="21"/>
      <c r="I250" s="26"/>
      <c r="J250" s="15"/>
      <c r="K250" s="27"/>
      <c r="L250" s="25" t="str">
        <f aca="false">IF(B250="","",B250&amp;"|"&amp;J250)</f>
        <v/>
      </c>
    </row>
    <row r="251" customFormat="false" ht="15" hidden="false" customHeight="false" outlineLevel="0" collapsed="false">
      <c r="A251" s="15"/>
      <c r="B251" s="21"/>
      <c r="C251" s="21" t="str">
        <f aca="false">IF(B251="","",IFERROR(INDEX(代理店一覧!$B$5:$B$204,MATCH(B251,代理店一覧!$A$5:$A$204,0)),"※未登録のID"))</f>
        <v/>
      </c>
      <c r="D251" s="21"/>
      <c r="E251" s="21"/>
      <c r="F251" s="21"/>
      <c r="G251" s="18"/>
      <c r="H251" s="21"/>
      <c r="I251" s="26"/>
      <c r="J251" s="15"/>
      <c r="K251" s="27"/>
      <c r="L251" s="25" t="str">
        <f aca="false">IF(B251="","",B251&amp;"|"&amp;J251)</f>
        <v/>
      </c>
    </row>
    <row r="252" customFormat="false" ht="15" hidden="false" customHeight="false" outlineLevel="0" collapsed="false">
      <c r="A252" s="15"/>
      <c r="B252" s="21"/>
      <c r="C252" s="21" t="str">
        <f aca="false">IF(B252="","",IFERROR(INDEX(代理店一覧!$B$5:$B$204,MATCH(B252,代理店一覧!$A$5:$A$204,0)),"※未登録のID"))</f>
        <v/>
      </c>
      <c r="D252" s="21"/>
      <c r="E252" s="21"/>
      <c r="F252" s="21"/>
      <c r="G252" s="18"/>
      <c r="H252" s="21"/>
      <c r="I252" s="26"/>
      <c r="J252" s="15"/>
      <c r="K252" s="27"/>
      <c r="L252" s="25" t="str">
        <f aca="false">IF(B252="","",B252&amp;"|"&amp;J252)</f>
        <v/>
      </c>
    </row>
    <row r="253" customFormat="false" ht="15" hidden="false" customHeight="false" outlineLevel="0" collapsed="false">
      <c r="A253" s="15"/>
      <c r="B253" s="21"/>
      <c r="C253" s="21" t="str">
        <f aca="false">IF(B253="","",IFERROR(INDEX(代理店一覧!$B$5:$B$204,MATCH(B253,代理店一覧!$A$5:$A$204,0)),"※未登録のID"))</f>
        <v/>
      </c>
      <c r="D253" s="21"/>
      <c r="E253" s="21"/>
      <c r="F253" s="21"/>
      <c r="G253" s="18"/>
      <c r="H253" s="21"/>
      <c r="I253" s="26"/>
      <c r="J253" s="15"/>
      <c r="K253" s="27"/>
      <c r="L253" s="25" t="str">
        <f aca="false">IF(B253="","",B253&amp;"|"&amp;J253)</f>
        <v/>
      </c>
    </row>
    <row r="254" customFormat="false" ht="15" hidden="false" customHeight="false" outlineLevel="0" collapsed="false">
      <c r="A254" s="15"/>
      <c r="B254" s="21"/>
      <c r="C254" s="21" t="str">
        <f aca="false">IF(B254="","",IFERROR(INDEX(代理店一覧!$B$5:$B$204,MATCH(B254,代理店一覧!$A$5:$A$204,0)),"※未登録のID"))</f>
        <v/>
      </c>
      <c r="D254" s="21"/>
      <c r="E254" s="21"/>
      <c r="F254" s="21"/>
      <c r="G254" s="18"/>
      <c r="H254" s="21"/>
      <c r="I254" s="26"/>
      <c r="J254" s="15"/>
      <c r="K254" s="27"/>
      <c r="L254" s="25" t="str">
        <f aca="false">IF(B254="","",B254&amp;"|"&amp;J254)</f>
        <v/>
      </c>
    </row>
    <row r="255" customFormat="false" ht="15" hidden="false" customHeight="false" outlineLevel="0" collapsed="false">
      <c r="A255" s="15"/>
      <c r="B255" s="21"/>
      <c r="C255" s="21" t="str">
        <f aca="false">IF(B255="","",IFERROR(INDEX(代理店一覧!$B$5:$B$204,MATCH(B255,代理店一覧!$A$5:$A$204,0)),"※未登録のID"))</f>
        <v/>
      </c>
      <c r="D255" s="21"/>
      <c r="E255" s="21"/>
      <c r="F255" s="21"/>
      <c r="G255" s="18"/>
      <c r="H255" s="21"/>
      <c r="I255" s="26"/>
      <c r="J255" s="15"/>
      <c r="K255" s="27"/>
      <c r="L255" s="25" t="str">
        <f aca="false">IF(B255="","",B255&amp;"|"&amp;J255)</f>
        <v/>
      </c>
    </row>
    <row r="256" customFormat="false" ht="15" hidden="false" customHeight="false" outlineLevel="0" collapsed="false">
      <c r="A256" s="15"/>
      <c r="B256" s="21"/>
      <c r="C256" s="21" t="str">
        <f aca="false">IF(B256="","",IFERROR(INDEX(代理店一覧!$B$5:$B$204,MATCH(B256,代理店一覧!$A$5:$A$204,0)),"※未登録のID"))</f>
        <v/>
      </c>
      <c r="D256" s="21"/>
      <c r="E256" s="21"/>
      <c r="F256" s="21"/>
      <c r="G256" s="18"/>
      <c r="H256" s="21"/>
      <c r="I256" s="26"/>
      <c r="J256" s="15"/>
      <c r="K256" s="27"/>
      <c r="L256" s="25" t="str">
        <f aca="false">IF(B256="","",B256&amp;"|"&amp;J256)</f>
        <v/>
      </c>
    </row>
    <row r="257" customFormat="false" ht="15" hidden="false" customHeight="false" outlineLevel="0" collapsed="false">
      <c r="A257" s="15"/>
      <c r="B257" s="21"/>
      <c r="C257" s="21" t="str">
        <f aca="false">IF(B257="","",IFERROR(INDEX(代理店一覧!$B$5:$B$204,MATCH(B257,代理店一覧!$A$5:$A$204,0)),"※未登録のID"))</f>
        <v/>
      </c>
      <c r="D257" s="21"/>
      <c r="E257" s="21"/>
      <c r="F257" s="21"/>
      <c r="G257" s="18"/>
      <c r="H257" s="21"/>
      <c r="I257" s="26"/>
      <c r="J257" s="15"/>
      <c r="K257" s="27"/>
      <c r="L257" s="25" t="str">
        <f aca="false">IF(B257="","",B257&amp;"|"&amp;J257)</f>
        <v/>
      </c>
    </row>
    <row r="258" customFormat="false" ht="15" hidden="false" customHeight="false" outlineLevel="0" collapsed="false">
      <c r="A258" s="15"/>
      <c r="B258" s="21"/>
      <c r="C258" s="21" t="str">
        <f aca="false">IF(B258="","",IFERROR(INDEX(代理店一覧!$B$5:$B$204,MATCH(B258,代理店一覧!$A$5:$A$204,0)),"※未登録のID"))</f>
        <v/>
      </c>
      <c r="D258" s="21"/>
      <c r="E258" s="21"/>
      <c r="F258" s="21"/>
      <c r="G258" s="18"/>
      <c r="H258" s="21"/>
      <c r="I258" s="26"/>
      <c r="J258" s="15"/>
      <c r="K258" s="27"/>
      <c r="L258" s="25" t="str">
        <f aca="false">IF(B258="","",B258&amp;"|"&amp;J258)</f>
        <v/>
      </c>
    </row>
    <row r="259" customFormat="false" ht="15" hidden="false" customHeight="false" outlineLevel="0" collapsed="false">
      <c r="A259" s="15"/>
      <c r="B259" s="21"/>
      <c r="C259" s="21" t="str">
        <f aca="false">IF(B259="","",IFERROR(INDEX(代理店一覧!$B$5:$B$204,MATCH(B259,代理店一覧!$A$5:$A$204,0)),"※未登録のID"))</f>
        <v/>
      </c>
      <c r="D259" s="21"/>
      <c r="E259" s="21"/>
      <c r="F259" s="21"/>
      <c r="G259" s="18"/>
      <c r="H259" s="21"/>
      <c r="I259" s="26"/>
      <c r="J259" s="15"/>
      <c r="K259" s="27"/>
      <c r="L259" s="25" t="str">
        <f aca="false">IF(B259="","",B259&amp;"|"&amp;J259)</f>
        <v/>
      </c>
    </row>
    <row r="260" customFormat="false" ht="15" hidden="false" customHeight="false" outlineLevel="0" collapsed="false">
      <c r="A260" s="15"/>
      <c r="B260" s="21"/>
      <c r="C260" s="21" t="str">
        <f aca="false">IF(B260="","",IFERROR(INDEX(代理店一覧!$B$5:$B$204,MATCH(B260,代理店一覧!$A$5:$A$204,0)),"※未登録のID"))</f>
        <v/>
      </c>
      <c r="D260" s="21"/>
      <c r="E260" s="21"/>
      <c r="F260" s="21"/>
      <c r="G260" s="18"/>
      <c r="H260" s="21"/>
      <c r="I260" s="26"/>
      <c r="J260" s="15"/>
      <c r="K260" s="27"/>
      <c r="L260" s="25" t="str">
        <f aca="false">IF(B260="","",B260&amp;"|"&amp;J260)</f>
        <v/>
      </c>
    </row>
    <row r="261" customFormat="false" ht="15" hidden="false" customHeight="false" outlineLevel="0" collapsed="false">
      <c r="A261" s="15"/>
      <c r="B261" s="21"/>
      <c r="C261" s="21" t="str">
        <f aca="false">IF(B261="","",IFERROR(INDEX(代理店一覧!$B$5:$B$204,MATCH(B261,代理店一覧!$A$5:$A$204,0)),"※未登録のID"))</f>
        <v/>
      </c>
      <c r="D261" s="21"/>
      <c r="E261" s="21"/>
      <c r="F261" s="21"/>
      <c r="G261" s="18"/>
      <c r="H261" s="21"/>
      <c r="I261" s="26"/>
      <c r="J261" s="15"/>
      <c r="K261" s="27"/>
      <c r="L261" s="25" t="str">
        <f aca="false">IF(B261="","",B261&amp;"|"&amp;J261)</f>
        <v/>
      </c>
    </row>
    <row r="262" customFormat="false" ht="15" hidden="false" customHeight="false" outlineLevel="0" collapsed="false">
      <c r="A262" s="15"/>
      <c r="B262" s="21"/>
      <c r="C262" s="21" t="str">
        <f aca="false">IF(B262="","",IFERROR(INDEX(代理店一覧!$B$5:$B$204,MATCH(B262,代理店一覧!$A$5:$A$204,0)),"※未登録のID"))</f>
        <v/>
      </c>
      <c r="D262" s="21"/>
      <c r="E262" s="21"/>
      <c r="F262" s="21"/>
      <c r="G262" s="18"/>
      <c r="H262" s="21"/>
      <c r="I262" s="26"/>
      <c r="J262" s="15"/>
      <c r="K262" s="27"/>
      <c r="L262" s="25" t="str">
        <f aca="false">IF(B262="","",B262&amp;"|"&amp;J262)</f>
        <v/>
      </c>
    </row>
    <row r="263" customFormat="false" ht="15" hidden="false" customHeight="false" outlineLevel="0" collapsed="false">
      <c r="A263" s="15"/>
      <c r="B263" s="21"/>
      <c r="C263" s="21" t="str">
        <f aca="false">IF(B263="","",IFERROR(INDEX(代理店一覧!$B$5:$B$204,MATCH(B263,代理店一覧!$A$5:$A$204,0)),"※未登録のID"))</f>
        <v/>
      </c>
      <c r="D263" s="21"/>
      <c r="E263" s="21"/>
      <c r="F263" s="21"/>
      <c r="G263" s="18"/>
      <c r="H263" s="21"/>
      <c r="I263" s="26"/>
      <c r="J263" s="15"/>
      <c r="K263" s="27"/>
      <c r="L263" s="25" t="str">
        <f aca="false">IF(B263="","",B263&amp;"|"&amp;J263)</f>
        <v/>
      </c>
    </row>
    <row r="264" customFormat="false" ht="15" hidden="false" customHeight="false" outlineLevel="0" collapsed="false">
      <c r="A264" s="15"/>
      <c r="B264" s="21"/>
      <c r="C264" s="21" t="str">
        <f aca="false">IF(B264="","",IFERROR(INDEX(代理店一覧!$B$5:$B$204,MATCH(B264,代理店一覧!$A$5:$A$204,0)),"※未登録のID"))</f>
        <v/>
      </c>
      <c r="D264" s="21"/>
      <c r="E264" s="21"/>
      <c r="F264" s="21"/>
      <c r="G264" s="18"/>
      <c r="H264" s="21"/>
      <c r="I264" s="26"/>
      <c r="J264" s="15"/>
      <c r="K264" s="27"/>
      <c r="L264" s="25" t="str">
        <f aca="false">IF(B264="","",B264&amp;"|"&amp;J264)</f>
        <v/>
      </c>
    </row>
    <row r="265" customFormat="false" ht="15" hidden="false" customHeight="false" outlineLevel="0" collapsed="false">
      <c r="A265" s="15"/>
      <c r="B265" s="21"/>
      <c r="C265" s="21" t="str">
        <f aca="false">IF(B265="","",IFERROR(INDEX(代理店一覧!$B$5:$B$204,MATCH(B265,代理店一覧!$A$5:$A$204,0)),"※未登録のID"))</f>
        <v/>
      </c>
      <c r="D265" s="21"/>
      <c r="E265" s="21"/>
      <c r="F265" s="21"/>
      <c r="G265" s="18"/>
      <c r="H265" s="21"/>
      <c r="I265" s="26"/>
      <c r="J265" s="15"/>
      <c r="K265" s="27"/>
      <c r="L265" s="25" t="str">
        <f aca="false">IF(B265="","",B265&amp;"|"&amp;J265)</f>
        <v/>
      </c>
    </row>
    <row r="266" customFormat="false" ht="15" hidden="false" customHeight="false" outlineLevel="0" collapsed="false">
      <c r="A266" s="15"/>
      <c r="B266" s="21"/>
      <c r="C266" s="21" t="str">
        <f aca="false">IF(B266="","",IFERROR(INDEX(代理店一覧!$B$5:$B$204,MATCH(B266,代理店一覧!$A$5:$A$204,0)),"※未登録のID"))</f>
        <v/>
      </c>
      <c r="D266" s="21"/>
      <c r="E266" s="21"/>
      <c r="F266" s="21"/>
      <c r="G266" s="18"/>
      <c r="H266" s="21"/>
      <c r="I266" s="26"/>
      <c r="J266" s="15"/>
      <c r="K266" s="27"/>
      <c r="L266" s="25" t="str">
        <f aca="false">IF(B266="","",B266&amp;"|"&amp;J266)</f>
        <v/>
      </c>
    </row>
    <row r="267" customFormat="false" ht="15" hidden="false" customHeight="false" outlineLevel="0" collapsed="false">
      <c r="A267" s="15"/>
      <c r="B267" s="21"/>
      <c r="C267" s="21" t="str">
        <f aca="false">IF(B267="","",IFERROR(INDEX(代理店一覧!$B$5:$B$204,MATCH(B267,代理店一覧!$A$5:$A$204,0)),"※未登録のID"))</f>
        <v/>
      </c>
      <c r="D267" s="21"/>
      <c r="E267" s="21"/>
      <c r="F267" s="21"/>
      <c r="G267" s="18"/>
      <c r="H267" s="21"/>
      <c r="I267" s="26"/>
      <c r="J267" s="15"/>
      <c r="K267" s="27"/>
      <c r="L267" s="25" t="str">
        <f aca="false">IF(B267="","",B267&amp;"|"&amp;J267)</f>
        <v/>
      </c>
    </row>
    <row r="268" customFormat="false" ht="15" hidden="false" customHeight="false" outlineLevel="0" collapsed="false">
      <c r="A268" s="15"/>
      <c r="B268" s="21"/>
      <c r="C268" s="21" t="str">
        <f aca="false">IF(B268="","",IFERROR(INDEX(代理店一覧!$B$5:$B$204,MATCH(B268,代理店一覧!$A$5:$A$204,0)),"※未登録のID"))</f>
        <v/>
      </c>
      <c r="D268" s="21"/>
      <c r="E268" s="21"/>
      <c r="F268" s="21"/>
      <c r="G268" s="18"/>
      <c r="H268" s="21"/>
      <c r="I268" s="26"/>
      <c r="J268" s="15"/>
      <c r="K268" s="27"/>
      <c r="L268" s="25" t="str">
        <f aca="false">IF(B268="","",B268&amp;"|"&amp;J268)</f>
        <v/>
      </c>
    </row>
    <row r="269" customFormat="false" ht="15" hidden="false" customHeight="false" outlineLevel="0" collapsed="false">
      <c r="A269" s="15"/>
      <c r="B269" s="21"/>
      <c r="C269" s="21" t="str">
        <f aca="false">IF(B269="","",IFERROR(INDEX(代理店一覧!$B$5:$B$204,MATCH(B269,代理店一覧!$A$5:$A$204,0)),"※未登録のID"))</f>
        <v/>
      </c>
      <c r="D269" s="21"/>
      <c r="E269" s="21"/>
      <c r="F269" s="21"/>
      <c r="G269" s="18"/>
      <c r="H269" s="21"/>
      <c r="I269" s="26"/>
      <c r="J269" s="15"/>
      <c r="K269" s="27"/>
      <c r="L269" s="25" t="str">
        <f aca="false">IF(B269="","",B269&amp;"|"&amp;J269)</f>
        <v/>
      </c>
    </row>
    <row r="270" customFormat="false" ht="15" hidden="false" customHeight="false" outlineLevel="0" collapsed="false">
      <c r="A270" s="15"/>
      <c r="B270" s="21"/>
      <c r="C270" s="21" t="str">
        <f aca="false">IF(B270="","",IFERROR(INDEX(代理店一覧!$B$5:$B$204,MATCH(B270,代理店一覧!$A$5:$A$204,0)),"※未登録のID"))</f>
        <v/>
      </c>
      <c r="D270" s="21"/>
      <c r="E270" s="21"/>
      <c r="F270" s="21"/>
      <c r="G270" s="18"/>
      <c r="H270" s="21"/>
      <c r="I270" s="26"/>
      <c r="J270" s="15"/>
      <c r="K270" s="27"/>
      <c r="L270" s="25" t="str">
        <f aca="false">IF(B270="","",B270&amp;"|"&amp;J270)</f>
        <v/>
      </c>
    </row>
    <row r="271" customFormat="false" ht="15" hidden="false" customHeight="false" outlineLevel="0" collapsed="false">
      <c r="A271" s="15"/>
      <c r="B271" s="21"/>
      <c r="C271" s="21" t="str">
        <f aca="false">IF(B271="","",IFERROR(INDEX(代理店一覧!$B$5:$B$204,MATCH(B271,代理店一覧!$A$5:$A$204,0)),"※未登録のID"))</f>
        <v/>
      </c>
      <c r="D271" s="21"/>
      <c r="E271" s="21"/>
      <c r="F271" s="21"/>
      <c r="G271" s="18"/>
      <c r="H271" s="21"/>
      <c r="I271" s="26"/>
      <c r="J271" s="15"/>
      <c r="K271" s="27"/>
      <c r="L271" s="25" t="str">
        <f aca="false">IF(B271="","",B271&amp;"|"&amp;J271)</f>
        <v/>
      </c>
    </row>
    <row r="272" customFormat="false" ht="15" hidden="false" customHeight="false" outlineLevel="0" collapsed="false">
      <c r="A272" s="15"/>
      <c r="B272" s="21"/>
      <c r="C272" s="21" t="str">
        <f aca="false">IF(B272="","",IFERROR(INDEX(代理店一覧!$B$5:$B$204,MATCH(B272,代理店一覧!$A$5:$A$204,0)),"※未登録のID"))</f>
        <v/>
      </c>
      <c r="D272" s="21"/>
      <c r="E272" s="21"/>
      <c r="F272" s="21"/>
      <c r="G272" s="18"/>
      <c r="H272" s="21"/>
      <c r="I272" s="26"/>
      <c r="J272" s="15"/>
      <c r="K272" s="27"/>
      <c r="L272" s="25" t="str">
        <f aca="false">IF(B272="","",B272&amp;"|"&amp;J272)</f>
        <v/>
      </c>
    </row>
    <row r="273" customFormat="false" ht="15" hidden="false" customHeight="false" outlineLevel="0" collapsed="false">
      <c r="A273" s="15"/>
      <c r="B273" s="21"/>
      <c r="C273" s="21" t="str">
        <f aca="false">IF(B273="","",IFERROR(INDEX(代理店一覧!$B$5:$B$204,MATCH(B273,代理店一覧!$A$5:$A$204,0)),"※未登録のID"))</f>
        <v/>
      </c>
      <c r="D273" s="21"/>
      <c r="E273" s="21"/>
      <c r="F273" s="21"/>
      <c r="G273" s="18"/>
      <c r="H273" s="21"/>
      <c r="I273" s="26"/>
      <c r="J273" s="15"/>
      <c r="K273" s="27"/>
      <c r="L273" s="25" t="str">
        <f aca="false">IF(B273="","",B273&amp;"|"&amp;J273)</f>
        <v/>
      </c>
    </row>
    <row r="274" customFormat="false" ht="15" hidden="false" customHeight="false" outlineLevel="0" collapsed="false">
      <c r="A274" s="15"/>
      <c r="B274" s="21"/>
      <c r="C274" s="21" t="str">
        <f aca="false">IF(B274="","",IFERROR(INDEX(代理店一覧!$B$5:$B$204,MATCH(B274,代理店一覧!$A$5:$A$204,0)),"※未登録のID"))</f>
        <v/>
      </c>
      <c r="D274" s="21"/>
      <c r="E274" s="21"/>
      <c r="F274" s="21"/>
      <c r="G274" s="18"/>
      <c r="H274" s="21"/>
      <c r="I274" s="26"/>
      <c r="J274" s="15"/>
      <c r="K274" s="27"/>
      <c r="L274" s="25" t="str">
        <f aca="false">IF(B274="","",B274&amp;"|"&amp;J274)</f>
        <v/>
      </c>
    </row>
    <row r="275" customFormat="false" ht="15" hidden="false" customHeight="false" outlineLevel="0" collapsed="false">
      <c r="A275" s="15"/>
      <c r="B275" s="21"/>
      <c r="C275" s="21" t="str">
        <f aca="false">IF(B275="","",IFERROR(INDEX(代理店一覧!$B$5:$B$204,MATCH(B275,代理店一覧!$A$5:$A$204,0)),"※未登録のID"))</f>
        <v/>
      </c>
      <c r="D275" s="21"/>
      <c r="E275" s="21"/>
      <c r="F275" s="21"/>
      <c r="G275" s="18"/>
      <c r="H275" s="21"/>
      <c r="I275" s="26"/>
      <c r="J275" s="15"/>
      <c r="K275" s="27"/>
      <c r="L275" s="25" t="str">
        <f aca="false">IF(B275="","",B275&amp;"|"&amp;J275)</f>
        <v/>
      </c>
    </row>
    <row r="276" customFormat="false" ht="15" hidden="false" customHeight="false" outlineLevel="0" collapsed="false">
      <c r="A276" s="15"/>
      <c r="B276" s="21"/>
      <c r="C276" s="21" t="str">
        <f aca="false">IF(B276="","",IFERROR(INDEX(代理店一覧!$B$5:$B$204,MATCH(B276,代理店一覧!$A$5:$A$204,0)),"※未登録のID"))</f>
        <v/>
      </c>
      <c r="D276" s="21"/>
      <c r="E276" s="21"/>
      <c r="F276" s="21"/>
      <c r="G276" s="18"/>
      <c r="H276" s="21"/>
      <c r="I276" s="26"/>
      <c r="J276" s="15"/>
      <c r="K276" s="27"/>
      <c r="L276" s="25" t="str">
        <f aca="false">IF(B276="","",B276&amp;"|"&amp;J276)</f>
        <v/>
      </c>
    </row>
    <row r="277" customFormat="false" ht="15" hidden="false" customHeight="false" outlineLevel="0" collapsed="false">
      <c r="A277" s="15"/>
      <c r="B277" s="21"/>
      <c r="C277" s="21" t="str">
        <f aca="false">IF(B277="","",IFERROR(INDEX(代理店一覧!$B$5:$B$204,MATCH(B277,代理店一覧!$A$5:$A$204,0)),"※未登録のID"))</f>
        <v/>
      </c>
      <c r="D277" s="21"/>
      <c r="E277" s="21"/>
      <c r="F277" s="21"/>
      <c r="G277" s="18"/>
      <c r="H277" s="21"/>
      <c r="I277" s="26"/>
      <c r="J277" s="15"/>
      <c r="K277" s="27"/>
      <c r="L277" s="25" t="str">
        <f aca="false">IF(B277="","",B277&amp;"|"&amp;J277)</f>
        <v/>
      </c>
    </row>
    <row r="278" customFormat="false" ht="15" hidden="false" customHeight="false" outlineLevel="0" collapsed="false">
      <c r="A278" s="15"/>
      <c r="B278" s="21"/>
      <c r="C278" s="21" t="str">
        <f aca="false">IF(B278="","",IFERROR(INDEX(代理店一覧!$B$5:$B$204,MATCH(B278,代理店一覧!$A$5:$A$204,0)),"※未登録のID"))</f>
        <v/>
      </c>
      <c r="D278" s="21"/>
      <c r="E278" s="21"/>
      <c r="F278" s="21"/>
      <c r="G278" s="18"/>
      <c r="H278" s="21"/>
      <c r="I278" s="26"/>
      <c r="J278" s="15"/>
      <c r="K278" s="27"/>
      <c r="L278" s="25" t="str">
        <f aca="false">IF(B278="","",B278&amp;"|"&amp;J278)</f>
        <v/>
      </c>
    </row>
    <row r="279" customFormat="false" ht="15" hidden="false" customHeight="false" outlineLevel="0" collapsed="false">
      <c r="A279" s="15"/>
      <c r="B279" s="21"/>
      <c r="C279" s="21" t="str">
        <f aca="false">IF(B279="","",IFERROR(INDEX(代理店一覧!$B$5:$B$204,MATCH(B279,代理店一覧!$A$5:$A$204,0)),"※未登録のID"))</f>
        <v/>
      </c>
      <c r="D279" s="21"/>
      <c r="E279" s="21"/>
      <c r="F279" s="21"/>
      <c r="G279" s="18"/>
      <c r="H279" s="21"/>
      <c r="I279" s="26"/>
      <c r="J279" s="15"/>
      <c r="K279" s="27"/>
      <c r="L279" s="25" t="str">
        <f aca="false">IF(B279="","",B279&amp;"|"&amp;J279)</f>
        <v/>
      </c>
    </row>
    <row r="280" customFormat="false" ht="15" hidden="false" customHeight="false" outlineLevel="0" collapsed="false">
      <c r="A280" s="15"/>
      <c r="B280" s="21"/>
      <c r="C280" s="21" t="str">
        <f aca="false">IF(B280="","",IFERROR(INDEX(代理店一覧!$B$5:$B$204,MATCH(B280,代理店一覧!$A$5:$A$204,0)),"※未登録のID"))</f>
        <v/>
      </c>
      <c r="D280" s="21"/>
      <c r="E280" s="21"/>
      <c r="F280" s="21"/>
      <c r="G280" s="18"/>
      <c r="H280" s="21"/>
      <c r="I280" s="26"/>
      <c r="J280" s="15"/>
      <c r="K280" s="27"/>
      <c r="L280" s="25" t="str">
        <f aca="false">IF(B280="","",B280&amp;"|"&amp;J280)</f>
        <v/>
      </c>
    </row>
    <row r="281" customFormat="false" ht="15" hidden="false" customHeight="false" outlineLevel="0" collapsed="false">
      <c r="A281" s="15"/>
      <c r="B281" s="21"/>
      <c r="C281" s="21" t="str">
        <f aca="false">IF(B281="","",IFERROR(INDEX(代理店一覧!$B$5:$B$204,MATCH(B281,代理店一覧!$A$5:$A$204,0)),"※未登録のID"))</f>
        <v/>
      </c>
      <c r="D281" s="21"/>
      <c r="E281" s="21"/>
      <c r="F281" s="21"/>
      <c r="G281" s="18"/>
      <c r="H281" s="21"/>
      <c r="I281" s="26"/>
      <c r="J281" s="15"/>
      <c r="K281" s="27"/>
      <c r="L281" s="25" t="str">
        <f aca="false">IF(B281="","",B281&amp;"|"&amp;J281)</f>
        <v/>
      </c>
    </row>
    <row r="282" customFormat="false" ht="15" hidden="false" customHeight="false" outlineLevel="0" collapsed="false">
      <c r="A282" s="15"/>
      <c r="B282" s="21"/>
      <c r="C282" s="21" t="str">
        <f aca="false">IF(B282="","",IFERROR(INDEX(代理店一覧!$B$5:$B$204,MATCH(B282,代理店一覧!$A$5:$A$204,0)),"※未登録のID"))</f>
        <v/>
      </c>
      <c r="D282" s="21"/>
      <c r="E282" s="21"/>
      <c r="F282" s="21"/>
      <c r="G282" s="18"/>
      <c r="H282" s="21"/>
      <c r="I282" s="26"/>
      <c r="J282" s="15"/>
      <c r="K282" s="27"/>
      <c r="L282" s="25" t="str">
        <f aca="false">IF(B282="","",B282&amp;"|"&amp;J282)</f>
        <v/>
      </c>
    </row>
    <row r="283" customFormat="false" ht="15" hidden="false" customHeight="false" outlineLevel="0" collapsed="false">
      <c r="A283" s="15"/>
      <c r="B283" s="21"/>
      <c r="C283" s="21" t="str">
        <f aca="false">IF(B283="","",IFERROR(INDEX(代理店一覧!$B$5:$B$204,MATCH(B283,代理店一覧!$A$5:$A$204,0)),"※未登録のID"))</f>
        <v/>
      </c>
      <c r="D283" s="21"/>
      <c r="E283" s="21"/>
      <c r="F283" s="21"/>
      <c r="G283" s="18"/>
      <c r="H283" s="21"/>
      <c r="I283" s="26"/>
      <c r="J283" s="15"/>
      <c r="K283" s="27"/>
      <c r="L283" s="25" t="str">
        <f aca="false">IF(B283="","",B283&amp;"|"&amp;J283)</f>
        <v/>
      </c>
    </row>
    <row r="284" customFormat="false" ht="15" hidden="false" customHeight="false" outlineLevel="0" collapsed="false">
      <c r="A284" s="15"/>
      <c r="B284" s="21"/>
      <c r="C284" s="21" t="str">
        <f aca="false">IF(B284="","",IFERROR(INDEX(代理店一覧!$B$5:$B$204,MATCH(B284,代理店一覧!$A$5:$A$204,0)),"※未登録のID"))</f>
        <v/>
      </c>
      <c r="D284" s="21"/>
      <c r="E284" s="21"/>
      <c r="F284" s="21"/>
      <c r="G284" s="18"/>
      <c r="H284" s="21"/>
      <c r="I284" s="26"/>
      <c r="J284" s="15"/>
      <c r="K284" s="27"/>
      <c r="L284" s="25" t="str">
        <f aca="false">IF(B284="","",B284&amp;"|"&amp;J284)</f>
        <v/>
      </c>
    </row>
    <row r="285" customFormat="false" ht="15" hidden="false" customHeight="false" outlineLevel="0" collapsed="false">
      <c r="A285" s="15"/>
      <c r="B285" s="21"/>
      <c r="C285" s="21" t="str">
        <f aca="false">IF(B285="","",IFERROR(INDEX(代理店一覧!$B$5:$B$204,MATCH(B285,代理店一覧!$A$5:$A$204,0)),"※未登録のID"))</f>
        <v/>
      </c>
      <c r="D285" s="21"/>
      <c r="E285" s="21"/>
      <c r="F285" s="21"/>
      <c r="G285" s="18"/>
      <c r="H285" s="21"/>
      <c r="I285" s="26"/>
      <c r="J285" s="15"/>
      <c r="K285" s="27"/>
      <c r="L285" s="25" t="str">
        <f aca="false">IF(B285="","",B285&amp;"|"&amp;J285)</f>
        <v/>
      </c>
    </row>
    <row r="286" customFormat="false" ht="15" hidden="false" customHeight="false" outlineLevel="0" collapsed="false">
      <c r="A286" s="15"/>
      <c r="B286" s="21"/>
      <c r="C286" s="21" t="str">
        <f aca="false">IF(B286="","",IFERROR(INDEX(代理店一覧!$B$5:$B$204,MATCH(B286,代理店一覧!$A$5:$A$204,0)),"※未登録のID"))</f>
        <v/>
      </c>
      <c r="D286" s="21"/>
      <c r="E286" s="21"/>
      <c r="F286" s="21"/>
      <c r="G286" s="18"/>
      <c r="H286" s="21"/>
      <c r="I286" s="26"/>
      <c r="J286" s="15"/>
      <c r="K286" s="27"/>
      <c r="L286" s="25" t="str">
        <f aca="false">IF(B286="","",B286&amp;"|"&amp;J286)</f>
        <v/>
      </c>
    </row>
    <row r="287" customFormat="false" ht="15" hidden="false" customHeight="false" outlineLevel="0" collapsed="false">
      <c r="A287" s="15"/>
      <c r="B287" s="21"/>
      <c r="C287" s="21" t="str">
        <f aca="false">IF(B287="","",IFERROR(INDEX(代理店一覧!$B$5:$B$204,MATCH(B287,代理店一覧!$A$5:$A$204,0)),"※未登録のID"))</f>
        <v/>
      </c>
      <c r="D287" s="21"/>
      <c r="E287" s="21"/>
      <c r="F287" s="21"/>
      <c r="G287" s="18"/>
      <c r="H287" s="21"/>
      <c r="I287" s="26"/>
      <c r="J287" s="15"/>
      <c r="K287" s="27"/>
      <c r="L287" s="25" t="str">
        <f aca="false">IF(B287="","",B287&amp;"|"&amp;J287)</f>
        <v/>
      </c>
    </row>
    <row r="288" customFormat="false" ht="15" hidden="false" customHeight="false" outlineLevel="0" collapsed="false">
      <c r="A288" s="15"/>
      <c r="B288" s="21"/>
      <c r="C288" s="21" t="str">
        <f aca="false">IF(B288="","",IFERROR(INDEX(代理店一覧!$B$5:$B$204,MATCH(B288,代理店一覧!$A$5:$A$204,0)),"※未登録のID"))</f>
        <v/>
      </c>
      <c r="D288" s="21"/>
      <c r="E288" s="21"/>
      <c r="F288" s="21"/>
      <c r="G288" s="18"/>
      <c r="H288" s="21"/>
      <c r="I288" s="26"/>
      <c r="J288" s="15"/>
      <c r="K288" s="27"/>
      <c r="L288" s="25" t="str">
        <f aca="false">IF(B288="","",B288&amp;"|"&amp;J288)</f>
        <v/>
      </c>
    </row>
    <row r="289" customFormat="false" ht="15" hidden="false" customHeight="false" outlineLevel="0" collapsed="false">
      <c r="A289" s="15"/>
      <c r="B289" s="21"/>
      <c r="C289" s="21" t="str">
        <f aca="false">IF(B289="","",IFERROR(INDEX(代理店一覧!$B$5:$B$204,MATCH(B289,代理店一覧!$A$5:$A$204,0)),"※未登録のID"))</f>
        <v/>
      </c>
      <c r="D289" s="21"/>
      <c r="E289" s="21"/>
      <c r="F289" s="21"/>
      <c r="G289" s="18"/>
      <c r="H289" s="21"/>
      <c r="I289" s="26"/>
      <c r="J289" s="15"/>
      <c r="K289" s="27"/>
      <c r="L289" s="25" t="str">
        <f aca="false">IF(B289="","",B289&amp;"|"&amp;J289)</f>
        <v/>
      </c>
    </row>
    <row r="290" customFormat="false" ht="15" hidden="false" customHeight="false" outlineLevel="0" collapsed="false">
      <c r="A290" s="15"/>
      <c r="B290" s="21"/>
      <c r="C290" s="21" t="str">
        <f aca="false">IF(B290="","",IFERROR(INDEX(代理店一覧!$B$5:$B$204,MATCH(B290,代理店一覧!$A$5:$A$204,0)),"※未登録のID"))</f>
        <v/>
      </c>
      <c r="D290" s="21"/>
      <c r="E290" s="21"/>
      <c r="F290" s="21"/>
      <c r="G290" s="18"/>
      <c r="H290" s="21"/>
      <c r="I290" s="26"/>
      <c r="J290" s="15"/>
      <c r="K290" s="27"/>
      <c r="L290" s="25" t="str">
        <f aca="false">IF(B290="","",B290&amp;"|"&amp;J290)</f>
        <v/>
      </c>
    </row>
    <row r="291" customFormat="false" ht="15" hidden="false" customHeight="false" outlineLevel="0" collapsed="false">
      <c r="A291" s="15"/>
      <c r="B291" s="21"/>
      <c r="C291" s="21" t="str">
        <f aca="false">IF(B291="","",IFERROR(INDEX(代理店一覧!$B$5:$B$204,MATCH(B291,代理店一覧!$A$5:$A$204,0)),"※未登録のID"))</f>
        <v/>
      </c>
      <c r="D291" s="21"/>
      <c r="E291" s="21"/>
      <c r="F291" s="21"/>
      <c r="G291" s="18"/>
      <c r="H291" s="21"/>
      <c r="I291" s="26"/>
      <c r="J291" s="15"/>
      <c r="K291" s="27"/>
      <c r="L291" s="25" t="str">
        <f aca="false">IF(B291="","",B291&amp;"|"&amp;J291)</f>
        <v/>
      </c>
    </row>
    <row r="292" customFormat="false" ht="15" hidden="false" customHeight="false" outlineLevel="0" collapsed="false">
      <c r="A292" s="15"/>
      <c r="B292" s="21"/>
      <c r="C292" s="21" t="str">
        <f aca="false">IF(B292="","",IFERROR(INDEX(代理店一覧!$B$5:$B$204,MATCH(B292,代理店一覧!$A$5:$A$204,0)),"※未登録のID"))</f>
        <v/>
      </c>
      <c r="D292" s="21"/>
      <c r="E292" s="21"/>
      <c r="F292" s="21"/>
      <c r="G292" s="18"/>
      <c r="H292" s="21"/>
      <c r="I292" s="26"/>
      <c r="J292" s="15"/>
      <c r="K292" s="27"/>
      <c r="L292" s="25" t="str">
        <f aca="false">IF(B292="","",B292&amp;"|"&amp;J292)</f>
        <v/>
      </c>
    </row>
    <row r="293" customFormat="false" ht="15" hidden="false" customHeight="false" outlineLevel="0" collapsed="false">
      <c r="A293" s="15"/>
      <c r="B293" s="21"/>
      <c r="C293" s="21" t="str">
        <f aca="false">IF(B293="","",IFERROR(INDEX(代理店一覧!$B$5:$B$204,MATCH(B293,代理店一覧!$A$5:$A$204,0)),"※未登録のID"))</f>
        <v/>
      </c>
      <c r="D293" s="21"/>
      <c r="E293" s="21"/>
      <c r="F293" s="21"/>
      <c r="G293" s="18"/>
      <c r="H293" s="21"/>
      <c r="I293" s="26"/>
      <c r="J293" s="15"/>
      <c r="K293" s="27"/>
      <c r="L293" s="25" t="str">
        <f aca="false">IF(B293="","",B293&amp;"|"&amp;J293)</f>
        <v/>
      </c>
    </row>
    <row r="294" customFormat="false" ht="15" hidden="false" customHeight="false" outlineLevel="0" collapsed="false">
      <c r="A294" s="15"/>
      <c r="B294" s="21"/>
      <c r="C294" s="21" t="str">
        <f aca="false">IF(B294="","",IFERROR(INDEX(代理店一覧!$B$5:$B$204,MATCH(B294,代理店一覧!$A$5:$A$204,0)),"※未登録のID"))</f>
        <v/>
      </c>
      <c r="D294" s="21"/>
      <c r="E294" s="21"/>
      <c r="F294" s="21"/>
      <c r="G294" s="18"/>
      <c r="H294" s="21"/>
      <c r="I294" s="26"/>
      <c r="J294" s="15"/>
      <c r="K294" s="27"/>
      <c r="L294" s="25" t="str">
        <f aca="false">IF(B294="","",B294&amp;"|"&amp;J294)</f>
        <v/>
      </c>
    </row>
    <row r="295" customFormat="false" ht="15" hidden="false" customHeight="false" outlineLevel="0" collapsed="false">
      <c r="A295" s="15"/>
      <c r="B295" s="21"/>
      <c r="C295" s="21" t="str">
        <f aca="false">IF(B295="","",IFERROR(INDEX(代理店一覧!$B$5:$B$204,MATCH(B295,代理店一覧!$A$5:$A$204,0)),"※未登録のID"))</f>
        <v/>
      </c>
      <c r="D295" s="21"/>
      <c r="E295" s="21"/>
      <c r="F295" s="21"/>
      <c r="G295" s="18"/>
      <c r="H295" s="21"/>
      <c r="I295" s="26"/>
      <c r="J295" s="15"/>
      <c r="K295" s="27"/>
      <c r="L295" s="25" t="str">
        <f aca="false">IF(B295="","",B295&amp;"|"&amp;J295)</f>
        <v/>
      </c>
    </row>
    <row r="296" customFormat="false" ht="15" hidden="false" customHeight="false" outlineLevel="0" collapsed="false">
      <c r="A296" s="15"/>
      <c r="B296" s="21"/>
      <c r="C296" s="21" t="str">
        <f aca="false">IF(B296="","",IFERROR(INDEX(代理店一覧!$B$5:$B$204,MATCH(B296,代理店一覧!$A$5:$A$204,0)),"※未登録のID"))</f>
        <v/>
      </c>
      <c r="D296" s="21"/>
      <c r="E296" s="21"/>
      <c r="F296" s="21"/>
      <c r="G296" s="18"/>
      <c r="H296" s="21"/>
      <c r="I296" s="26"/>
      <c r="J296" s="15"/>
      <c r="K296" s="27"/>
      <c r="L296" s="25" t="str">
        <f aca="false">IF(B296="","",B296&amp;"|"&amp;J296)</f>
        <v/>
      </c>
    </row>
    <row r="297" customFormat="false" ht="15" hidden="false" customHeight="false" outlineLevel="0" collapsed="false">
      <c r="A297" s="15"/>
      <c r="B297" s="21"/>
      <c r="C297" s="21" t="str">
        <f aca="false">IF(B297="","",IFERROR(INDEX(代理店一覧!$B$5:$B$204,MATCH(B297,代理店一覧!$A$5:$A$204,0)),"※未登録のID"))</f>
        <v/>
      </c>
      <c r="D297" s="21"/>
      <c r="E297" s="21"/>
      <c r="F297" s="21"/>
      <c r="G297" s="18"/>
      <c r="H297" s="21"/>
      <c r="I297" s="26"/>
      <c r="J297" s="15"/>
      <c r="K297" s="27"/>
      <c r="L297" s="25" t="str">
        <f aca="false">IF(B297="","",B297&amp;"|"&amp;J297)</f>
        <v/>
      </c>
    </row>
    <row r="298" customFormat="false" ht="15" hidden="false" customHeight="false" outlineLevel="0" collapsed="false">
      <c r="A298" s="15"/>
      <c r="B298" s="21"/>
      <c r="C298" s="21" t="str">
        <f aca="false">IF(B298="","",IFERROR(INDEX(代理店一覧!$B$5:$B$204,MATCH(B298,代理店一覧!$A$5:$A$204,0)),"※未登録のID"))</f>
        <v/>
      </c>
      <c r="D298" s="21"/>
      <c r="E298" s="21"/>
      <c r="F298" s="21"/>
      <c r="G298" s="18"/>
      <c r="H298" s="21"/>
      <c r="I298" s="26"/>
      <c r="J298" s="15"/>
      <c r="K298" s="27"/>
      <c r="L298" s="25" t="str">
        <f aca="false">IF(B298="","",B298&amp;"|"&amp;J298)</f>
        <v/>
      </c>
    </row>
    <row r="299" customFormat="false" ht="15" hidden="false" customHeight="false" outlineLevel="0" collapsed="false">
      <c r="A299" s="15"/>
      <c r="B299" s="21"/>
      <c r="C299" s="21" t="str">
        <f aca="false">IF(B299="","",IFERROR(INDEX(代理店一覧!$B$5:$B$204,MATCH(B299,代理店一覧!$A$5:$A$204,0)),"※未登録のID"))</f>
        <v/>
      </c>
      <c r="D299" s="21"/>
      <c r="E299" s="21"/>
      <c r="F299" s="21"/>
      <c r="G299" s="18"/>
      <c r="H299" s="21"/>
      <c r="I299" s="26"/>
      <c r="J299" s="15"/>
      <c r="K299" s="27"/>
      <c r="L299" s="25" t="str">
        <f aca="false">IF(B299="","",B299&amp;"|"&amp;J299)</f>
        <v/>
      </c>
    </row>
    <row r="300" customFormat="false" ht="15" hidden="false" customHeight="false" outlineLevel="0" collapsed="false">
      <c r="A300" s="15"/>
      <c r="B300" s="21"/>
      <c r="C300" s="21" t="str">
        <f aca="false">IF(B300="","",IFERROR(INDEX(代理店一覧!$B$5:$B$204,MATCH(B300,代理店一覧!$A$5:$A$204,0)),"※未登録のID"))</f>
        <v/>
      </c>
      <c r="D300" s="21"/>
      <c r="E300" s="21"/>
      <c r="F300" s="21"/>
      <c r="G300" s="18"/>
      <c r="H300" s="21"/>
      <c r="I300" s="26"/>
      <c r="J300" s="15"/>
      <c r="K300" s="27"/>
      <c r="L300" s="25" t="str">
        <f aca="false">IF(B300="","",B300&amp;"|"&amp;J300)</f>
        <v/>
      </c>
    </row>
    <row r="301" customFormat="false" ht="15" hidden="false" customHeight="false" outlineLevel="0" collapsed="false">
      <c r="A301" s="15"/>
      <c r="B301" s="21"/>
      <c r="C301" s="21" t="str">
        <f aca="false">IF(B301="","",IFERROR(INDEX(代理店一覧!$B$5:$B$204,MATCH(B301,代理店一覧!$A$5:$A$204,0)),"※未登録のID"))</f>
        <v/>
      </c>
      <c r="D301" s="21"/>
      <c r="E301" s="21"/>
      <c r="F301" s="21"/>
      <c r="G301" s="18"/>
      <c r="H301" s="21"/>
      <c r="I301" s="26"/>
      <c r="J301" s="15"/>
      <c r="K301" s="27"/>
      <c r="L301" s="25" t="str">
        <f aca="false">IF(B301="","",B301&amp;"|"&amp;J301)</f>
        <v/>
      </c>
    </row>
    <row r="302" customFormat="false" ht="15" hidden="false" customHeight="false" outlineLevel="0" collapsed="false">
      <c r="A302" s="15"/>
      <c r="B302" s="21"/>
      <c r="C302" s="21" t="str">
        <f aca="false">IF(B302="","",IFERROR(INDEX(代理店一覧!$B$5:$B$204,MATCH(B302,代理店一覧!$A$5:$A$204,0)),"※未登録のID"))</f>
        <v/>
      </c>
      <c r="D302" s="21"/>
      <c r="E302" s="21"/>
      <c r="F302" s="21"/>
      <c r="G302" s="18"/>
      <c r="H302" s="21"/>
      <c r="I302" s="26"/>
      <c r="J302" s="15"/>
      <c r="K302" s="27"/>
      <c r="L302" s="25" t="str">
        <f aca="false">IF(B302="","",B302&amp;"|"&amp;J302)</f>
        <v/>
      </c>
    </row>
    <row r="303" customFormat="false" ht="15" hidden="false" customHeight="false" outlineLevel="0" collapsed="false">
      <c r="A303" s="15"/>
      <c r="B303" s="21"/>
      <c r="C303" s="21" t="str">
        <f aca="false">IF(B303="","",IFERROR(INDEX(代理店一覧!$B$5:$B$204,MATCH(B303,代理店一覧!$A$5:$A$204,0)),"※未登録のID"))</f>
        <v/>
      </c>
      <c r="D303" s="21"/>
      <c r="E303" s="21"/>
      <c r="F303" s="21"/>
      <c r="G303" s="18"/>
      <c r="H303" s="21"/>
      <c r="I303" s="26"/>
      <c r="J303" s="15"/>
      <c r="K303" s="27"/>
      <c r="L303" s="25" t="str">
        <f aca="false">IF(B303="","",B303&amp;"|"&amp;J303)</f>
        <v/>
      </c>
    </row>
    <row r="304" customFormat="false" ht="15" hidden="false" customHeight="false" outlineLevel="0" collapsed="false">
      <c r="A304" s="15"/>
      <c r="B304" s="21"/>
      <c r="C304" s="21" t="str">
        <f aca="false">IF(B304="","",IFERROR(INDEX(代理店一覧!$B$5:$B$204,MATCH(B304,代理店一覧!$A$5:$A$204,0)),"※未登録のID"))</f>
        <v/>
      </c>
      <c r="D304" s="21"/>
      <c r="E304" s="21"/>
      <c r="F304" s="21"/>
      <c r="G304" s="18"/>
      <c r="H304" s="21"/>
      <c r="I304" s="26"/>
      <c r="J304" s="15"/>
      <c r="K304" s="27"/>
      <c r="L304" s="25" t="str">
        <f aca="false">IF(B304="","",B304&amp;"|"&amp;J304)</f>
        <v/>
      </c>
    </row>
    <row r="305" customFormat="false" ht="15" hidden="false" customHeight="false" outlineLevel="0" collapsed="false">
      <c r="A305" s="15"/>
      <c r="B305" s="21"/>
      <c r="C305" s="21" t="str">
        <f aca="false">IF(B305="","",IFERROR(INDEX(代理店一覧!$B$5:$B$204,MATCH(B305,代理店一覧!$A$5:$A$204,0)),"※未登録のID"))</f>
        <v/>
      </c>
      <c r="D305" s="21"/>
      <c r="E305" s="21"/>
      <c r="F305" s="21"/>
      <c r="G305" s="18"/>
      <c r="H305" s="21"/>
      <c r="I305" s="26"/>
      <c r="J305" s="15"/>
      <c r="K305" s="27"/>
      <c r="L305" s="25" t="str">
        <f aca="false">IF(B305="","",B305&amp;"|"&amp;J305)</f>
        <v/>
      </c>
    </row>
    <row r="306" customFormat="false" ht="15" hidden="false" customHeight="false" outlineLevel="0" collapsed="false">
      <c r="A306" s="15"/>
      <c r="B306" s="21"/>
      <c r="C306" s="21" t="str">
        <f aca="false">IF(B306="","",IFERROR(INDEX(代理店一覧!$B$5:$B$204,MATCH(B306,代理店一覧!$A$5:$A$204,0)),"※未登録のID"))</f>
        <v/>
      </c>
      <c r="D306" s="21"/>
      <c r="E306" s="21"/>
      <c r="F306" s="21"/>
      <c r="G306" s="18"/>
      <c r="H306" s="21"/>
      <c r="I306" s="26"/>
      <c r="J306" s="15"/>
      <c r="K306" s="27"/>
      <c r="L306" s="25" t="str">
        <f aca="false">IF(B306="","",B306&amp;"|"&amp;J306)</f>
        <v/>
      </c>
    </row>
    <row r="307" customFormat="false" ht="15" hidden="false" customHeight="false" outlineLevel="0" collapsed="false">
      <c r="A307" s="15"/>
      <c r="B307" s="21"/>
      <c r="C307" s="21" t="str">
        <f aca="false">IF(B307="","",IFERROR(INDEX(代理店一覧!$B$5:$B$204,MATCH(B307,代理店一覧!$A$5:$A$204,0)),"※未登録のID"))</f>
        <v/>
      </c>
      <c r="D307" s="21"/>
      <c r="E307" s="21"/>
      <c r="F307" s="21"/>
      <c r="G307" s="18"/>
      <c r="H307" s="21"/>
      <c r="I307" s="26"/>
      <c r="J307" s="15"/>
      <c r="K307" s="27"/>
      <c r="L307" s="25" t="str">
        <f aca="false">IF(B307="","",B307&amp;"|"&amp;J307)</f>
        <v/>
      </c>
    </row>
    <row r="308" customFormat="false" ht="15" hidden="false" customHeight="false" outlineLevel="0" collapsed="false">
      <c r="A308" s="15"/>
      <c r="B308" s="21"/>
      <c r="C308" s="21" t="str">
        <f aca="false">IF(B308="","",IFERROR(INDEX(代理店一覧!$B$5:$B$204,MATCH(B308,代理店一覧!$A$5:$A$204,0)),"※未登録のID"))</f>
        <v/>
      </c>
      <c r="D308" s="21"/>
      <c r="E308" s="21"/>
      <c r="F308" s="21"/>
      <c r="G308" s="18"/>
      <c r="H308" s="21"/>
      <c r="I308" s="26"/>
      <c r="J308" s="15"/>
      <c r="K308" s="27"/>
      <c r="L308" s="25" t="str">
        <f aca="false">IF(B308="","",B308&amp;"|"&amp;J308)</f>
        <v/>
      </c>
    </row>
    <row r="309" customFormat="false" ht="15" hidden="false" customHeight="false" outlineLevel="0" collapsed="false">
      <c r="A309" s="15"/>
      <c r="B309" s="21"/>
      <c r="C309" s="21" t="str">
        <f aca="false">IF(B309="","",IFERROR(INDEX(代理店一覧!$B$5:$B$204,MATCH(B309,代理店一覧!$A$5:$A$204,0)),"※未登録のID"))</f>
        <v/>
      </c>
      <c r="D309" s="21"/>
      <c r="E309" s="21"/>
      <c r="F309" s="21"/>
      <c r="G309" s="18"/>
      <c r="H309" s="21"/>
      <c r="I309" s="26"/>
      <c r="J309" s="15"/>
      <c r="K309" s="27"/>
      <c r="L309" s="25" t="str">
        <f aca="false">IF(B309="","",B309&amp;"|"&amp;J309)</f>
        <v/>
      </c>
    </row>
    <row r="310" customFormat="false" ht="15" hidden="false" customHeight="false" outlineLevel="0" collapsed="false">
      <c r="A310" s="15"/>
      <c r="B310" s="21"/>
      <c r="C310" s="21" t="str">
        <f aca="false">IF(B310="","",IFERROR(INDEX(代理店一覧!$B$5:$B$204,MATCH(B310,代理店一覧!$A$5:$A$204,0)),"※未登録のID"))</f>
        <v/>
      </c>
      <c r="D310" s="21"/>
      <c r="E310" s="21"/>
      <c r="F310" s="21"/>
      <c r="G310" s="18"/>
      <c r="H310" s="21"/>
      <c r="I310" s="26"/>
      <c r="J310" s="15"/>
      <c r="K310" s="27"/>
      <c r="L310" s="25" t="str">
        <f aca="false">IF(B310="","",B310&amp;"|"&amp;J310)</f>
        <v/>
      </c>
    </row>
    <row r="311" customFormat="false" ht="15" hidden="false" customHeight="false" outlineLevel="0" collapsed="false">
      <c r="A311" s="15"/>
      <c r="B311" s="21"/>
      <c r="C311" s="21" t="str">
        <f aca="false">IF(B311="","",IFERROR(INDEX(代理店一覧!$B$5:$B$204,MATCH(B311,代理店一覧!$A$5:$A$204,0)),"※未登録のID"))</f>
        <v/>
      </c>
      <c r="D311" s="21"/>
      <c r="E311" s="21"/>
      <c r="F311" s="21"/>
      <c r="G311" s="18"/>
      <c r="H311" s="21"/>
      <c r="I311" s="26"/>
      <c r="J311" s="15"/>
      <c r="K311" s="27"/>
      <c r="L311" s="25" t="str">
        <f aca="false">IF(B311="","",B311&amp;"|"&amp;J311)</f>
        <v/>
      </c>
    </row>
    <row r="312" customFormat="false" ht="15" hidden="false" customHeight="false" outlineLevel="0" collapsed="false">
      <c r="A312" s="15"/>
      <c r="B312" s="21"/>
      <c r="C312" s="21" t="str">
        <f aca="false">IF(B312="","",IFERROR(INDEX(代理店一覧!$B$5:$B$204,MATCH(B312,代理店一覧!$A$5:$A$204,0)),"※未登録のID"))</f>
        <v/>
      </c>
      <c r="D312" s="21"/>
      <c r="E312" s="21"/>
      <c r="F312" s="21"/>
      <c r="G312" s="18"/>
      <c r="H312" s="21"/>
      <c r="I312" s="26"/>
      <c r="J312" s="15"/>
      <c r="K312" s="27"/>
      <c r="L312" s="25" t="str">
        <f aca="false">IF(B312="","",B312&amp;"|"&amp;J312)</f>
        <v/>
      </c>
    </row>
    <row r="313" customFormat="false" ht="15" hidden="false" customHeight="false" outlineLevel="0" collapsed="false">
      <c r="A313" s="15"/>
      <c r="B313" s="21"/>
      <c r="C313" s="21" t="str">
        <f aca="false">IF(B313="","",IFERROR(INDEX(代理店一覧!$B$5:$B$204,MATCH(B313,代理店一覧!$A$5:$A$204,0)),"※未登録のID"))</f>
        <v/>
      </c>
      <c r="D313" s="21"/>
      <c r="E313" s="21"/>
      <c r="F313" s="21"/>
      <c r="G313" s="18"/>
      <c r="H313" s="21"/>
      <c r="I313" s="26"/>
      <c r="J313" s="15"/>
      <c r="K313" s="27"/>
      <c r="L313" s="25" t="str">
        <f aca="false">IF(B313="","",B313&amp;"|"&amp;J313)</f>
        <v/>
      </c>
    </row>
    <row r="314" customFormat="false" ht="15" hidden="false" customHeight="false" outlineLevel="0" collapsed="false">
      <c r="A314" s="15"/>
      <c r="B314" s="21"/>
      <c r="C314" s="21" t="str">
        <f aca="false">IF(B314="","",IFERROR(INDEX(代理店一覧!$B$5:$B$204,MATCH(B314,代理店一覧!$A$5:$A$204,0)),"※未登録のID"))</f>
        <v/>
      </c>
      <c r="D314" s="21"/>
      <c r="E314" s="21"/>
      <c r="F314" s="21"/>
      <c r="G314" s="18"/>
      <c r="H314" s="21"/>
      <c r="I314" s="26"/>
      <c r="J314" s="15"/>
      <c r="K314" s="27"/>
      <c r="L314" s="25" t="str">
        <f aca="false">IF(B314="","",B314&amp;"|"&amp;J314)</f>
        <v/>
      </c>
    </row>
    <row r="315" customFormat="false" ht="15" hidden="false" customHeight="false" outlineLevel="0" collapsed="false">
      <c r="A315" s="15"/>
      <c r="B315" s="21"/>
      <c r="C315" s="21" t="str">
        <f aca="false">IF(B315="","",IFERROR(INDEX(代理店一覧!$B$5:$B$204,MATCH(B315,代理店一覧!$A$5:$A$204,0)),"※未登録のID"))</f>
        <v/>
      </c>
      <c r="D315" s="21"/>
      <c r="E315" s="21"/>
      <c r="F315" s="21"/>
      <c r="G315" s="18"/>
      <c r="H315" s="21"/>
      <c r="I315" s="26"/>
      <c r="J315" s="15"/>
      <c r="K315" s="27"/>
      <c r="L315" s="25" t="str">
        <f aca="false">IF(B315="","",B315&amp;"|"&amp;J315)</f>
        <v/>
      </c>
    </row>
    <row r="316" customFormat="false" ht="15" hidden="false" customHeight="false" outlineLevel="0" collapsed="false">
      <c r="A316" s="15"/>
      <c r="B316" s="21"/>
      <c r="C316" s="21" t="str">
        <f aca="false">IF(B316="","",IFERROR(INDEX(代理店一覧!$B$5:$B$204,MATCH(B316,代理店一覧!$A$5:$A$204,0)),"※未登録のID"))</f>
        <v/>
      </c>
      <c r="D316" s="21"/>
      <c r="E316" s="21"/>
      <c r="F316" s="21"/>
      <c r="G316" s="18"/>
      <c r="H316" s="21"/>
      <c r="I316" s="26"/>
      <c r="J316" s="15"/>
      <c r="K316" s="27"/>
      <c r="L316" s="25" t="str">
        <f aca="false">IF(B316="","",B316&amp;"|"&amp;J316)</f>
        <v/>
      </c>
    </row>
    <row r="317" customFormat="false" ht="15" hidden="false" customHeight="false" outlineLevel="0" collapsed="false">
      <c r="A317" s="15"/>
      <c r="B317" s="21"/>
      <c r="C317" s="21" t="str">
        <f aca="false">IF(B317="","",IFERROR(INDEX(代理店一覧!$B$5:$B$204,MATCH(B317,代理店一覧!$A$5:$A$204,0)),"※未登録のID"))</f>
        <v/>
      </c>
      <c r="D317" s="21"/>
      <c r="E317" s="21"/>
      <c r="F317" s="21"/>
      <c r="G317" s="18"/>
      <c r="H317" s="21"/>
      <c r="I317" s="26"/>
      <c r="J317" s="15"/>
      <c r="K317" s="27"/>
      <c r="L317" s="25" t="str">
        <f aca="false">IF(B317="","",B317&amp;"|"&amp;J317)</f>
        <v/>
      </c>
    </row>
    <row r="318" customFormat="false" ht="15" hidden="false" customHeight="false" outlineLevel="0" collapsed="false">
      <c r="A318" s="15"/>
      <c r="B318" s="21"/>
      <c r="C318" s="21" t="str">
        <f aca="false">IF(B318="","",IFERROR(INDEX(代理店一覧!$B$5:$B$204,MATCH(B318,代理店一覧!$A$5:$A$204,0)),"※未登録のID"))</f>
        <v/>
      </c>
      <c r="D318" s="21"/>
      <c r="E318" s="21"/>
      <c r="F318" s="21"/>
      <c r="G318" s="18"/>
      <c r="H318" s="21"/>
      <c r="I318" s="26"/>
      <c r="J318" s="15"/>
      <c r="K318" s="27"/>
      <c r="L318" s="25" t="str">
        <f aca="false">IF(B318="","",B318&amp;"|"&amp;J318)</f>
        <v/>
      </c>
    </row>
    <row r="319" customFormat="false" ht="15" hidden="false" customHeight="false" outlineLevel="0" collapsed="false">
      <c r="A319" s="15"/>
      <c r="B319" s="21"/>
      <c r="C319" s="21" t="str">
        <f aca="false">IF(B319="","",IFERROR(INDEX(代理店一覧!$B$5:$B$204,MATCH(B319,代理店一覧!$A$5:$A$204,0)),"※未登録のID"))</f>
        <v/>
      </c>
      <c r="D319" s="21"/>
      <c r="E319" s="21"/>
      <c r="F319" s="21"/>
      <c r="G319" s="18"/>
      <c r="H319" s="21"/>
      <c r="I319" s="26"/>
      <c r="J319" s="15"/>
      <c r="K319" s="27"/>
      <c r="L319" s="25" t="str">
        <f aca="false">IF(B319="","",B319&amp;"|"&amp;J319)</f>
        <v/>
      </c>
    </row>
    <row r="320" customFormat="false" ht="15" hidden="false" customHeight="false" outlineLevel="0" collapsed="false">
      <c r="A320" s="15"/>
      <c r="B320" s="21"/>
      <c r="C320" s="21" t="str">
        <f aca="false">IF(B320="","",IFERROR(INDEX(代理店一覧!$B$5:$B$204,MATCH(B320,代理店一覧!$A$5:$A$204,0)),"※未登録のID"))</f>
        <v/>
      </c>
      <c r="D320" s="21"/>
      <c r="E320" s="21"/>
      <c r="F320" s="21"/>
      <c r="G320" s="18"/>
      <c r="H320" s="21"/>
      <c r="I320" s="26"/>
      <c r="J320" s="15"/>
      <c r="K320" s="27"/>
      <c r="L320" s="25" t="str">
        <f aca="false">IF(B320="","",B320&amp;"|"&amp;J320)</f>
        <v/>
      </c>
    </row>
    <row r="321" customFormat="false" ht="15" hidden="false" customHeight="false" outlineLevel="0" collapsed="false">
      <c r="A321" s="15"/>
      <c r="B321" s="21"/>
      <c r="C321" s="21" t="str">
        <f aca="false">IF(B321="","",IFERROR(INDEX(代理店一覧!$B$5:$B$204,MATCH(B321,代理店一覧!$A$5:$A$204,0)),"※未登録のID"))</f>
        <v/>
      </c>
      <c r="D321" s="21"/>
      <c r="E321" s="21"/>
      <c r="F321" s="21"/>
      <c r="G321" s="18"/>
      <c r="H321" s="21"/>
      <c r="I321" s="26"/>
      <c r="J321" s="15"/>
      <c r="K321" s="27"/>
      <c r="L321" s="25" t="str">
        <f aca="false">IF(B321="","",B321&amp;"|"&amp;J321)</f>
        <v/>
      </c>
    </row>
    <row r="322" customFormat="false" ht="15" hidden="false" customHeight="false" outlineLevel="0" collapsed="false">
      <c r="A322" s="15"/>
      <c r="B322" s="21"/>
      <c r="C322" s="21" t="str">
        <f aca="false">IF(B322="","",IFERROR(INDEX(代理店一覧!$B$5:$B$204,MATCH(B322,代理店一覧!$A$5:$A$204,0)),"※未登録のID"))</f>
        <v/>
      </c>
      <c r="D322" s="21"/>
      <c r="E322" s="21"/>
      <c r="F322" s="21"/>
      <c r="G322" s="18"/>
      <c r="H322" s="21"/>
      <c r="I322" s="26"/>
      <c r="J322" s="15"/>
      <c r="K322" s="27"/>
      <c r="L322" s="25" t="str">
        <f aca="false">IF(B322="","",B322&amp;"|"&amp;J322)</f>
        <v/>
      </c>
    </row>
    <row r="323" customFormat="false" ht="15" hidden="false" customHeight="false" outlineLevel="0" collapsed="false">
      <c r="A323" s="15"/>
      <c r="B323" s="21"/>
      <c r="C323" s="21" t="str">
        <f aca="false">IF(B323="","",IFERROR(INDEX(代理店一覧!$B$5:$B$204,MATCH(B323,代理店一覧!$A$5:$A$204,0)),"※未登録のID"))</f>
        <v/>
      </c>
      <c r="D323" s="21"/>
      <c r="E323" s="21"/>
      <c r="F323" s="21"/>
      <c r="G323" s="18"/>
      <c r="H323" s="21"/>
      <c r="I323" s="26"/>
      <c r="J323" s="15"/>
      <c r="K323" s="27"/>
      <c r="L323" s="25" t="str">
        <f aca="false">IF(B323="","",B323&amp;"|"&amp;J323)</f>
        <v/>
      </c>
    </row>
    <row r="324" customFormat="false" ht="15" hidden="false" customHeight="false" outlineLevel="0" collapsed="false">
      <c r="A324" s="15"/>
      <c r="B324" s="21"/>
      <c r="C324" s="21" t="str">
        <f aca="false">IF(B324="","",IFERROR(INDEX(代理店一覧!$B$5:$B$204,MATCH(B324,代理店一覧!$A$5:$A$204,0)),"※未登録のID"))</f>
        <v/>
      </c>
      <c r="D324" s="21"/>
      <c r="E324" s="21"/>
      <c r="F324" s="21"/>
      <c r="G324" s="18"/>
      <c r="H324" s="21"/>
      <c r="I324" s="26"/>
      <c r="J324" s="15"/>
      <c r="K324" s="27"/>
      <c r="L324" s="25" t="str">
        <f aca="false">IF(B324="","",B324&amp;"|"&amp;J324)</f>
        <v/>
      </c>
    </row>
    <row r="325" customFormat="false" ht="15" hidden="false" customHeight="false" outlineLevel="0" collapsed="false">
      <c r="A325" s="15"/>
      <c r="B325" s="21"/>
      <c r="C325" s="21" t="str">
        <f aca="false">IF(B325="","",IFERROR(INDEX(代理店一覧!$B$5:$B$204,MATCH(B325,代理店一覧!$A$5:$A$204,0)),"※未登録のID"))</f>
        <v/>
      </c>
      <c r="D325" s="21"/>
      <c r="E325" s="21"/>
      <c r="F325" s="21"/>
      <c r="G325" s="18"/>
      <c r="H325" s="21"/>
      <c r="I325" s="26"/>
      <c r="J325" s="15"/>
      <c r="K325" s="27"/>
      <c r="L325" s="25" t="str">
        <f aca="false">IF(B325="","",B325&amp;"|"&amp;J325)</f>
        <v/>
      </c>
    </row>
    <row r="326" customFormat="false" ht="15" hidden="false" customHeight="false" outlineLevel="0" collapsed="false">
      <c r="A326" s="15"/>
      <c r="B326" s="21"/>
      <c r="C326" s="21" t="str">
        <f aca="false">IF(B326="","",IFERROR(INDEX(代理店一覧!$B$5:$B$204,MATCH(B326,代理店一覧!$A$5:$A$204,0)),"※未登録のID"))</f>
        <v/>
      </c>
      <c r="D326" s="21"/>
      <c r="E326" s="21"/>
      <c r="F326" s="21"/>
      <c r="G326" s="18"/>
      <c r="H326" s="21"/>
      <c r="I326" s="26"/>
      <c r="J326" s="15"/>
      <c r="K326" s="27"/>
      <c r="L326" s="25" t="str">
        <f aca="false">IF(B326="","",B326&amp;"|"&amp;J326)</f>
        <v/>
      </c>
    </row>
    <row r="327" customFormat="false" ht="15" hidden="false" customHeight="false" outlineLevel="0" collapsed="false">
      <c r="A327" s="15"/>
      <c r="B327" s="21"/>
      <c r="C327" s="21" t="str">
        <f aca="false">IF(B327="","",IFERROR(INDEX(代理店一覧!$B$5:$B$204,MATCH(B327,代理店一覧!$A$5:$A$204,0)),"※未登録のID"))</f>
        <v/>
      </c>
      <c r="D327" s="21"/>
      <c r="E327" s="21"/>
      <c r="F327" s="21"/>
      <c r="G327" s="18"/>
      <c r="H327" s="21"/>
      <c r="I327" s="26"/>
      <c r="J327" s="15"/>
      <c r="K327" s="27"/>
      <c r="L327" s="25" t="str">
        <f aca="false">IF(B327="","",B327&amp;"|"&amp;J327)</f>
        <v/>
      </c>
    </row>
    <row r="328" customFormat="false" ht="15" hidden="false" customHeight="false" outlineLevel="0" collapsed="false">
      <c r="A328" s="15"/>
      <c r="B328" s="21"/>
      <c r="C328" s="21" t="str">
        <f aca="false">IF(B328="","",IFERROR(INDEX(代理店一覧!$B$5:$B$204,MATCH(B328,代理店一覧!$A$5:$A$204,0)),"※未登録のID"))</f>
        <v/>
      </c>
      <c r="D328" s="21"/>
      <c r="E328" s="21"/>
      <c r="F328" s="21"/>
      <c r="G328" s="18"/>
      <c r="H328" s="21"/>
      <c r="I328" s="26"/>
      <c r="J328" s="15"/>
      <c r="K328" s="27"/>
      <c r="L328" s="25" t="str">
        <f aca="false">IF(B328="","",B328&amp;"|"&amp;J328)</f>
        <v/>
      </c>
    </row>
    <row r="329" customFormat="false" ht="15" hidden="false" customHeight="false" outlineLevel="0" collapsed="false">
      <c r="A329" s="15"/>
      <c r="B329" s="21"/>
      <c r="C329" s="21" t="str">
        <f aca="false">IF(B329="","",IFERROR(INDEX(代理店一覧!$B$5:$B$204,MATCH(B329,代理店一覧!$A$5:$A$204,0)),"※未登録のID"))</f>
        <v/>
      </c>
      <c r="D329" s="21"/>
      <c r="E329" s="21"/>
      <c r="F329" s="21"/>
      <c r="G329" s="18"/>
      <c r="H329" s="21"/>
      <c r="I329" s="26"/>
      <c r="J329" s="15"/>
      <c r="K329" s="27"/>
      <c r="L329" s="25" t="str">
        <f aca="false">IF(B329="","",B329&amp;"|"&amp;J329)</f>
        <v/>
      </c>
    </row>
    <row r="330" customFormat="false" ht="15" hidden="false" customHeight="false" outlineLevel="0" collapsed="false">
      <c r="A330" s="15"/>
      <c r="B330" s="21"/>
      <c r="C330" s="21" t="str">
        <f aca="false">IF(B330="","",IFERROR(INDEX(代理店一覧!$B$5:$B$204,MATCH(B330,代理店一覧!$A$5:$A$204,0)),"※未登録のID"))</f>
        <v/>
      </c>
      <c r="D330" s="21"/>
      <c r="E330" s="21"/>
      <c r="F330" s="21"/>
      <c r="G330" s="18"/>
      <c r="H330" s="21"/>
      <c r="I330" s="26"/>
      <c r="J330" s="15"/>
      <c r="K330" s="27"/>
      <c r="L330" s="25" t="str">
        <f aca="false">IF(B330="","",B330&amp;"|"&amp;J330)</f>
        <v/>
      </c>
    </row>
    <row r="331" customFormat="false" ht="15" hidden="false" customHeight="false" outlineLevel="0" collapsed="false">
      <c r="A331" s="15"/>
      <c r="B331" s="21"/>
      <c r="C331" s="21" t="str">
        <f aca="false">IF(B331="","",IFERROR(INDEX(代理店一覧!$B$5:$B$204,MATCH(B331,代理店一覧!$A$5:$A$204,0)),"※未登録のID"))</f>
        <v/>
      </c>
      <c r="D331" s="21"/>
      <c r="E331" s="21"/>
      <c r="F331" s="21"/>
      <c r="G331" s="18"/>
      <c r="H331" s="21"/>
      <c r="I331" s="26"/>
      <c r="J331" s="15"/>
      <c r="K331" s="27"/>
      <c r="L331" s="25" t="str">
        <f aca="false">IF(B331="","",B331&amp;"|"&amp;J331)</f>
        <v/>
      </c>
    </row>
    <row r="332" customFormat="false" ht="15" hidden="false" customHeight="false" outlineLevel="0" collapsed="false">
      <c r="A332" s="15"/>
      <c r="B332" s="21"/>
      <c r="C332" s="21" t="str">
        <f aca="false">IF(B332="","",IFERROR(INDEX(代理店一覧!$B$5:$B$204,MATCH(B332,代理店一覧!$A$5:$A$204,0)),"※未登録のID"))</f>
        <v/>
      </c>
      <c r="D332" s="21"/>
      <c r="E332" s="21"/>
      <c r="F332" s="21"/>
      <c r="G332" s="18"/>
      <c r="H332" s="21"/>
      <c r="I332" s="26"/>
      <c r="J332" s="15"/>
      <c r="K332" s="27"/>
      <c r="L332" s="25" t="str">
        <f aca="false">IF(B332="","",B332&amp;"|"&amp;J332)</f>
        <v/>
      </c>
    </row>
    <row r="333" customFormat="false" ht="15" hidden="false" customHeight="false" outlineLevel="0" collapsed="false">
      <c r="A333" s="15"/>
      <c r="B333" s="21"/>
      <c r="C333" s="21" t="str">
        <f aca="false">IF(B333="","",IFERROR(INDEX(代理店一覧!$B$5:$B$204,MATCH(B333,代理店一覧!$A$5:$A$204,0)),"※未登録のID"))</f>
        <v/>
      </c>
      <c r="D333" s="21"/>
      <c r="E333" s="21"/>
      <c r="F333" s="21"/>
      <c r="G333" s="18"/>
      <c r="H333" s="21"/>
      <c r="I333" s="26"/>
      <c r="J333" s="15"/>
      <c r="K333" s="27"/>
      <c r="L333" s="25" t="str">
        <f aca="false">IF(B333="","",B333&amp;"|"&amp;J333)</f>
        <v/>
      </c>
    </row>
    <row r="334" customFormat="false" ht="15" hidden="false" customHeight="false" outlineLevel="0" collapsed="false">
      <c r="A334" s="15"/>
      <c r="B334" s="21"/>
      <c r="C334" s="21" t="str">
        <f aca="false">IF(B334="","",IFERROR(INDEX(代理店一覧!$B$5:$B$204,MATCH(B334,代理店一覧!$A$5:$A$204,0)),"※未登録のID"))</f>
        <v/>
      </c>
      <c r="D334" s="21"/>
      <c r="E334" s="21"/>
      <c r="F334" s="21"/>
      <c r="G334" s="18"/>
      <c r="H334" s="21"/>
      <c r="I334" s="26"/>
      <c r="J334" s="15"/>
      <c r="K334" s="27"/>
      <c r="L334" s="25" t="str">
        <f aca="false">IF(B334="","",B334&amp;"|"&amp;J334)</f>
        <v/>
      </c>
    </row>
    <row r="335" customFormat="false" ht="15" hidden="false" customHeight="false" outlineLevel="0" collapsed="false">
      <c r="A335" s="15"/>
      <c r="B335" s="21"/>
      <c r="C335" s="21" t="str">
        <f aca="false">IF(B335="","",IFERROR(INDEX(代理店一覧!$B$5:$B$204,MATCH(B335,代理店一覧!$A$5:$A$204,0)),"※未登録のID"))</f>
        <v/>
      </c>
      <c r="D335" s="21"/>
      <c r="E335" s="21"/>
      <c r="F335" s="21"/>
      <c r="G335" s="18"/>
      <c r="H335" s="21"/>
      <c r="I335" s="26"/>
      <c r="J335" s="15"/>
      <c r="K335" s="27"/>
      <c r="L335" s="25" t="str">
        <f aca="false">IF(B335="","",B335&amp;"|"&amp;J335)</f>
        <v/>
      </c>
    </row>
    <row r="336" customFormat="false" ht="15" hidden="false" customHeight="false" outlineLevel="0" collapsed="false">
      <c r="A336" s="15"/>
      <c r="B336" s="21"/>
      <c r="C336" s="21" t="str">
        <f aca="false">IF(B336="","",IFERROR(INDEX(代理店一覧!$B$5:$B$204,MATCH(B336,代理店一覧!$A$5:$A$204,0)),"※未登録のID"))</f>
        <v/>
      </c>
      <c r="D336" s="21"/>
      <c r="E336" s="21"/>
      <c r="F336" s="21"/>
      <c r="G336" s="18"/>
      <c r="H336" s="21"/>
      <c r="I336" s="26"/>
      <c r="J336" s="15"/>
      <c r="K336" s="27"/>
      <c r="L336" s="25" t="str">
        <f aca="false">IF(B336="","",B336&amp;"|"&amp;J336)</f>
        <v/>
      </c>
    </row>
    <row r="337" customFormat="false" ht="15" hidden="false" customHeight="false" outlineLevel="0" collapsed="false">
      <c r="A337" s="15"/>
      <c r="B337" s="21"/>
      <c r="C337" s="21" t="str">
        <f aca="false">IF(B337="","",IFERROR(INDEX(代理店一覧!$B$5:$B$204,MATCH(B337,代理店一覧!$A$5:$A$204,0)),"※未登録のID"))</f>
        <v/>
      </c>
      <c r="D337" s="21"/>
      <c r="E337" s="21"/>
      <c r="F337" s="21"/>
      <c r="G337" s="18"/>
      <c r="H337" s="21"/>
      <c r="I337" s="26"/>
      <c r="J337" s="15"/>
      <c r="K337" s="27"/>
      <c r="L337" s="25" t="str">
        <f aca="false">IF(B337="","",B337&amp;"|"&amp;J337)</f>
        <v/>
      </c>
    </row>
    <row r="338" customFormat="false" ht="15" hidden="false" customHeight="false" outlineLevel="0" collapsed="false">
      <c r="A338" s="15"/>
      <c r="B338" s="21"/>
      <c r="C338" s="21" t="str">
        <f aca="false">IF(B338="","",IFERROR(INDEX(代理店一覧!$B$5:$B$204,MATCH(B338,代理店一覧!$A$5:$A$204,0)),"※未登録のID"))</f>
        <v/>
      </c>
      <c r="D338" s="21"/>
      <c r="E338" s="21"/>
      <c r="F338" s="21"/>
      <c r="G338" s="18"/>
      <c r="H338" s="21"/>
      <c r="I338" s="26"/>
      <c r="J338" s="15"/>
      <c r="K338" s="27"/>
      <c r="L338" s="25" t="str">
        <f aca="false">IF(B338="","",B338&amp;"|"&amp;J338)</f>
        <v/>
      </c>
    </row>
    <row r="339" customFormat="false" ht="15" hidden="false" customHeight="false" outlineLevel="0" collapsed="false">
      <c r="A339" s="15"/>
      <c r="B339" s="21"/>
      <c r="C339" s="21" t="str">
        <f aca="false">IF(B339="","",IFERROR(INDEX(代理店一覧!$B$5:$B$204,MATCH(B339,代理店一覧!$A$5:$A$204,0)),"※未登録のID"))</f>
        <v/>
      </c>
      <c r="D339" s="21"/>
      <c r="E339" s="21"/>
      <c r="F339" s="21"/>
      <c r="G339" s="18"/>
      <c r="H339" s="21"/>
      <c r="I339" s="26"/>
      <c r="J339" s="15"/>
      <c r="K339" s="27"/>
      <c r="L339" s="25" t="str">
        <f aca="false">IF(B339="","",B339&amp;"|"&amp;J339)</f>
        <v/>
      </c>
    </row>
    <row r="340" customFormat="false" ht="15" hidden="false" customHeight="false" outlineLevel="0" collapsed="false">
      <c r="A340" s="15"/>
      <c r="B340" s="21"/>
      <c r="C340" s="21" t="str">
        <f aca="false">IF(B340="","",IFERROR(INDEX(代理店一覧!$B$5:$B$204,MATCH(B340,代理店一覧!$A$5:$A$204,0)),"※未登録のID"))</f>
        <v/>
      </c>
      <c r="D340" s="21"/>
      <c r="E340" s="21"/>
      <c r="F340" s="21"/>
      <c r="G340" s="18"/>
      <c r="H340" s="21"/>
      <c r="I340" s="26"/>
      <c r="J340" s="15"/>
      <c r="K340" s="27"/>
      <c r="L340" s="25" t="str">
        <f aca="false">IF(B340="","",B340&amp;"|"&amp;J340)</f>
        <v/>
      </c>
    </row>
    <row r="341" customFormat="false" ht="15" hidden="false" customHeight="false" outlineLevel="0" collapsed="false">
      <c r="A341" s="15"/>
      <c r="B341" s="21"/>
      <c r="C341" s="21" t="str">
        <f aca="false">IF(B341="","",IFERROR(INDEX(代理店一覧!$B$5:$B$204,MATCH(B341,代理店一覧!$A$5:$A$204,0)),"※未登録のID"))</f>
        <v/>
      </c>
      <c r="D341" s="21"/>
      <c r="E341" s="21"/>
      <c r="F341" s="21"/>
      <c r="G341" s="18"/>
      <c r="H341" s="21"/>
      <c r="I341" s="26"/>
      <c r="J341" s="15"/>
      <c r="K341" s="27"/>
      <c r="L341" s="25" t="str">
        <f aca="false">IF(B341="","",B341&amp;"|"&amp;J341)</f>
        <v/>
      </c>
    </row>
    <row r="342" customFormat="false" ht="15" hidden="false" customHeight="false" outlineLevel="0" collapsed="false">
      <c r="A342" s="15"/>
      <c r="B342" s="21"/>
      <c r="C342" s="21" t="str">
        <f aca="false">IF(B342="","",IFERROR(INDEX(代理店一覧!$B$5:$B$204,MATCH(B342,代理店一覧!$A$5:$A$204,0)),"※未登録のID"))</f>
        <v/>
      </c>
      <c r="D342" s="21"/>
      <c r="E342" s="21"/>
      <c r="F342" s="21"/>
      <c r="G342" s="18"/>
      <c r="H342" s="21"/>
      <c r="I342" s="26"/>
      <c r="J342" s="15"/>
      <c r="K342" s="27"/>
      <c r="L342" s="25" t="str">
        <f aca="false">IF(B342="","",B342&amp;"|"&amp;J342)</f>
        <v/>
      </c>
    </row>
    <row r="343" customFormat="false" ht="15" hidden="false" customHeight="false" outlineLevel="0" collapsed="false">
      <c r="A343" s="15"/>
      <c r="B343" s="21"/>
      <c r="C343" s="21" t="str">
        <f aca="false">IF(B343="","",IFERROR(INDEX(代理店一覧!$B$5:$B$204,MATCH(B343,代理店一覧!$A$5:$A$204,0)),"※未登録のID"))</f>
        <v/>
      </c>
      <c r="D343" s="21"/>
      <c r="E343" s="21"/>
      <c r="F343" s="21"/>
      <c r="G343" s="18"/>
      <c r="H343" s="21"/>
      <c r="I343" s="26"/>
      <c r="J343" s="15"/>
      <c r="K343" s="27"/>
      <c r="L343" s="25" t="str">
        <f aca="false">IF(B343="","",B343&amp;"|"&amp;J343)</f>
        <v/>
      </c>
    </row>
    <row r="344" customFormat="false" ht="15" hidden="false" customHeight="false" outlineLevel="0" collapsed="false">
      <c r="A344" s="15"/>
      <c r="B344" s="21"/>
      <c r="C344" s="21" t="str">
        <f aca="false">IF(B344="","",IFERROR(INDEX(代理店一覧!$B$5:$B$204,MATCH(B344,代理店一覧!$A$5:$A$204,0)),"※未登録のID"))</f>
        <v/>
      </c>
      <c r="D344" s="21"/>
      <c r="E344" s="21"/>
      <c r="F344" s="21"/>
      <c r="G344" s="18"/>
      <c r="H344" s="21"/>
      <c r="I344" s="26"/>
      <c r="J344" s="15"/>
      <c r="K344" s="27"/>
      <c r="L344" s="25" t="str">
        <f aca="false">IF(B344="","",B344&amp;"|"&amp;J344)</f>
        <v/>
      </c>
    </row>
    <row r="345" customFormat="false" ht="15" hidden="false" customHeight="false" outlineLevel="0" collapsed="false">
      <c r="A345" s="15"/>
      <c r="B345" s="21"/>
      <c r="C345" s="21" t="str">
        <f aca="false">IF(B345="","",IFERROR(INDEX(代理店一覧!$B$5:$B$204,MATCH(B345,代理店一覧!$A$5:$A$204,0)),"※未登録のID"))</f>
        <v/>
      </c>
      <c r="D345" s="21"/>
      <c r="E345" s="21"/>
      <c r="F345" s="21"/>
      <c r="G345" s="18"/>
      <c r="H345" s="21"/>
      <c r="I345" s="26"/>
      <c r="J345" s="15"/>
      <c r="K345" s="27"/>
      <c r="L345" s="25" t="str">
        <f aca="false">IF(B345="","",B345&amp;"|"&amp;J345)</f>
        <v/>
      </c>
    </row>
    <row r="346" customFormat="false" ht="15" hidden="false" customHeight="false" outlineLevel="0" collapsed="false">
      <c r="A346" s="15"/>
      <c r="B346" s="21"/>
      <c r="C346" s="21" t="str">
        <f aca="false">IF(B346="","",IFERROR(INDEX(代理店一覧!$B$5:$B$204,MATCH(B346,代理店一覧!$A$5:$A$204,0)),"※未登録のID"))</f>
        <v/>
      </c>
      <c r="D346" s="21"/>
      <c r="E346" s="21"/>
      <c r="F346" s="21"/>
      <c r="G346" s="18"/>
      <c r="H346" s="21"/>
      <c r="I346" s="26"/>
      <c r="J346" s="15"/>
      <c r="K346" s="27"/>
      <c r="L346" s="25" t="str">
        <f aca="false">IF(B346="","",B346&amp;"|"&amp;J346)</f>
        <v/>
      </c>
    </row>
    <row r="347" customFormat="false" ht="15" hidden="false" customHeight="false" outlineLevel="0" collapsed="false">
      <c r="A347" s="15"/>
      <c r="B347" s="21"/>
      <c r="C347" s="21" t="str">
        <f aca="false">IF(B347="","",IFERROR(INDEX(代理店一覧!$B$5:$B$204,MATCH(B347,代理店一覧!$A$5:$A$204,0)),"※未登録のID"))</f>
        <v/>
      </c>
      <c r="D347" s="21"/>
      <c r="E347" s="21"/>
      <c r="F347" s="21"/>
      <c r="G347" s="18"/>
      <c r="H347" s="21"/>
      <c r="I347" s="26"/>
      <c r="J347" s="15"/>
      <c r="K347" s="27"/>
      <c r="L347" s="25" t="str">
        <f aca="false">IF(B347="","",B347&amp;"|"&amp;J347)</f>
        <v/>
      </c>
    </row>
    <row r="348" customFormat="false" ht="15" hidden="false" customHeight="false" outlineLevel="0" collapsed="false">
      <c r="A348" s="15"/>
      <c r="B348" s="21"/>
      <c r="C348" s="21" t="str">
        <f aca="false">IF(B348="","",IFERROR(INDEX(代理店一覧!$B$5:$B$204,MATCH(B348,代理店一覧!$A$5:$A$204,0)),"※未登録のID"))</f>
        <v/>
      </c>
      <c r="D348" s="21"/>
      <c r="E348" s="21"/>
      <c r="F348" s="21"/>
      <c r="G348" s="18"/>
      <c r="H348" s="21"/>
      <c r="I348" s="26"/>
      <c r="J348" s="15"/>
      <c r="K348" s="27"/>
      <c r="L348" s="25" t="str">
        <f aca="false">IF(B348="","",B348&amp;"|"&amp;J348)</f>
        <v/>
      </c>
    </row>
    <row r="349" customFormat="false" ht="15" hidden="false" customHeight="false" outlineLevel="0" collapsed="false">
      <c r="A349" s="15"/>
      <c r="B349" s="21"/>
      <c r="C349" s="21" t="str">
        <f aca="false">IF(B349="","",IFERROR(INDEX(代理店一覧!$B$5:$B$204,MATCH(B349,代理店一覧!$A$5:$A$204,0)),"※未登録のID"))</f>
        <v/>
      </c>
      <c r="D349" s="21"/>
      <c r="E349" s="21"/>
      <c r="F349" s="21"/>
      <c r="G349" s="18"/>
      <c r="H349" s="21"/>
      <c r="I349" s="26"/>
      <c r="J349" s="15"/>
      <c r="K349" s="27"/>
      <c r="L349" s="25" t="str">
        <f aca="false">IF(B349="","",B349&amp;"|"&amp;J349)</f>
        <v/>
      </c>
    </row>
    <row r="350" customFormat="false" ht="15" hidden="false" customHeight="false" outlineLevel="0" collapsed="false">
      <c r="A350" s="15"/>
      <c r="B350" s="21"/>
      <c r="C350" s="21" t="str">
        <f aca="false">IF(B350="","",IFERROR(INDEX(代理店一覧!$B$5:$B$204,MATCH(B350,代理店一覧!$A$5:$A$204,0)),"※未登録のID"))</f>
        <v/>
      </c>
      <c r="D350" s="21"/>
      <c r="E350" s="21"/>
      <c r="F350" s="21"/>
      <c r="G350" s="18"/>
      <c r="H350" s="21"/>
      <c r="I350" s="26"/>
      <c r="J350" s="15"/>
      <c r="K350" s="27"/>
      <c r="L350" s="25" t="str">
        <f aca="false">IF(B350="","",B350&amp;"|"&amp;J350)</f>
        <v/>
      </c>
    </row>
    <row r="351" customFormat="false" ht="15" hidden="false" customHeight="false" outlineLevel="0" collapsed="false">
      <c r="A351" s="15"/>
      <c r="B351" s="21"/>
      <c r="C351" s="21" t="str">
        <f aca="false">IF(B351="","",IFERROR(INDEX(代理店一覧!$B$5:$B$204,MATCH(B351,代理店一覧!$A$5:$A$204,0)),"※未登録のID"))</f>
        <v/>
      </c>
      <c r="D351" s="21"/>
      <c r="E351" s="21"/>
      <c r="F351" s="21"/>
      <c r="G351" s="18"/>
      <c r="H351" s="21"/>
      <c r="I351" s="26"/>
      <c r="J351" s="15"/>
      <c r="K351" s="27"/>
      <c r="L351" s="25" t="str">
        <f aca="false">IF(B351="","",B351&amp;"|"&amp;J351)</f>
        <v/>
      </c>
    </row>
    <row r="352" customFormat="false" ht="15" hidden="false" customHeight="false" outlineLevel="0" collapsed="false">
      <c r="A352" s="15"/>
      <c r="B352" s="21"/>
      <c r="C352" s="21" t="str">
        <f aca="false">IF(B352="","",IFERROR(INDEX(代理店一覧!$B$5:$B$204,MATCH(B352,代理店一覧!$A$5:$A$204,0)),"※未登録のID"))</f>
        <v/>
      </c>
      <c r="D352" s="21"/>
      <c r="E352" s="21"/>
      <c r="F352" s="21"/>
      <c r="G352" s="18"/>
      <c r="H352" s="21"/>
      <c r="I352" s="26"/>
      <c r="J352" s="15"/>
      <c r="K352" s="27"/>
      <c r="L352" s="25" t="str">
        <f aca="false">IF(B352="","",B352&amp;"|"&amp;J352)</f>
        <v/>
      </c>
    </row>
    <row r="353" customFormat="false" ht="15" hidden="false" customHeight="false" outlineLevel="0" collapsed="false">
      <c r="A353" s="15"/>
      <c r="B353" s="21"/>
      <c r="C353" s="21" t="str">
        <f aca="false">IF(B353="","",IFERROR(INDEX(代理店一覧!$B$5:$B$204,MATCH(B353,代理店一覧!$A$5:$A$204,0)),"※未登録のID"))</f>
        <v/>
      </c>
      <c r="D353" s="21"/>
      <c r="E353" s="21"/>
      <c r="F353" s="21"/>
      <c r="G353" s="18"/>
      <c r="H353" s="21"/>
      <c r="I353" s="26"/>
      <c r="J353" s="15"/>
      <c r="K353" s="27"/>
      <c r="L353" s="25" t="str">
        <f aca="false">IF(B353="","",B353&amp;"|"&amp;J353)</f>
        <v/>
      </c>
    </row>
    <row r="354" customFormat="false" ht="15" hidden="false" customHeight="false" outlineLevel="0" collapsed="false">
      <c r="A354" s="15"/>
      <c r="B354" s="21"/>
      <c r="C354" s="21" t="str">
        <f aca="false">IF(B354="","",IFERROR(INDEX(代理店一覧!$B$5:$B$204,MATCH(B354,代理店一覧!$A$5:$A$204,0)),"※未登録のID"))</f>
        <v/>
      </c>
      <c r="D354" s="21"/>
      <c r="E354" s="21"/>
      <c r="F354" s="21"/>
      <c r="G354" s="18"/>
      <c r="H354" s="21"/>
      <c r="I354" s="26"/>
      <c r="J354" s="15"/>
      <c r="K354" s="27"/>
      <c r="L354" s="25" t="str">
        <f aca="false">IF(B354="","",B354&amp;"|"&amp;J354)</f>
        <v/>
      </c>
    </row>
    <row r="355" customFormat="false" ht="15" hidden="false" customHeight="false" outlineLevel="0" collapsed="false">
      <c r="A355" s="15"/>
      <c r="B355" s="21"/>
      <c r="C355" s="21" t="str">
        <f aca="false">IF(B355="","",IFERROR(INDEX(代理店一覧!$B$5:$B$204,MATCH(B355,代理店一覧!$A$5:$A$204,0)),"※未登録のID"))</f>
        <v/>
      </c>
      <c r="D355" s="21"/>
      <c r="E355" s="21"/>
      <c r="F355" s="21"/>
      <c r="G355" s="18"/>
      <c r="H355" s="21"/>
      <c r="I355" s="26"/>
      <c r="J355" s="15"/>
      <c r="K355" s="27"/>
      <c r="L355" s="25" t="str">
        <f aca="false">IF(B355="","",B355&amp;"|"&amp;J355)</f>
        <v/>
      </c>
    </row>
    <row r="356" customFormat="false" ht="15" hidden="false" customHeight="false" outlineLevel="0" collapsed="false">
      <c r="A356" s="15"/>
      <c r="B356" s="21"/>
      <c r="C356" s="21" t="str">
        <f aca="false">IF(B356="","",IFERROR(INDEX(代理店一覧!$B$5:$B$204,MATCH(B356,代理店一覧!$A$5:$A$204,0)),"※未登録のID"))</f>
        <v/>
      </c>
      <c r="D356" s="21"/>
      <c r="E356" s="21"/>
      <c r="F356" s="21"/>
      <c r="G356" s="18"/>
      <c r="H356" s="21"/>
      <c r="I356" s="26"/>
      <c r="J356" s="15"/>
      <c r="K356" s="27"/>
      <c r="L356" s="25" t="str">
        <f aca="false">IF(B356="","",B356&amp;"|"&amp;J356)</f>
        <v/>
      </c>
    </row>
    <row r="357" customFormat="false" ht="15" hidden="false" customHeight="false" outlineLevel="0" collapsed="false">
      <c r="A357" s="15"/>
      <c r="B357" s="21"/>
      <c r="C357" s="21" t="str">
        <f aca="false">IF(B357="","",IFERROR(INDEX(代理店一覧!$B$5:$B$204,MATCH(B357,代理店一覧!$A$5:$A$204,0)),"※未登録のID"))</f>
        <v/>
      </c>
      <c r="D357" s="21"/>
      <c r="E357" s="21"/>
      <c r="F357" s="21"/>
      <c r="G357" s="18"/>
      <c r="H357" s="21"/>
      <c r="I357" s="26"/>
      <c r="J357" s="15"/>
      <c r="K357" s="27"/>
      <c r="L357" s="25" t="str">
        <f aca="false">IF(B357="","",B357&amp;"|"&amp;J357)</f>
        <v/>
      </c>
    </row>
    <row r="358" customFormat="false" ht="15" hidden="false" customHeight="false" outlineLevel="0" collapsed="false">
      <c r="A358" s="15"/>
      <c r="B358" s="21"/>
      <c r="C358" s="21" t="str">
        <f aca="false">IF(B358="","",IFERROR(INDEX(代理店一覧!$B$5:$B$204,MATCH(B358,代理店一覧!$A$5:$A$204,0)),"※未登録のID"))</f>
        <v/>
      </c>
      <c r="D358" s="21"/>
      <c r="E358" s="21"/>
      <c r="F358" s="21"/>
      <c r="G358" s="18"/>
      <c r="H358" s="21"/>
      <c r="I358" s="26"/>
      <c r="J358" s="15"/>
      <c r="K358" s="27"/>
      <c r="L358" s="25" t="str">
        <f aca="false">IF(B358="","",B358&amp;"|"&amp;J358)</f>
        <v/>
      </c>
    </row>
    <row r="359" customFormat="false" ht="15" hidden="false" customHeight="false" outlineLevel="0" collapsed="false">
      <c r="A359" s="15"/>
      <c r="B359" s="21"/>
      <c r="C359" s="21" t="str">
        <f aca="false">IF(B359="","",IFERROR(INDEX(代理店一覧!$B$5:$B$204,MATCH(B359,代理店一覧!$A$5:$A$204,0)),"※未登録のID"))</f>
        <v/>
      </c>
      <c r="D359" s="21"/>
      <c r="E359" s="21"/>
      <c r="F359" s="21"/>
      <c r="G359" s="18"/>
      <c r="H359" s="21"/>
      <c r="I359" s="26"/>
      <c r="J359" s="15"/>
      <c r="K359" s="27"/>
      <c r="L359" s="25" t="str">
        <f aca="false">IF(B359="","",B359&amp;"|"&amp;J359)</f>
        <v/>
      </c>
    </row>
    <row r="360" customFormat="false" ht="15" hidden="false" customHeight="false" outlineLevel="0" collapsed="false">
      <c r="A360" s="15"/>
      <c r="B360" s="21"/>
      <c r="C360" s="21" t="str">
        <f aca="false">IF(B360="","",IFERROR(INDEX(代理店一覧!$B$5:$B$204,MATCH(B360,代理店一覧!$A$5:$A$204,0)),"※未登録のID"))</f>
        <v/>
      </c>
      <c r="D360" s="21"/>
      <c r="E360" s="21"/>
      <c r="F360" s="21"/>
      <c r="G360" s="18"/>
      <c r="H360" s="21"/>
      <c r="I360" s="26"/>
      <c r="J360" s="15"/>
      <c r="K360" s="27"/>
      <c r="L360" s="25" t="str">
        <f aca="false">IF(B360="","",B360&amp;"|"&amp;J360)</f>
        <v/>
      </c>
    </row>
    <row r="361" customFormat="false" ht="15" hidden="false" customHeight="false" outlineLevel="0" collapsed="false">
      <c r="A361" s="15"/>
      <c r="B361" s="21"/>
      <c r="C361" s="21" t="str">
        <f aca="false">IF(B361="","",IFERROR(INDEX(代理店一覧!$B$5:$B$204,MATCH(B361,代理店一覧!$A$5:$A$204,0)),"※未登録のID"))</f>
        <v/>
      </c>
      <c r="D361" s="21"/>
      <c r="E361" s="21"/>
      <c r="F361" s="21"/>
      <c r="G361" s="18"/>
      <c r="H361" s="21"/>
      <c r="I361" s="26"/>
      <c r="J361" s="15"/>
      <c r="K361" s="27"/>
      <c r="L361" s="25" t="str">
        <f aca="false">IF(B361="","",B361&amp;"|"&amp;J361)</f>
        <v/>
      </c>
    </row>
    <row r="362" customFormat="false" ht="15" hidden="false" customHeight="false" outlineLevel="0" collapsed="false">
      <c r="A362" s="15"/>
      <c r="B362" s="21"/>
      <c r="C362" s="21" t="str">
        <f aca="false">IF(B362="","",IFERROR(INDEX(代理店一覧!$B$5:$B$204,MATCH(B362,代理店一覧!$A$5:$A$204,0)),"※未登録のID"))</f>
        <v/>
      </c>
      <c r="D362" s="21"/>
      <c r="E362" s="21"/>
      <c r="F362" s="21"/>
      <c r="G362" s="18"/>
      <c r="H362" s="21"/>
      <c r="I362" s="26"/>
      <c r="J362" s="15"/>
      <c r="K362" s="27"/>
      <c r="L362" s="25" t="str">
        <f aca="false">IF(B362="","",B362&amp;"|"&amp;J362)</f>
        <v/>
      </c>
    </row>
    <row r="363" customFormat="false" ht="15" hidden="false" customHeight="false" outlineLevel="0" collapsed="false">
      <c r="A363" s="15"/>
      <c r="B363" s="21"/>
      <c r="C363" s="21" t="str">
        <f aca="false">IF(B363="","",IFERROR(INDEX(代理店一覧!$B$5:$B$204,MATCH(B363,代理店一覧!$A$5:$A$204,0)),"※未登録のID"))</f>
        <v/>
      </c>
      <c r="D363" s="21"/>
      <c r="E363" s="21"/>
      <c r="F363" s="21"/>
      <c r="G363" s="18"/>
      <c r="H363" s="21"/>
      <c r="I363" s="26"/>
      <c r="J363" s="15"/>
      <c r="K363" s="27"/>
      <c r="L363" s="25" t="str">
        <f aca="false">IF(B363="","",B363&amp;"|"&amp;J363)</f>
        <v/>
      </c>
    </row>
    <row r="364" customFormat="false" ht="15" hidden="false" customHeight="false" outlineLevel="0" collapsed="false">
      <c r="A364" s="15"/>
      <c r="B364" s="21"/>
      <c r="C364" s="21" t="str">
        <f aca="false">IF(B364="","",IFERROR(INDEX(代理店一覧!$B$5:$B$204,MATCH(B364,代理店一覧!$A$5:$A$204,0)),"※未登録のID"))</f>
        <v/>
      </c>
      <c r="D364" s="21"/>
      <c r="E364" s="21"/>
      <c r="F364" s="21"/>
      <c r="G364" s="18"/>
      <c r="H364" s="21"/>
      <c r="I364" s="26"/>
      <c r="J364" s="15"/>
      <c r="K364" s="27"/>
      <c r="L364" s="25" t="str">
        <f aca="false">IF(B364="","",B364&amp;"|"&amp;J364)</f>
        <v/>
      </c>
    </row>
    <row r="365" customFormat="false" ht="15" hidden="false" customHeight="false" outlineLevel="0" collapsed="false">
      <c r="A365" s="15"/>
      <c r="B365" s="21"/>
      <c r="C365" s="21" t="str">
        <f aca="false">IF(B365="","",IFERROR(INDEX(代理店一覧!$B$5:$B$204,MATCH(B365,代理店一覧!$A$5:$A$204,0)),"※未登録のID"))</f>
        <v/>
      </c>
      <c r="D365" s="21"/>
      <c r="E365" s="21"/>
      <c r="F365" s="21"/>
      <c r="G365" s="18"/>
      <c r="H365" s="21"/>
      <c r="I365" s="26"/>
      <c r="J365" s="15"/>
      <c r="K365" s="27"/>
      <c r="L365" s="25" t="str">
        <f aca="false">IF(B365="","",B365&amp;"|"&amp;J365)</f>
        <v/>
      </c>
    </row>
    <row r="366" customFormat="false" ht="15" hidden="false" customHeight="false" outlineLevel="0" collapsed="false">
      <c r="A366" s="15"/>
      <c r="B366" s="21"/>
      <c r="C366" s="21" t="str">
        <f aca="false">IF(B366="","",IFERROR(INDEX(代理店一覧!$B$5:$B$204,MATCH(B366,代理店一覧!$A$5:$A$204,0)),"※未登録のID"))</f>
        <v/>
      </c>
      <c r="D366" s="21"/>
      <c r="E366" s="21"/>
      <c r="F366" s="21"/>
      <c r="G366" s="18"/>
      <c r="H366" s="21"/>
      <c r="I366" s="26"/>
      <c r="J366" s="15"/>
      <c r="K366" s="27"/>
      <c r="L366" s="25" t="str">
        <f aca="false">IF(B366="","",B366&amp;"|"&amp;J366)</f>
        <v/>
      </c>
    </row>
    <row r="367" customFormat="false" ht="15" hidden="false" customHeight="false" outlineLevel="0" collapsed="false">
      <c r="A367" s="15"/>
      <c r="B367" s="21"/>
      <c r="C367" s="21" t="str">
        <f aca="false">IF(B367="","",IFERROR(INDEX(代理店一覧!$B$5:$B$204,MATCH(B367,代理店一覧!$A$5:$A$204,0)),"※未登録のID"))</f>
        <v/>
      </c>
      <c r="D367" s="21"/>
      <c r="E367" s="21"/>
      <c r="F367" s="21"/>
      <c r="G367" s="18"/>
      <c r="H367" s="21"/>
      <c r="I367" s="26"/>
      <c r="J367" s="15"/>
      <c r="K367" s="27"/>
      <c r="L367" s="25" t="str">
        <f aca="false">IF(B367="","",B367&amp;"|"&amp;J367)</f>
        <v/>
      </c>
    </row>
    <row r="368" customFormat="false" ht="15" hidden="false" customHeight="false" outlineLevel="0" collapsed="false">
      <c r="A368" s="15"/>
      <c r="B368" s="21"/>
      <c r="C368" s="21" t="str">
        <f aca="false">IF(B368="","",IFERROR(INDEX(代理店一覧!$B$5:$B$204,MATCH(B368,代理店一覧!$A$5:$A$204,0)),"※未登録のID"))</f>
        <v/>
      </c>
      <c r="D368" s="21"/>
      <c r="E368" s="21"/>
      <c r="F368" s="21"/>
      <c r="G368" s="18"/>
      <c r="H368" s="21"/>
      <c r="I368" s="26"/>
      <c r="J368" s="15"/>
      <c r="K368" s="27"/>
      <c r="L368" s="25" t="str">
        <f aca="false">IF(B368="","",B368&amp;"|"&amp;J368)</f>
        <v/>
      </c>
    </row>
    <row r="369" customFormat="false" ht="15" hidden="false" customHeight="false" outlineLevel="0" collapsed="false">
      <c r="A369" s="15"/>
      <c r="B369" s="21"/>
      <c r="C369" s="21" t="str">
        <f aca="false">IF(B369="","",IFERROR(INDEX(代理店一覧!$B$5:$B$204,MATCH(B369,代理店一覧!$A$5:$A$204,0)),"※未登録のID"))</f>
        <v/>
      </c>
      <c r="D369" s="21"/>
      <c r="E369" s="21"/>
      <c r="F369" s="21"/>
      <c r="G369" s="18"/>
      <c r="H369" s="21"/>
      <c r="I369" s="26"/>
      <c r="J369" s="15"/>
      <c r="K369" s="27"/>
      <c r="L369" s="25" t="str">
        <f aca="false">IF(B369="","",B369&amp;"|"&amp;J369)</f>
        <v/>
      </c>
    </row>
    <row r="370" customFormat="false" ht="15" hidden="false" customHeight="false" outlineLevel="0" collapsed="false">
      <c r="A370" s="15"/>
      <c r="B370" s="21"/>
      <c r="C370" s="21" t="str">
        <f aca="false">IF(B370="","",IFERROR(INDEX(代理店一覧!$B$5:$B$204,MATCH(B370,代理店一覧!$A$5:$A$204,0)),"※未登録のID"))</f>
        <v/>
      </c>
      <c r="D370" s="21"/>
      <c r="E370" s="21"/>
      <c r="F370" s="21"/>
      <c r="G370" s="18"/>
      <c r="H370" s="21"/>
      <c r="I370" s="26"/>
      <c r="J370" s="15"/>
      <c r="K370" s="27"/>
      <c r="L370" s="25" t="str">
        <f aca="false">IF(B370="","",B370&amp;"|"&amp;J370)</f>
        <v/>
      </c>
    </row>
    <row r="371" customFormat="false" ht="15" hidden="false" customHeight="false" outlineLevel="0" collapsed="false">
      <c r="A371" s="15"/>
      <c r="B371" s="21"/>
      <c r="C371" s="21" t="str">
        <f aca="false">IF(B371="","",IFERROR(INDEX(代理店一覧!$B$5:$B$204,MATCH(B371,代理店一覧!$A$5:$A$204,0)),"※未登録のID"))</f>
        <v/>
      </c>
      <c r="D371" s="21"/>
      <c r="E371" s="21"/>
      <c r="F371" s="21"/>
      <c r="G371" s="18"/>
      <c r="H371" s="21"/>
      <c r="I371" s="26"/>
      <c r="J371" s="15"/>
      <c r="K371" s="27"/>
      <c r="L371" s="25" t="str">
        <f aca="false">IF(B371="","",B371&amp;"|"&amp;J371)</f>
        <v/>
      </c>
    </row>
    <row r="372" customFormat="false" ht="15" hidden="false" customHeight="false" outlineLevel="0" collapsed="false">
      <c r="A372" s="15"/>
      <c r="B372" s="21"/>
      <c r="C372" s="21" t="str">
        <f aca="false">IF(B372="","",IFERROR(INDEX(代理店一覧!$B$5:$B$204,MATCH(B372,代理店一覧!$A$5:$A$204,0)),"※未登録のID"))</f>
        <v/>
      </c>
      <c r="D372" s="21"/>
      <c r="E372" s="21"/>
      <c r="F372" s="21"/>
      <c r="G372" s="18"/>
      <c r="H372" s="21"/>
      <c r="I372" s="26"/>
      <c r="J372" s="15"/>
      <c r="K372" s="27"/>
      <c r="L372" s="25" t="str">
        <f aca="false">IF(B372="","",B372&amp;"|"&amp;J372)</f>
        <v/>
      </c>
    </row>
    <row r="373" customFormat="false" ht="15" hidden="false" customHeight="false" outlineLevel="0" collapsed="false">
      <c r="A373" s="15"/>
      <c r="B373" s="21"/>
      <c r="C373" s="21" t="str">
        <f aca="false">IF(B373="","",IFERROR(INDEX(代理店一覧!$B$5:$B$204,MATCH(B373,代理店一覧!$A$5:$A$204,0)),"※未登録のID"))</f>
        <v/>
      </c>
      <c r="D373" s="21"/>
      <c r="E373" s="21"/>
      <c r="F373" s="21"/>
      <c r="G373" s="18"/>
      <c r="H373" s="21"/>
      <c r="I373" s="26"/>
      <c r="J373" s="15"/>
      <c r="K373" s="27"/>
      <c r="L373" s="25" t="str">
        <f aca="false">IF(B373="","",B373&amp;"|"&amp;J373)</f>
        <v/>
      </c>
    </row>
    <row r="374" customFormat="false" ht="15" hidden="false" customHeight="false" outlineLevel="0" collapsed="false">
      <c r="A374" s="15"/>
      <c r="B374" s="21"/>
      <c r="C374" s="21" t="str">
        <f aca="false">IF(B374="","",IFERROR(INDEX(代理店一覧!$B$5:$B$204,MATCH(B374,代理店一覧!$A$5:$A$204,0)),"※未登録のID"))</f>
        <v/>
      </c>
      <c r="D374" s="21"/>
      <c r="E374" s="21"/>
      <c r="F374" s="21"/>
      <c r="G374" s="18"/>
      <c r="H374" s="21"/>
      <c r="I374" s="26"/>
      <c r="J374" s="15"/>
      <c r="K374" s="27"/>
      <c r="L374" s="25" t="str">
        <f aca="false">IF(B374="","",B374&amp;"|"&amp;J374)</f>
        <v/>
      </c>
    </row>
    <row r="375" customFormat="false" ht="15" hidden="false" customHeight="false" outlineLevel="0" collapsed="false">
      <c r="A375" s="15"/>
      <c r="B375" s="21"/>
      <c r="C375" s="21" t="str">
        <f aca="false">IF(B375="","",IFERROR(INDEX(代理店一覧!$B$5:$B$204,MATCH(B375,代理店一覧!$A$5:$A$204,0)),"※未登録のID"))</f>
        <v/>
      </c>
      <c r="D375" s="21"/>
      <c r="E375" s="21"/>
      <c r="F375" s="21"/>
      <c r="G375" s="18"/>
      <c r="H375" s="21"/>
      <c r="I375" s="26"/>
      <c r="J375" s="15"/>
      <c r="K375" s="27"/>
      <c r="L375" s="25" t="str">
        <f aca="false">IF(B375="","",B375&amp;"|"&amp;J375)</f>
        <v/>
      </c>
    </row>
    <row r="376" customFormat="false" ht="15" hidden="false" customHeight="false" outlineLevel="0" collapsed="false">
      <c r="A376" s="15"/>
      <c r="B376" s="21"/>
      <c r="C376" s="21" t="str">
        <f aca="false">IF(B376="","",IFERROR(INDEX(代理店一覧!$B$5:$B$204,MATCH(B376,代理店一覧!$A$5:$A$204,0)),"※未登録のID"))</f>
        <v/>
      </c>
      <c r="D376" s="21"/>
      <c r="E376" s="21"/>
      <c r="F376" s="21"/>
      <c r="G376" s="18"/>
      <c r="H376" s="21"/>
      <c r="I376" s="26"/>
      <c r="J376" s="15"/>
      <c r="K376" s="27"/>
      <c r="L376" s="25" t="str">
        <f aca="false">IF(B376="","",B376&amp;"|"&amp;J376)</f>
        <v/>
      </c>
    </row>
    <row r="377" customFormat="false" ht="15" hidden="false" customHeight="false" outlineLevel="0" collapsed="false">
      <c r="A377" s="15"/>
      <c r="B377" s="21"/>
      <c r="C377" s="21" t="str">
        <f aca="false">IF(B377="","",IFERROR(INDEX(代理店一覧!$B$5:$B$204,MATCH(B377,代理店一覧!$A$5:$A$204,0)),"※未登録のID"))</f>
        <v/>
      </c>
      <c r="D377" s="21"/>
      <c r="E377" s="21"/>
      <c r="F377" s="21"/>
      <c r="G377" s="18"/>
      <c r="H377" s="21"/>
      <c r="I377" s="26"/>
      <c r="J377" s="15"/>
      <c r="K377" s="27"/>
      <c r="L377" s="25" t="str">
        <f aca="false">IF(B377="","",B377&amp;"|"&amp;J377)</f>
        <v/>
      </c>
    </row>
    <row r="378" customFormat="false" ht="15" hidden="false" customHeight="false" outlineLevel="0" collapsed="false">
      <c r="A378" s="15"/>
      <c r="B378" s="21"/>
      <c r="C378" s="21" t="str">
        <f aca="false">IF(B378="","",IFERROR(INDEX(代理店一覧!$B$5:$B$204,MATCH(B378,代理店一覧!$A$5:$A$204,0)),"※未登録のID"))</f>
        <v/>
      </c>
      <c r="D378" s="21"/>
      <c r="E378" s="21"/>
      <c r="F378" s="21"/>
      <c r="G378" s="18"/>
      <c r="H378" s="21"/>
      <c r="I378" s="26"/>
      <c r="J378" s="15"/>
      <c r="K378" s="27"/>
      <c r="L378" s="25" t="str">
        <f aca="false">IF(B378="","",B378&amp;"|"&amp;J378)</f>
        <v/>
      </c>
    </row>
    <row r="379" customFormat="false" ht="15" hidden="false" customHeight="false" outlineLevel="0" collapsed="false">
      <c r="A379" s="15"/>
      <c r="B379" s="21"/>
      <c r="C379" s="21" t="str">
        <f aca="false">IF(B379="","",IFERROR(INDEX(代理店一覧!$B$5:$B$204,MATCH(B379,代理店一覧!$A$5:$A$204,0)),"※未登録のID"))</f>
        <v/>
      </c>
      <c r="D379" s="21"/>
      <c r="E379" s="21"/>
      <c r="F379" s="21"/>
      <c r="G379" s="18"/>
      <c r="H379" s="21"/>
      <c r="I379" s="26"/>
      <c r="J379" s="15"/>
      <c r="K379" s="27"/>
      <c r="L379" s="25" t="str">
        <f aca="false">IF(B379="","",B379&amp;"|"&amp;J379)</f>
        <v/>
      </c>
    </row>
    <row r="380" customFormat="false" ht="15" hidden="false" customHeight="false" outlineLevel="0" collapsed="false">
      <c r="A380" s="15"/>
      <c r="B380" s="21"/>
      <c r="C380" s="21" t="str">
        <f aca="false">IF(B380="","",IFERROR(INDEX(代理店一覧!$B$5:$B$204,MATCH(B380,代理店一覧!$A$5:$A$204,0)),"※未登録のID"))</f>
        <v/>
      </c>
      <c r="D380" s="21"/>
      <c r="E380" s="21"/>
      <c r="F380" s="21"/>
      <c r="G380" s="18"/>
      <c r="H380" s="21"/>
      <c r="I380" s="26"/>
      <c r="J380" s="15"/>
      <c r="K380" s="27"/>
      <c r="L380" s="25" t="str">
        <f aca="false">IF(B380="","",B380&amp;"|"&amp;J380)</f>
        <v/>
      </c>
    </row>
    <row r="381" customFormat="false" ht="15" hidden="false" customHeight="false" outlineLevel="0" collapsed="false">
      <c r="A381" s="15"/>
      <c r="B381" s="21"/>
      <c r="C381" s="21" t="str">
        <f aca="false">IF(B381="","",IFERROR(INDEX(代理店一覧!$B$5:$B$204,MATCH(B381,代理店一覧!$A$5:$A$204,0)),"※未登録のID"))</f>
        <v/>
      </c>
      <c r="D381" s="21"/>
      <c r="E381" s="21"/>
      <c r="F381" s="21"/>
      <c r="G381" s="18"/>
      <c r="H381" s="21"/>
      <c r="I381" s="26"/>
      <c r="J381" s="15"/>
      <c r="K381" s="27"/>
      <c r="L381" s="25" t="str">
        <f aca="false">IF(B381="","",B381&amp;"|"&amp;J381)</f>
        <v/>
      </c>
    </row>
    <row r="382" customFormat="false" ht="15" hidden="false" customHeight="false" outlineLevel="0" collapsed="false">
      <c r="A382" s="15"/>
      <c r="B382" s="21"/>
      <c r="C382" s="21" t="str">
        <f aca="false">IF(B382="","",IFERROR(INDEX(代理店一覧!$B$5:$B$204,MATCH(B382,代理店一覧!$A$5:$A$204,0)),"※未登録のID"))</f>
        <v/>
      </c>
      <c r="D382" s="21"/>
      <c r="E382" s="21"/>
      <c r="F382" s="21"/>
      <c r="G382" s="18"/>
      <c r="H382" s="21"/>
      <c r="I382" s="26"/>
      <c r="J382" s="15"/>
      <c r="K382" s="27"/>
      <c r="L382" s="25" t="str">
        <f aca="false">IF(B382="","",B382&amp;"|"&amp;J382)</f>
        <v/>
      </c>
    </row>
    <row r="383" customFormat="false" ht="15" hidden="false" customHeight="false" outlineLevel="0" collapsed="false">
      <c r="A383" s="15"/>
      <c r="B383" s="21"/>
      <c r="C383" s="21" t="str">
        <f aca="false">IF(B383="","",IFERROR(INDEX(代理店一覧!$B$5:$B$204,MATCH(B383,代理店一覧!$A$5:$A$204,0)),"※未登録のID"))</f>
        <v/>
      </c>
      <c r="D383" s="21"/>
      <c r="E383" s="21"/>
      <c r="F383" s="21"/>
      <c r="G383" s="18"/>
      <c r="H383" s="21"/>
      <c r="I383" s="26"/>
      <c r="J383" s="15"/>
      <c r="K383" s="27"/>
      <c r="L383" s="25" t="str">
        <f aca="false">IF(B383="","",B383&amp;"|"&amp;J383)</f>
        <v/>
      </c>
    </row>
    <row r="384" customFormat="false" ht="15" hidden="false" customHeight="false" outlineLevel="0" collapsed="false">
      <c r="A384" s="15"/>
      <c r="B384" s="21"/>
      <c r="C384" s="21" t="str">
        <f aca="false">IF(B384="","",IFERROR(INDEX(代理店一覧!$B$5:$B$204,MATCH(B384,代理店一覧!$A$5:$A$204,0)),"※未登録のID"))</f>
        <v/>
      </c>
      <c r="D384" s="21"/>
      <c r="E384" s="21"/>
      <c r="F384" s="21"/>
      <c r="G384" s="18"/>
      <c r="H384" s="21"/>
      <c r="I384" s="26"/>
      <c r="J384" s="15"/>
      <c r="K384" s="27"/>
      <c r="L384" s="25" t="str">
        <f aca="false">IF(B384="","",B384&amp;"|"&amp;J384)</f>
        <v/>
      </c>
    </row>
    <row r="385" customFormat="false" ht="15" hidden="false" customHeight="false" outlineLevel="0" collapsed="false">
      <c r="A385" s="15"/>
      <c r="B385" s="21"/>
      <c r="C385" s="21" t="str">
        <f aca="false">IF(B385="","",IFERROR(INDEX(代理店一覧!$B$5:$B$204,MATCH(B385,代理店一覧!$A$5:$A$204,0)),"※未登録のID"))</f>
        <v/>
      </c>
      <c r="D385" s="21"/>
      <c r="E385" s="21"/>
      <c r="F385" s="21"/>
      <c r="G385" s="18"/>
      <c r="H385" s="21"/>
      <c r="I385" s="26"/>
      <c r="J385" s="15"/>
      <c r="K385" s="27"/>
      <c r="L385" s="25" t="str">
        <f aca="false">IF(B385="","",B385&amp;"|"&amp;J385)</f>
        <v/>
      </c>
    </row>
    <row r="386" customFormat="false" ht="15" hidden="false" customHeight="false" outlineLevel="0" collapsed="false">
      <c r="A386" s="15"/>
      <c r="B386" s="21"/>
      <c r="C386" s="21" t="str">
        <f aca="false">IF(B386="","",IFERROR(INDEX(代理店一覧!$B$5:$B$204,MATCH(B386,代理店一覧!$A$5:$A$204,0)),"※未登録のID"))</f>
        <v/>
      </c>
      <c r="D386" s="21"/>
      <c r="E386" s="21"/>
      <c r="F386" s="21"/>
      <c r="G386" s="18"/>
      <c r="H386" s="21"/>
      <c r="I386" s="26"/>
      <c r="J386" s="15"/>
      <c r="K386" s="27"/>
      <c r="L386" s="25" t="str">
        <f aca="false">IF(B386="","",B386&amp;"|"&amp;J386)</f>
        <v/>
      </c>
    </row>
    <row r="387" customFormat="false" ht="15" hidden="false" customHeight="false" outlineLevel="0" collapsed="false">
      <c r="A387" s="15"/>
      <c r="B387" s="21"/>
      <c r="C387" s="21" t="str">
        <f aca="false">IF(B387="","",IFERROR(INDEX(代理店一覧!$B$5:$B$204,MATCH(B387,代理店一覧!$A$5:$A$204,0)),"※未登録のID"))</f>
        <v/>
      </c>
      <c r="D387" s="21"/>
      <c r="E387" s="21"/>
      <c r="F387" s="21"/>
      <c r="G387" s="18"/>
      <c r="H387" s="21"/>
      <c r="I387" s="26"/>
      <c r="J387" s="15"/>
      <c r="K387" s="27"/>
      <c r="L387" s="25" t="str">
        <f aca="false">IF(B387="","",B387&amp;"|"&amp;J387)</f>
        <v/>
      </c>
    </row>
    <row r="388" customFormat="false" ht="15" hidden="false" customHeight="false" outlineLevel="0" collapsed="false">
      <c r="A388" s="15"/>
      <c r="B388" s="21"/>
      <c r="C388" s="21" t="str">
        <f aca="false">IF(B388="","",IFERROR(INDEX(代理店一覧!$B$5:$B$204,MATCH(B388,代理店一覧!$A$5:$A$204,0)),"※未登録のID"))</f>
        <v/>
      </c>
      <c r="D388" s="21"/>
      <c r="E388" s="21"/>
      <c r="F388" s="21"/>
      <c r="G388" s="18"/>
      <c r="H388" s="21"/>
      <c r="I388" s="26"/>
      <c r="J388" s="15"/>
      <c r="K388" s="27"/>
      <c r="L388" s="25" t="str">
        <f aca="false">IF(B388="","",B388&amp;"|"&amp;J388)</f>
        <v/>
      </c>
    </row>
    <row r="389" customFormat="false" ht="15" hidden="false" customHeight="false" outlineLevel="0" collapsed="false">
      <c r="A389" s="15"/>
      <c r="B389" s="21"/>
      <c r="C389" s="21" t="str">
        <f aca="false">IF(B389="","",IFERROR(INDEX(代理店一覧!$B$5:$B$204,MATCH(B389,代理店一覧!$A$5:$A$204,0)),"※未登録のID"))</f>
        <v/>
      </c>
      <c r="D389" s="21"/>
      <c r="E389" s="21"/>
      <c r="F389" s="21"/>
      <c r="G389" s="18"/>
      <c r="H389" s="21"/>
      <c r="I389" s="26"/>
      <c r="J389" s="15"/>
      <c r="K389" s="27"/>
      <c r="L389" s="25" t="str">
        <f aca="false">IF(B389="","",B389&amp;"|"&amp;J389)</f>
        <v/>
      </c>
    </row>
    <row r="390" customFormat="false" ht="15" hidden="false" customHeight="false" outlineLevel="0" collapsed="false">
      <c r="A390" s="15"/>
      <c r="B390" s="21"/>
      <c r="C390" s="21" t="str">
        <f aca="false">IF(B390="","",IFERROR(INDEX(代理店一覧!$B$5:$B$204,MATCH(B390,代理店一覧!$A$5:$A$204,0)),"※未登録のID"))</f>
        <v/>
      </c>
      <c r="D390" s="21"/>
      <c r="E390" s="21"/>
      <c r="F390" s="21"/>
      <c r="G390" s="18"/>
      <c r="H390" s="21"/>
      <c r="I390" s="26"/>
      <c r="J390" s="15"/>
      <c r="K390" s="27"/>
      <c r="L390" s="25" t="str">
        <f aca="false">IF(B390="","",B390&amp;"|"&amp;J390)</f>
        <v/>
      </c>
    </row>
    <row r="391" customFormat="false" ht="15" hidden="false" customHeight="false" outlineLevel="0" collapsed="false">
      <c r="A391" s="15"/>
      <c r="B391" s="21"/>
      <c r="C391" s="21" t="str">
        <f aca="false">IF(B391="","",IFERROR(INDEX(代理店一覧!$B$5:$B$204,MATCH(B391,代理店一覧!$A$5:$A$204,0)),"※未登録のID"))</f>
        <v/>
      </c>
      <c r="D391" s="21"/>
      <c r="E391" s="21"/>
      <c r="F391" s="21"/>
      <c r="G391" s="18"/>
      <c r="H391" s="21"/>
      <c r="I391" s="26"/>
      <c r="J391" s="15"/>
      <c r="K391" s="27"/>
      <c r="L391" s="25" t="str">
        <f aca="false">IF(B391="","",B391&amp;"|"&amp;J391)</f>
        <v/>
      </c>
    </row>
    <row r="392" customFormat="false" ht="15" hidden="false" customHeight="false" outlineLevel="0" collapsed="false">
      <c r="A392" s="15"/>
      <c r="B392" s="21"/>
      <c r="C392" s="21" t="str">
        <f aca="false">IF(B392="","",IFERROR(INDEX(代理店一覧!$B$5:$B$204,MATCH(B392,代理店一覧!$A$5:$A$204,0)),"※未登録のID"))</f>
        <v/>
      </c>
      <c r="D392" s="21"/>
      <c r="E392" s="21"/>
      <c r="F392" s="21"/>
      <c r="G392" s="18"/>
      <c r="H392" s="21"/>
      <c r="I392" s="26"/>
      <c r="J392" s="15"/>
      <c r="K392" s="27"/>
      <c r="L392" s="25" t="str">
        <f aca="false">IF(B392="","",B392&amp;"|"&amp;J392)</f>
        <v/>
      </c>
    </row>
    <row r="393" customFormat="false" ht="15" hidden="false" customHeight="false" outlineLevel="0" collapsed="false">
      <c r="A393" s="15"/>
      <c r="B393" s="21"/>
      <c r="C393" s="21" t="str">
        <f aca="false">IF(B393="","",IFERROR(INDEX(代理店一覧!$B$5:$B$204,MATCH(B393,代理店一覧!$A$5:$A$204,0)),"※未登録のID"))</f>
        <v/>
      </c>
      <c r="D393" s="21"/>
      <c r="E393" s="21"/>
      <c r="F393" s="21"/>
      <c r="G393" s="18"/>
      <c r="H393" s="21"/>
      <c r="I393" s="26"/>
      <c r="J393" s="15"/>
      <c r="K393" s="27"/>
      <c r="L393" s="25" t="str">
        <f aca="false">IF(B393="","",B393&amp;"|"&amp;J393)</f>
        <v/>
      </c>
    </row>
    <row r="394" customFormat="false" ht="15" hidden="false" customHeight="false" outlineLevel="0" collapsed="false">
      <c r="A394" s="15"/>
      <c r="B394" s="21"/>
      <c r="C394" s="21" t="str">
        <f aca="false">IF(B394="","",IFERROR(INDEX(代理店一覧!$B$5:$B$204,MATCH(B394,代理店一覧!$A$5:$A$204,0)),"※未登録のID"))</f>
        <v/>
      </c>
      <c r="D394" s="21"/>
      <c r="E394" s="21"/>
      <c r="F394" s="21"/>
      <c r="G394" s="18"/>
      <c r="H394" s="21"/>
      <c r="I394" s="26"/>
      <c r="J394" s="15"/>
      <c r="K394" s="27"/>
      <c r="L394" s="25" t="str">
        <f aca="false">IF(B394="","",B394&amp;"|"&amp;J394)</f>
        <v/>
      </c>
    </row>
    <row r="395" customFormat="false" ht="15" hidden="false" customHeight="false" outlineLevel="0" collapsed="false">
      <c r="A395" s="15"/>
      <c r="B395" s="21"/>
      <c r="C395" s="21" t="str">
        <f aca="false">IF(B395="","",IFERROR(INDEX(代理店一覧!$B$5:$B$204,MATCH(B395,代理店一覧!$A$5:$A$204,0)),"※未登録のID"))</f>
        <v/>
      </c>
      <c r="D395" s="21"/>
      <c r="E395" s="21"/>
      <c r="F395" s="21"/>
      <c r="G395" s="18"/>
      <c r="H395" s="21"/>
      <c r="I395" s="26"/>
      <c r="J395" s="15"/>
      <c r="K395" s="27"/>
      <c r="L395" s="25" t="str">
        <f aca="false">IF(B395="","",B395&amp;"|"&amp;J395)</f>
        <v/>
      </c>
    </row>
    <row r="396" customFormat="false" ht="15" hidden="false" customHeight="false" outlineLevel="0" collapsed="false">
      <c r="A396" s="15"/>
      <c r="B396" s="21"/>
      <c r="C396" s="21" t="str">
        <f aca="false">IF(B396="","",IFERROR(INDEX(代理店一覧!$B$5:$B$204,MATCH(B396,代理店一覧!$A$5:$A$204,0)),"※未登録のID"))</f>
        <v/>
      </c>
      <c r="D396" s="21"/>
      <c r="E396" s="21"/>
      <c r="F396" s="21"/>
      <c r="G396" s="18"/>
      <c r="H396" s="21"/>
      <c r="I396" s="26"/>
      <c r="J396" s="15"/>
      <c r="K396" s="27"/>
      <c r="L396" s="25" t="str">
        <f aca="false">IF(B396="","",B396&amp;"|"&amp;J396)</f>
        <v/>
      </c>
    </row>
    <row r="397" customFormat="false" ht="15" hidden="false" customHeight="false" outlineLevel="0" collapsed="false">
      <c r="A397" s="15"/>
      <c r="B397" s="21"/>
      <c r="C397" s="21" t="str">
        <f aca="false">IF(B397="","",IFERROR(INDEX(代理店一覧!$B$5:$B$204,MATCH(B397,代理店一覧!$A$5:$A$204,0)),"※未登録のID"))</f>
        <v/>
      </c>
      <c r="D397" s="21"/>
      <c r="E397" s="21"/>
      <c r="F397" s="21"/>
      <c r="G397" s="18"/>
      <c r="H397" s="21"/>
      <c r="I397" s="26"/>
      <c r="J397" s="15"/>
      <c r="K397" s="27"/>
      <c r="L397" s="25" t="str">
        <f aca="false">IF(B397="","",B397&amp;"|"&amp;J397)</f>
        <v/>
      </c>
    </row>
    <row r="398" customFormat="false" ht="15" hidden="false" customHeight="false" outlineLevel="0" collapsed="false">
      <c r="A398" s="15"/>
      <c r="B398" s="21"/>
      <c r="C398" s="21" t="str">
        <f aca="false">IF(B398="","",IFERROR(INDEX(代理店一覧!$B$5:$B$204,MATCH(B398,代理店一覧!$A$5:$A$204,0)),"※未登録のID"))</f>
        <v/>
      </c>
      <c r="D398" s="21"/>
      <c r="E398" s="21"/>
      <c r="F398" s="21"/>
      <c r="G398" s="18"/>
      <c r="H398" s="21"/>
      <c r="I398" s="26"/>
      <c r="J398" s="15"/>
      <c r="K398" s="27"/>
      <c r="L398" s="25" t="str">
        <f aca="false">IF(B398="","",B398&amp;"|"&amp;J398)</f>
        <v/>
      </c>
    </row>
    <row r="399" customFormat="false" ht="15" hidden="false" customHeight="false" outlineLevel="0" collapsed="false">
      <c r="A399" s="15"/>
      <c r="B399" s="21"/>
      <c r="C399" s="21" t="str">
        <f aca="false">IF(B399="","",IFERROR(INDEX(代理店一覧!$B$5:$B$204,MATCH(B399,代理店一覧!$A$5:$A$204,0)),"※未登録のID"))</f>
        <v/>
      </c>
      <c r="D399" s="21"/>
      <c r="E399" s="21"/>
      <c r="F399" s="21"/>
      <c r="G399" s="18"/>
      <c r="H399" s="21"/>
      <c r="I399" s="26"/>
      <c r="J399" s="15"/>
      <c r="K399" s="27"/>
      <c r="L399" s="25" t="str">
        <f aca="false">IF(B399="","",B399&amp;"|"&amp;J399)</f>
        <v/>
      </c>
    </row>
    <row r="400" customFormat="false" ht="15" hidden="false" customHeight="false" outlineLevel="0" collapsed="false">
      <c r="A400" s="15"/>
      <c r="B400" s="21"/>
      <c r="C400" s="21" t="str">
        <f aca="false">IF(B400="","",IFERROR(INDEX(代理店一覧!$B$5:$B$204,MATCH(B400,代理店一覧!$A$5:$A$204,0)),"※未登録のID"))</f>
        <v/>
      </c>
      <c r="D400" s="21"/>
      <c r="E400" s="21"/>
      <c r="F400" s="21"/>
      <c r="G400" s="18"/>
      <c r="H400" s="21"/>
      <c r="I400" s="26"/>
      <c r="J400" s="15"/>
      <c r="K400" s="27"/>
      <c r="L400" s="25" t="str">
        <f aca="false">IF(B400="","",B400&amp;"|"&amp;J400)</f>
        <v/>
      </c>
    </row>
    <row r="401" customFormat="false" ht="15" hidden="false" customHeight="false" outlineLevel="0" collapsed="false">
      <c r="A401" s="15"/>
      <c r="B401" s="21"/>
      <c r="C401" s="21" t="str">
        <f aca="false">IF(B401="","",IFERROR(INDEX(代理店一覧!$B$5:$B$204,MATCH(B401,代理店一覧!$A$5:$A$204,0)),"※未登録のID"))</f>
        <v/>
      </c>
      <c r="D401" s="21"/>
      <c r="E401" s="21"/>
      <c r="F401" s="21"/>
      <c r="G401" s="18"/>
      <c r="H401" s="21"/>
      <c r="I401" s="26"/>
      <c r="J401" s="15"/>
      <c r="K401" s="27"/>
      <c r="L401" s="25" t="str">
        <f aca="false">IF(B401="","",B401&amp;"|"&amp;J401)</f>
        <v/>
      </c>
    </row>
    <row r="402" customFormat="false" ht="15" hidden="false" customHeight="false" outlineLevel="0" collapsed="false">
      <c r="A402" s="15"/>
      <c r="B402" s="21"/>
      <c r="C402" s="21" t="str">
        <f aca="false">IF(B402="","",IFERROR(INDEX(代理店一覧!$B$5:$B$204,MATCH(B402,代理店一覧!$A$5:$A$204,0)),"※未登録のID"))</f>
        <v/>
      </c>
      <c r="D402" s="21"/>
      <c r="E402" s="21"/>
      <c r="F402" s="21"/>
      <c r="G402" s="18"/>
      <c r="H402" s="21"/>
      <c r="I402" s="26"/>
      <c r="J402" s="15"/>
      <c r="K402" s="27"/>
      <c r="L402" s="25" t="str">
        <f aca="false">IF(B402="","",B402&amp;"|"&amp;J402)</f>
        <v/>
      </c>
    </row>
    <row r="403" customFormat="false" ht="15" hidden="false" customHeight="false" outlineLevel="0" collapsed="false">
      <c r="A403" s="15"/>
      <c r="B403" s="21"/>
      <c r="C403" s="21" t="str">
        <f aca="false">IF(B403="","",IFERROR(INDEX(代理店一覧!$B$5:$B$204,MATCH(B403,代理店一覧!$A$5:$A$204,0)),"※未登録のID"))</f>
        <v/>
      </c>
      <c r="D403" s="21"/>
      <c r="E403" s="21"/>
      <c r="F403" s="21"/>
      <c r="G403" s="18"/>
      <c r="H403" s="21"/>
      <c r="I403" s="26"/>
      <c r="J403" s="15"/>
      <c r="K403" s="27"/>
      <c r="L403" s="25" t="str">
        <f aca="false">IF(B403="","",B403&amp;"|"&amp;J403)</f>
        <v/>
      </c>
    </row>
    <row r="404" customFormat="false" ht="15" hidden="false" customHeight="false" outlineLevel="0" collapsed="false">
      <c r="A404" s="15"/>
      <c r="B404" s="21"/>
      <c r="C404" s="21" t="str">
        <f aca="false">IF(B404="","",IFERROR(INDEX(代理店一覧!$B$5:$B$204,MATCH(B404,代理店一覧!$A$5:$A$204,0)),"※未登録のID"))</f>
        <v/>
      </c>
      <c r="D404" s="21"/>
      <c r="E404" s="21"/>
      <c r="F404" s="21"/>
      <c r="G404" s="18"/>
      <c r="H404" s="21"/>
      <c r="I404" s="26"/>
      <c r="J404" s="15"/>
      <c r="K404" s="27"/>
      <c r="L404" s="25" t="str">
        <f aca="false">IF(B404="","",B404&amp;"|"&amp;J404)</f>
        <v/>
      </c>
    </row>
    <row r="405" customFormat="false" ht="15" hidden="false" customHeight="false" outlineLevel="0" collapsed="false">
      <c r="A405" s="15"/>
      <c r="B405" s="21"/>
      <c r="C405" s="21" t="str">
        <f aca="false">IF(B405="","",IFERROR(INDEX(代理店一覧!$B$5:$B$204,MATCH(B405,代理店一覧!$A$5:$A$204,0)),"※未登録のID"))</f>
        <v/>
      </c>
      <c r="D405" s="21"/>
      <c r="E405" s="21"/>
      <c r="F405" s="21"/>
      <c r="G405" s="18"/>
      <c r="H405" s="21"/>
      <c r="I405" s="26"/>
      <c r="J405" s="15"/>
      <c r="K405" s="27"/>
      <c r="L405" s="25" t="str">
        <f aca="false">IF(B405="","",B405&amp;"|"&amp;J405)</f>
        <v/>
      </c>
    </row>
    <row r="406" customFormat="false" ht="15" hidden="false" customHeight="false" outlineLevel="0" collapsed="false">
      <c r="A406" s="15"/>
      <c r="B406" s="21"/>
      <c r="C406" s="21" t="str">
        <f aca="false">IF(B406="","",IFERROR(INDEX(代理店一覧!$B$5:$B$204,MATCH(B406,代理店一覧!$A$5:$A$204,0)),"※未登録のID"))</f>
        <v/>
      </c>
      <c r="D406" s="21"/>
      <c r="E406" s="21"/>
      <c r="F406" s="21"/>
      <c r="G406" s="18"/>
      <c r="H406" s="21"/>
      <c r="I406" s="26"/>
      <c r="J406" s="15"/>
      <c r="K406" s="27"/>
      <c r="L406" s="25" t="str">
        <f aca="false">IF(B406="","",B406&amp;"|"&amp;J406)</f>
        <v/>
      </c>
    </row>
    <row r="407" customFormat="false" ht="15" hidden="false" customHeight="false" outlineLevel="0" collapsed="false">
      <c r="A407" s="15"/>
      <c r="B407" s="21"/>
      <c r="C407" s="21" t="str">
        <f aca="false">IF(B407="","",IFERROR(INDEX(代理店一覧!$B$5:$B$204,MATCH(B407,代理店一覧!$A$5:$A$204,0)),"※未登録のID"))</f>
        <v/>
      </c>
      <c r="D407" s="21"/>
      <c r="E407" s="21"/>
      <c r="F407" s="21"/>
      <c r="G407" s="18"/>
      <c r="H407" s="21"/>
      <c r="I407" s="26"/>
      <c r="J407" s="15"/>
      <c r="K407" s="27"/>
      <c r="L407" s="25" t="str">
        <f aca="false">IF(B407="","",B407&amp;"|"&amp;J407)</f>
        <v/>
      </c>
    </row>
    <row r="408" customFormat="false" ht="15" hidden="false" customHeight="false" outlineLevel="0" collapsed="false">
      <c r="A408" s="15"/>
      <c r="B408" s="21"/>
      <c r="C408" s="21" t="str">
        <f aca="false">IF(B408="","",IFERROR(INDEX(代理店一覧!$B$5:$B$204,MATCH(B408,代理店一覧!$A$5:$A$204,0)),"※未登録のID"))</f>
        <v/>
      </c>
      <c r="D408" s="21"/>
      <c r="E408" s="21"/>
      <c r="F408" s="21"/>
      <c r="G408" s="18"/>
      <c r="H408" s="21"/>
      <c r="I408" s="26"/>
      <c r="J408" s="15"/>
      <c r="K408" s="27"/>
      <c r="L408" s="25" t="str">
        <f aca="false">IF(B408="","",B408&amp;"|"&amp;J408)</f>
        <v/>
      </c>
    </row>
    <row r="409" customFormat="false" ht="15" hidden="false" customHeight="false" outlineLevel="0" collapsed="false">
      <c r="A409" s="15"/>
      <c r="B409" s="21"/>
      <c r="C409" s="21" t="str">
        <f aca="false">IF(B409="","",IFERROR(INDEX(代理店一覧!$B$5:$B$204,MATCH(B409,代理店一覧!$A$5:$A$204,0)),"※未登録のID"))</f>
        <v/>
      </c>
      <c r="D409" s="21"/>
      <c r="E409" s="21"/>
      <c r="F409" s="21"/>
      <c r="G409" s="18"/>
      <c r="H409" s="21"/>
      <c r="I409" s="26"/>
      <c r="J409" s="15"/>
      <c r="K409" s="27"/>
      <c r="L409" s="25" t="str">
        <f aca="false">IF(B409="","",B409&amp;"|"&amp;J409)</f>
        <v/>
      </c>
    </row>
    <row r="410" customFormat="false" ht="15" hidden="false" customHeight="false" outlineLevel="0" collapsed="false">
      <c r="A410" s="15"/>
      <c r="B410" s="21"/>
      <c r="C410" s="21" t="str">
        <f aca="false">IF(B410="","",IFERROR(INDEX(代理店一覧!$B$5:$B$204,MATCH(B410,代理店一覧!$A$5:$A$204,0)),"※未登録のID"))</f>
        <v/>
      </c>
      <c r="D410" s="21"/>
      <c r="E410" s="21"/>
      <c r="F410" s="21"/>
      <c r="G410" s="18"/>
      <c r="H410" s="21"/>
      <c r="I410" s="26"/>
      <c r="J410" s="15"/>
      <c r="K410" s="27"/>
      <c r="L410" s="25" t="str">
        <f aca="false">IF(B410="","",B410&amp;"|"&amp;J410)</f>
        <v/>
      </c>
    </row>
    <row r="411" customFormat="false" ht="15" hidden="false" customHeight="false" outlineLevel="0" collapsed="false">
      <c r="A411" s="15"/>
      <c r="B411" s="21"/>
      <c r="C411" s="21" t="str">
        <f aca="false">IF(B411="","",IFERROR(INDEX(代理店一覧!$B$5:$B$204,MATCH(B411,代理店一覧!$A$5:$A$204,0)),"※未登録のID"))</f>
        <v/>
      </c>
      <c r="D411" s="21"/>
      <c r="E411" s="21"/>
      <c r="F411" s="21"/>
      <c r="G411" s="18"/>
      <c r="H411" s="21"/>
      <c r="I411" s="26"/>
      <c r="J411" s="15"/>
      <c r="K411" s="27"/>
      <c r="L411" s="25" t="str">
        <f aca="false">IF(B411="","",B411&amp;"|"&amp;J411)</f>
        <v/>
      </c>
    </row>
    <row r="412" customFormat="false" ht="15" hidden="false" customHeight="false" outlineLevel="0" collapsed="false">
      <c r="A412" s="15"/>
      <c r="B412" s="21"/>
      <c r="C412" s="21" t="str">
        <f aca="false">IF(B412="","",IFERROR(INDEX(代理店一覧!$B$5:$B$204,MATCH(B412,代理店一覧!$A$5:$A$204,0)),"※未登録のID"))</f>
        <v/>
      </c>
      <c r="D412" s="21"/>
      <c r="E412" s="21"/>
      <c r="F412" s="21"/>
      <c r="G412" s="18"/>
      <c r="H412" s="21"/>
      <c r="I412" s="26"/>
      <c r="J412" s="15"/>
      <c r="K412" s="27"/>
      <c r="L412" s="25" t="str">
        <f aca="false">IF(B412="","",B412&amp;"|"&amp;J412)</f>
        <v/>
      </c>
    </row>
    <row r="413" customFormat="false" ht="15" hidden="false" customHeight="false" outlineLevel="0" collapsed="false">
      <c r="A413" s="15"/>
      <c r="B413" s="21"/>
      <c r="C413" s="21" t="str">
        <f aca="false">IF(B413="","",IFERROR(INDEX(代理店一覧!$B$5:$B$204,MATCH(B413,代理店一覧!$A$5:$A$204,0)),"※未登録のID"))</f>
        <v/>
      </c>
      <c r="D413" s="21"/>
      <c r="E413" s="21"/>
      <c r="F413" s="21"/>
      <c r="G413" s="18"/>
      <c r="H413" s="21"/>
      <c r="I413" s="26"/>
      <c r="J413" s="15"/>
      <c r="K413" s="27"/>
      <c r="L413" s="25" t="str">
        <f aca="false">IF(B413="","",B413&amp;"|"&amp;J413)</f>
        <v/>
      </c>
    </row>
    <row r="414" customFormat="false" ht="15" hidden="false" customHeight="false" outlineLevel="0" collapsed="false">
      <c r="A414" s="15"/>
      <c r="B414" s="21"/>
      <c r="C414" s="21" t="str">
        <f aca="false">IF(B414="","",IFERROR(INDEX(代理店一覧!$B$5:$B$204,MATCH(B414,代理店一覧!$A$5:$A$204,0)),"※未登録のID"))</f>
        <v/>
      </c>
      <c r="D414" s="21"/>
      <c r="E414" s="21"/>
      <c r="F414" s="21"/>
      <c r="G414" s="18"/>
      <c r="H414" s="21"/>
      <c r="I414" s="26"/>
      <c r="J414" s="15"/>
      <c r="K414" s="27"/>
      <c r="L414" s="25" t="str">
        <f aca="false">IF(B414="","",B414&amp;"|"&amp;J414)</f>
        <v/>
      </c>
    </row>
    <row r="415" customFormat="false" ht="15" hidden="false" customHeight="false" outlineLevel="0" collapsed="false">
      <c r="A415" s="15"/>
      <c r="B415" s="21"/>
      <c r="C415" s="21" t="str">
        <f aca="false">IF(B415="","",IFERROR(INDEX(代理店一覧!$B$5:$B$204,MATCH(B415,代理店一覧!$A$5:$A$204,0)),"※未登録のID"))</f>
        <v/>
      </c>
      <c r="D415" s="21"/>
      <c r="E415" s="21"/>
      <c r="F415" s="21"/>
      <c r="G415" s="18"/>
      <c r="H415" s="21"/>
      <c r="I415" s="26"/>
      <c r="J415" s="15"/>
      <c r="K415" s="27"/>
      <c r="L415" s="25" t="str">
        <f aca="false">IF(B415="","",B415&amp;"|"&amp;J415)</f>
        <v/>
      </c>
    </row>
    <row r="416" customFormat="false" ht="15" hidden="false" customHeight="false" outlineLevel="0" collapsed="false">
      <c r="A416" s="15"/>
      <c r="B416" s="21"/>
      <c r="C416" s="21" t="str">
        <f aca="false">IF(B416="","",IFERROR(INDEX(代理店一覧!$B$5:$B$204,MATCH(B416,代理店一覧!$A$5:$A$204,0)),"※未登録のID"))</f>
        <v/>
      </c>
      <c r="D416" s="21"/>
      <c r="E416" s="21"/>
      <c r="F416" s="21"/>
      <c r="G416" s="18"/>
      <c r="H416" s="21"/>
      <c r="I416" s="26"/>
      <c r="J416" s="15"/>
      <c r="K416" s="27"/>
      <c r="L416" s="25" t="str">
        <f aca="false">IF(B416="","",B416&amp;"|"&amp;J416)</f>
        <v/>
      </c>
    </row>
    <row r="417" customFormat="false" ht="15" hidden="false" customHeight="false" outlineLevel="0" collapsed="false">
      <c r="A417" s="15"/>
      <c r="B417" s="21"/>
      <c r="C417" s="21" t="str">
        <f aca="false">IF(B417="","",IFERROR(INDEX(代理店一覧!$B$5:$B$204,MATCH(B417,代理店一覧!$A$5:$A$204,0)),"※未登録のID"))</f>
        <v/>
      </c>
      <c r="D417" s="21"/>
      <c r="E417" s="21"/>
      <c r="F417" s="21"/>
      <c r="G417" s="18"/>
      <c r="H417" s="21"/>
      <c r="I417" s="26"/>
      <c r="J417" s="15"/>
      <c r="K417" s="27"/>
      <c r="L417" s="25" t="str">
        <f aca="false">IF(B417="","",B417&amp;"|"&amp;J417)</f>
        <v/>
      </c>
    </row>
    <row r="418" customFormat="false" ht="15" hidden="false" customHeight="false" outlineLevel="0" collapsed="false">
      <c r="A418" s="15"/>
      <c r="B418" s="21"/>
      <c r="C418" s="21" t="str">
        <f aca="false">IF(B418="","",IFERROR(INDEX(代理店一覧!$B$5:$B$204,MATCH(B418,代理店一覧!$A$5:$A$204,0)),"※未登録のID"))</f>
        <v/>
      </c>
      <c r="D418" s="21"/>
      <c r="E418" s="21"/>
      <c r="F418" s="21"/>
      <c r="G418" s="18"/>
      <c r="H418" s="21"/>
      <c r="I418" s="26"/>
      <c r="J418" s="15"/>
      <c r="K418" s="27"/>
      <c r="L418" s="25" t="str">
        <f aca="false">IF(B418="","",B418&amp;"|"&amp;J418)</f>
        <v/>
      </c>
    </row>
    <row r="419" customFormat="false" ht="15" hidden="false" customHeight="false" outlineLevel="0" collapsed="false">
      <c r="A419" s="15"/>
      <c r="B419" s="21"/>
      <c r="C419" s="21" t="str">
        <f aca="false">IF(B419="","",IFERROR(INDEX(代理店一覧!$B$5:$B$204,MATCH(B419,代理店一覧!$A$5:$A$204,0)),"※未登録のID"))</f>
        <v/>
      </c>
      <c r="D419" s="21"/>
      <c r="E419" s="21"/>
      <c r="F419" s="21"/>
      <c r="G419" s="18"/>
      <c r="H419" s="21"/>
      <c r="I419" s="26"/>
      <c r="J419" s="15"/>
      <c r="K419" s="27"/>
      <c r="L419" s="25" t="str">
        <f aca="false">IF(B419="","",B419&amp;"|"&amp;J419)</f>
        <v/>
      </c>
    </row>
    <row r="420" customFormat="false" ht="15" hidden="false" customHeight="false" outlineLevel="0" collapsed="false">
      <c r="A420" s="15"/>
      <c r="B420" s="21"/>
      <c r="C420" s="21" t="str">
        <f aca="false">IF(B420="","",IFERROR(INDEX(代理店一覧!$B$5:$B$204,MATCH(B420,代理店一覧!$A$5:$A$204,0)),"※未登録のID"))</f>
        <v/>
      </c>
      <c r="D420" s="21"/>
      <c r="E420" s="21"/>
      <c r="F420" s="21"/>
      <c r="G420" s="18"/>
      <c r="H420" s="21"/>
      <c r="I420" s="26"/>
      <c r="J420" s="15"/>
      <c r="K420" s="27"/>
      <c r="L420" s="25" t="str">
        <f aca="false">IF(B420="","",B420&amp;"|"&amp;J420)</f>
        <v/>
      </c>
    </row>
    <row r="421" customFormat="false" ht="15" hidden="false" customHeight="false" outlineLevel="0" collapsed="false">
      <c r="A421" s="15"/>
      <c r="B421" s="21"/>
      <c r="C421" s="21" t="str">
        <f aca="false">IF(B421="","",IFERROR(INDEX(代理店一覧!$B$5:$B$204,MATCH(B421,代理店一覧!$A$5:$A$204,0)),"※未登録のID"))</f>
        <v/>
      </c>
      <c r="D421" s="21"/>
      <c r="E421" s="21"/>
      <c r="F421" s="21"/>
      <c r="G421" s="18"/>
      <c r="H421" s="21"/>
      <c r="I421" s="26"/>
      <c r="J421" s="15"/>
      <c r="K421" s="27"/>
      <c r="L421" s="25" t="str">
        <f aca="false">IF(B421="","",B421&amp;"|"&amp;J421)</f>
        <v/>
      </c>
    </row>
    <row r="422" customFormat="false" ht="15" hidden="false" customHeight="false" outlineLevel="0" collapsed="false">
      <c r="A422" s="15"/>
      <c r="B422" s="21"/>
      <c r="C422" s="21" t="str">
        <f aca="false">IF(B422="","",IFERROR(INDEX(代理店一覧!$B$5:$B$204,MATCH(B422,代理店一覧!$A$5:$A$204,0)),"※未登録のID"))</f>
        <v/>
      </c>
      <c r="D422" s="21"/>
      <c r="E422" s="21"/>
      <c r="F422" s="21"/>
      <c r="G422" s="18"/>
      <c r="H422" s="21"/>
      <c r="I422" s="26"/>
      <c r="J422" s="15"/>
      <c r="K422" s="27"/>
      <c r="L422" s="25" t="str">
        <f aca="false">IF(B422="","",B422&amp;"|"&amp;J422)</f>
        <v/>
      </c>
    </row>
    <row r="423" customFormat="false" ht="15" hidden="false" customHeight="false" outlineLevel="0" collapsed="false">
      <c r="A423" s="15"/>
      <c r="B423" s="21"/>
      <c r="C423" s="21" t="str">
        <f aca="false">IF(B423="","",IFERROR(INDEX(代理店一覧!$B$5:$B$204,MATCH(B423,代理店一覧!$A$5:$A$204,0)),"※未登録のID"))</f>
        <v/>
      </c>
      <c r="D423" s="21"/>
      <c r="E423" s="21"/>
      <c r="F423" s="21"/>
      <c r="G423" s="18"/>
      <c r="H423" s="21"/>
      <c r="I423" s="26"/>
      <c r="J423" s="15"/>
      <c r="K423" s="27"/>
      <c r="L423" s="25" t="str">
        <f aca="false">IF(B423="","",B423&amp;"|"&amp;J423)</f>
        <v/>
      </c>
    </row>
    <row r="424" customFormat="false" ht="15" hidden="false" customHeight="false" outlineLevel="0" collapsed="false">
      <c r="A424" s="15"/>
      <c r="B424" s="21"/>
      <c r="C424" s="21" t="str">
        <f aca="false">IF(B424="","",IFERROR(INDEX(代理店一覧!$B$5:$B$204,MATCH(B424,代理店一覧!$A$5:$A$204,0)),"※未登録のID"))</f>
        <v/>
      </c>
      <c r="D424" s="21"/>
      <c r="E424" s="21"/>
      <c r="F424" s="21"/>
      <c r="G424" s="18"/>
      <c r="H424" s="21"/>
      <c r="I424" s="26"/>
      <c r="J424" s="15"/>
      <c r="K424" s="27"/>
      <c r="L424" s="25" t="str">
        <f aca="false">IF(B424="","",B424&amp;"|"&amp;J424)</f>
        <v/>
      </c>
    </row>
    <row r="425" customFormat="false" ht="15" hidden="false" customHeight="false" outlineLevel="0" collapsed="false">
      <c r="A425" s="15"/>
      <c r="B425" s="21"/>
      <c r="C425" s="21" t="str">
        <f aca="false">IF(B425="","",IFERROR(INDEX(代理店一覧!$B$5:$B$204,MATCH(B425,代理店一覧!$A$5:$A$204,0)),"※未登録のID"))</f>
        <v/>
      </c>
      <c r="D425" s="21"/>
      <c r="E425" s="21"/>
      <c r="F425" s="21"/>
      <c r="G425" s="18"/>
      <c r="H425" s="21"/>
      <c r="I425" s="26"/>
      <c r="J425" s="15"/>
      <c r="K425" s="27"/>
      <c r="L425" s="25" t="str">
        <f aca="false">IF(B425="","",B425&amp;"|"&amp;J425)</f>
        <v/>
      </c>
    </row>
    <row r="426" customFormat="false" ht="15" hidden="false" customHeight="false" outlineLevel="0" collapsed="false">
      <c r="A426" s="15"/>
      <c r="B426" s="21"/>
      <c r="C426" s="21" t="str">
        <f aca="false">IF(B426="","",IFERROR(INDEX(代理店一覧!$B$5:$B$204,MATCH(B426,代理店一覧!$A$5:$A$204,0)),"※未登録のID"))</f>
        <v/>
      </c>
      <c r="D426" s="21"/>
      <c r="E426" s="21"/>
      <c r="F426" s="21"/>
      <c r="G426" s="18"/>
      <c r="H426" s="21"/>
      <c r="I426" s="26"/>
      <c r="J426" s="15"/>
      <c r="K426" s="27"/>
      <c r="L426" s="25" t="str">
        <f aca="false">IF(B426="","",B426&amp;"|"&amp;J426)</f>
        <v/>
      </c>
    </row>
    <row r="427" customFormat="false" ht="15" hidden="false" customHeight="false" outlineLevel="0" collapsed="false">
      <c r="A427" s="15"/>
      <c r="B427" s="21"/>
      <c r="C427" s="21" t="str">
        <f aca="false">IF(B427="","",IFERROR(INDEX(代理店一覧!$B$5:$B$204,MATCH(B427,代理店一覧!$A$5:$A$204,0)),"※未登録のID"))</f>
        <v/>
      </c>
      <c r="D427" s="21"/>
      <c r="E427" s="21"/>
      <c r="F427" s="21"/>
      <c r="G427" s="18"/>
      <c r="H427" s="21"/>
      <c r="I427" s="26"/>
      <c r="J427" s="15"/>
      <c r="K427" s="27"/>
      <c r="L427" s="25" t="str">
        <f aca="false">IF(B427="","",B427&amp;"|"&amp;J427)</f>
        <v/>
      </c>
    </row>
    <row r="428" customFormat="false" ht="15" hidden="false" customHeight="false" outlineLevel="0" collapsed="false">
      <c r="A428" s="15"/>
      <c r="B428" s="21"/>
      <c r="C428" s="21" t="str">
        <f aca="false">IF(B428="","",IFERROR(INDEX(代理店一覧!$B$5:$B$204,MATCH(B428,代理店一覧!$A$5:$A$204,0)),"※未登録のID"))</f>
        <v/>
      </c>
      <c r="D428" s="21"/>
      <c r="E428" s="21"/>
      <c r="F428" s="21"/>
      <c r="G428" s="18"/>
      <c r="H428" s="21"/>
      <c r="I428" s="26"/>
      <c r="J428" s="15"/>
      <c r="K428" s="27"/>
      <c r="L428" s="25" t="str">
        <f aca="false">IF(B428="","",B428&amp;"|"&amp;J428)</f>
        <v/>
      </c>
    </row>
    <row r="429" customFormat="false" ht="15" hidden="false" customHeight="false" outlineLevel="0" collapsed="false">
      <c r="A429" s="15"/>
      <c r="B429" s="21"/>
      <c r="C429" s="21" t="str">
        <f aca="false">IF(B429="","",IFERROR(INDEX(代理店一覧!$B$5:$B$204,MATCH(B429,代理店一覧!$A$5:$A$204,0)),"※未登録のID"))</f>
        <v/>
      </c>
      <c r="D429" s="21"/>
      <c r="E429" s="21"/>
      <c r="F429" s="21"/>
      <c r="G429" s="18"/>
      <c r="H429" s="21"/>
      <c r="I429" s="26"/>
      <c r="J429" s="15"/>
      <c r="K429" s="27"/>
      <c r="L429" s="25" t="str">
        <f aca="false">IF(B429="","",B429&amp;"|"&amp;J429)</f>
        <v/>
      </c>
    </row>
    <row r="430" customFormat="false" ht="15" hidden="false" customHeight="false" outlineLevel="0" collapsed="false">
      <c r="A430" s="15"/>
      <c r="B430" s="21"/>
      <c r="C430" s="21" t="str">
        <f aca="false">IF(B430="","",IFERROR(INDEX(代理店一覧!$B$5:$B$204,MATCH(B430,代理店一覧!$A$5:$A$204,0)),"※未登録のID"))</f>
        <v/>
      </c>
      <c r="D430" s="21"/>
      <c r="E430" s="21"/>
      <c r="F430" s="21"/>
      <c r="G430" s="18"/>
      <c r="H430" s="21"/>
      <c r="I430" s="26"/>
      <c r="J430" s="15"/>
      <c r="K430" s="27"/>
      <c r="L430" s="25" t="str">
        <f aca="false">IF(B430="","",B430&amp;"|"&amp;J430)</f>
        <v/>
      </c>
    </row>
    <row r="431" customFormat="false" ht="15" hidden="false" customHeight="false" outlineLevel="0" collapsed="false">
      <c r="A431" s="15"/>
      <c r="B431" s="21"/>
      <c r="C431" s="21" t="str">
        <f aca="false">IF(B431="","",IFERROR(INDEX(代理店一覧!$B$5:$B$204,MATCH(B431,代理店一覧!$A$5:$A$204,0)),"※未登録のID"))</f>
        <v/>
      </c>
      <c r="D431" s="21"/>
      <c r="E431" s="21"/>
      <c r="F431" s="21"/>
      <c r="G431" s="18"/>
      <c r="H431" s="21"/>
      <c r="I431" s="26"/>
      <c r="J431" s="15"/>
      <c r="K431" s="27"/>
      <c r="L431" s="25" t="str">
        <f aca="false">IF(B431="","",B431&amp;"|"&amp;J431)</f>
        <v/>
      </c>
    </row>
    <row r="432" customFormat="false" ht="15" hidden="false" customHeight="false" outlineLevel="0" collapsed="false">
      <c r="A432" s="15"/>
      <c r="B432" s="21"/>
      <c r="C432" s="21" t="str">
        <f aca="false">IF(B432="","",IFERROR(INDEX(代理店一覧!$B$5:$B$204,MATCH(B432,代理店一覧!$A$5:$A$204,0)),"※未登録のID"))</f>
        <v/>
      </c>
      <c r="D432" s="21"/>
      <c r="E432" s="21"/>
      <c r="F432" s="21"/>
      <c r="G432" s="18"/>
      <c r="H432" s="21"/>
      <c r="I432" s="26"/>
      <c r="J432" s="15"/>
      <c r="K432" s="27"/>
      <c r="L432" s="25" t="str">
        <f aca="false">IF(B432="","",B432&amp;"|"&amp;J432)</f>
        <v/>
      </c>
    </row>
    <row r="433" customFormat="false" ht="15" hidden="false" customHeight="false" outlineLevel="0" collapsed="false">
      <c r="A433" s="15"/>
      <c r="B433" s="21"/>
      <c r="C433" s="21" t="str">
        <f aca="false">IF(B433="","",IFERROR(INDEX(代理店一覧!$B$5:$B$204,MATCH(B433,代理店一覧!$A$5:$A$204,0)),"※未登録のID"))</f>
        <v/>
      </c>
      <c r="D433" s="21"/>
      <c r="E433" s="21"/>
      <c r="F433" s="21"/>
      <c r="G433" s="18"/>
      <c r="H433" s="21"/>
      <c r="I433" s="26"/>
      <c r="J433" s="15"/>
      <c r="K433" s="27"/>
      <c r="L433" s="25" t="str">
        <f aca="false">IF(B433="","",B433&amp;"|"&amp;J433)</f>
        <v/>
      </c>
    </row>
    <row r="434" customFormat="false" ht="15" hidden="false" customHeight="false" outlineLevel="0" collapsed="false">
      <c r="A434" s="15"/>
      <c r="B434" s="21"/>
      <c r="C434" s="21" t="str">
        <f aca="false">IF(B434="","",IFERROR(INDEX(代理店一覧!$B$5:$B$204,MATCH(B434,代理店一覧!$A$5:$A$204,0)),"※未登録のID"))</f>
        <v/>
      </c>
      <c r="D434" s="21"/>
      <c r="E434" s="21"/>
      <c r="F434" s="21"/>
      <c r="G434" s="18"/>
      <c r="H434" s="21"/>
      <c r="I434" s="26"/>
      <c r="J434" s="15"/>
      <c r="K434" s="27"/>
      <c r="L434" s="25" t="str">
        <f aca="false">IF(B434="","",B434&amp;"|"&amp;J434)</f>
        <v/>
      </c>
    </row>
    <row r="435" customFormat="false" ht="15" hidden="false" customHeight="false" outlineLevel="0" collapsed="false">
      <c r="A435" s="15"/>
      <c r="B435" s="21"/>
      <c r="C435" s="21" t="str">
        <f aca="false">IF(B435="","",IFERROR(INDEX(代理店一覧!$B$5:$B$204,MATCH(B435,代理店一覧!$A$5:$A$204,0)),"※未登録のID"))</f>
        <v/>
      </c>
      <c r="D435" s="21"/>
      <c r="E435" s="21"/>
      <c r="F435" s="21"/>
      <c r="G435" s="18"/>
      <c r="H435" s="21"/>
      <c r="I435" s="26"/>
      <c r="J435" s="15"/>
      <c r="K435" s="27"/>
      <c r="L435" s="25" t="str">
        <f aca="false">IF(B435="","",B435&amp;"|"&amp;J435)</f>
        <v/>
      </c>
    </row>
    <row r="436" customFormat="false" ht="15" hidden="false" customHeight="false" outlineLevel="0" collapsed="false">
      <c r="A436" s="15"/>
      <c r="B436" s="21"/>
      <c r="C436" s="21" t="str">
        <f aca="false">IF(B436="","",IFERROR(INDEX(代理店一覧!$B$5:$B$204,MATCH(B436,代理店一覧!$A$5:$A$204,0)),"※未登録のID"))</f>
        <v/>
      </c>
      <c r="D436" s="21"/>
      <c r="E436" s="21"/>
      <c r="F436" s="21"/>
      <c r="G436" s="18"/>
      <c r="H436" s="21"/>
      <c r="I436" s="26"/>
      <c r="J436" s="15"/>
      <c r="K436" s="27"/>
      <c r="L436" s="25" t="str">
        <f aca="false">IF(B436="","",B436&amp;"|"&amp;J436)</f>
        <v/>
      </c>
    </row>
    <row r="437" customFormat="false" ht="15" hidden="false" customHeight="false" outlineLevel="0" collapsed="false">
      <c r="A437" s="15"/>
      <c r="B437" s="21"/>
      <c r="C437" s="21" t="str">
        <f aca="false">IF(B437="","",IFERROR(INDEX(代理店一覧!$B$5:$B$204,MATCH(B437,代理店一覧!$A$5:$A$204,0)),"※未登録のID"))</f>
        <v/>
      </c>
      <c r="D437" s="21"/>
      <c r="E437" s="21"/>
      <c r="F437" s="21"/>
      <c r="G437" s="18"/>
      <c r="H437" s="21"/>
      <c r="I437" s="26"/>
      <c r="J437" s="15"/>
      <c r="K437" s="27"/>
      <c r="L437" s="25" t="str">
        <f aca="false">IF(B437="","",B437&amp;"|"&amp;J437)</f>
        <v/>
      </c>
    </row>
    <row r="438" customFormat="false" ht="15" hidden="false" customHeight="false" outlineLevel="0" collapsed="false">
      <c r="A438" s="15"/>
      <c r="B438" s="21"/>
      <c r="C438" s="21" t="str">
        <f aca="false">IF(B438="","",IFERROR(INDEX(代理店一覧!$B$5:$B$204,MATCH(B438,代理店一覧!$A$5:$A$204,0)),"※未登録のID"))</f>
        <v/>
      </c>
      <c r="D438" s="21"/>
      <c r="E438" s="21"/>
      <c r="F438" s="21"/>
      <c r="G438" s="18"/>
      <c r="H438" s="21"/>
      <c r="I438" s="26"/>
      <c r="J438" s="15"/>
      <c r="K438" s="27"/>
      <c r="L438" s="25" t="str">
        <f aca="false">IF(B438="","",B438&amp;"|"&amp;J438)</f>
        <v/>
      </c>
    </row>
    <row r="439" customFormat="false" ht="15" hidden="false" customHeight="false" outlineLevel="0" collapsed="false">
      <c r="A439" s="15"/>
      <c r="B439" s="21"/>
      <c r="C439" s="21" t="str">
        <f aca="false">IF(B439="","",IFERROR(INDEX(代理店一覧!$B$5:$B$204,MATCH(B439,代理店一覧!$A$5:$A$204,0)),"※未登録のID"))</f>
        <v/>
      </c>
      <c r="D439" s="21"/>
      <c r="E439" s="21"/>
      <c r="F439" s="21"/>
      <c r="G439" s="18"/>
      <c r="H439" s="21"/>
      <c r="I439" s="26"/>
      <c r="J439" s="15"/>
      <c r="K439" s="27"/>
      <c r="L439" s="25" t="str">
        <f aca="false">IF(B439="","",B439&amp;"|"&amp;J439)</f>
        <v/>
      </c>
    </row>
    <row r="440" customFormat="false" ht="15" hidden="false" customHeight="false" outlineLevel="0" collapsed="false">
      <c r="A440" s="15"/>
      <c r="B440" s="21"/>
      <c r="C440" s="21" t="str">
        <f aca="false">IF(B440="","",IFERROR(INDEX(代理店一覧!$B$5:$B$204,MATCH(B440,代理店一覧!$A$5:$A$204,0)),"※未登録のID"))</f>
        <v/>
      </c>
      <c r="D440" s="21"/>
      <c r="E440" s="21"/>
      <c r="F440" s="21"/>
      <c r="G440" s="18"/>
      <c r="H440" s="21"/>
      <c r="I440" s="26"/>
      <c r="J440" s="15"/>
      <c r="K440" s="27"/>
      <c r="L440" s="25" t="str">
        <f aca="false">IF(B440="","",B440&amp;"|"&amp;J440)</f>
        <v/>
      </c>
    </row>
    <row r="441" customFormat="false" ht="15" hidden="false" customHeight="false" outlineLevel="0" collapsed="false">
      <c r="A441" s="15"/>
      <c r="B441" s="21"/>
      <c r="C441" s="21" t="str">
        <f aca="false">IF(B441="","",IFERROR(INDEX(代理店一覧!$B$5:$B$204,MATCH(B441,代理店一覧!$A$5:$A$204,0)),"※未登録のID"))</f>
        <v/>
      </c>
      <c r="D441" s="21"/>
      <c r="E441" s="21"/>
      <c r="F441" s="21"/>
      <c r="G441" s="18"/>
      <c r="H441" s="21"/>
      <c r="I441" s="26"/>
      <c r="J441" s="15"/>
      <c r="K441" s="27"/>
      <c r="L441" s="25" t="str">
        <f aca="false">IF(B441="","",B441&amp;"|"&amp;J441)</f>
        <v/>
      </c>
    </row>
    <row r="442" customFormat="false" ht="15" hidden="false" customHeight="false" outlineLevel="0" collapsed="false">
      <c r="A442" s="15"/>
      <c r="B442" s="21"/>
      <c r="C442" s="21" t="str">
        <f aca="false">IF(B442="","",IFERROR(INDEX(代理店一覧!$B$5:$B$204,MATCH(B442,代理店一覧!$A$5:$A$204,0)),"※未登録のID"))</f>
        <v/>
      </c>
      <c r="D442" s="21"/>
      <c r="E442" s="21"/>
      <c r="F442" s="21"/>
      <c r="G442" s="18"/>
      <c r="H442" s="21"/>
      <c r="I442" s="26"/>
      <c r="J442" s="15"/>
      <c r="K442" s="27"/>
      <c r="L442" s="25" t="str">
        <f aca="false">IF(B442="","",B442&amp;"|"&amp;J442)</f>
        <v/>
      </c>
    </row>
    <row r="443" customFormat="false" ht="15" hidden="false" customHeight="false" outlineLevel="0" collapsed="false">
      <c r="A443" s="15"/>
      <c r="B443" s="21"/>
      <c r="C443" s="21" t="str">
        <f aca="false">IF(B443="","",IFERROR(INDEX(代理店一覧!$B$5:$B$204,MATCH(B443,代理店一覧!$A$5:$A$204,0)),"※未登録のID"))</f>
        <v/>
      </c>
      <c r="D443" s="21"/>
      <c r="E443" s="21"/>
      <c r="F443" s="21"/>
      <c r="G443" s="18"/>
      <c r="H443" s="21"/>
      <c r="I443" s="26"/>
      <c r="J443" s="15"/>
      <c r="K443" s="27"/>
      <c r="L443" s="25" t="str">
        <f aca="false">IF(B443="","",B443&amp;"|"&amp;J443)</f>
        <v/>
      </c>
    </row>
    <row r="444" customFormat="false" ht="15" hidden="false" customHeight="false" outlineLevel="0" collapsed="false">
      <c r="A444" s="15"/>
      <c r="B444" s="21"/>
      <c r="C444" s="21" t="str">
        <f aca="false">IF(B444="","",IFERROR(INDEX(代理店一覧!$B$5:$B$204,MATCH(B444,代理店一覧!$A$5:$A$204,0)),"※未登録のID"))</f>
        <v/>
      </c>
      <c r="D444" s="21"/>
      <c r="E444" s="21"/>
      <c r="F444" s="21"/>
      <c r="G444" s="18"/>
      <c r="H444" s="21"/>
      <c r="I444" s="26"/>
      <c r="J444" s="15"/>
      <c r="K444" s="27"/>
      <c r="L444" s="25" t="str">
        <f aca="false">IF(B444="","",B444&amp;"|"&amp;J444)</f>
        <v/>
      </c>
    </row>
    <row r="445" customFormat="false" ht="15" hidden="false" customHeight="false" outlineLevel="0" collapsed="false">
      <c r="A445" s="15"/>
      <c r="B445" s="21"/>
      <c r="C445" s="21" t="str">
        <f aca="false">IF(B445="","",IFERROR(INDEX(代理店一覧!$B$5:$B$204,MATCH(B445,代理店一覧!$A$5:$A$204,0)),"※未登録のID"))</f>
        <v/>
      </c>
      <c r="D445" s="21"/>
      <c r="E445" s="21"/>
      <c r="F445" s="21"/>
      <c r="G445" s="18"/>
      <c r="H445" s="21"/>
      <c r="I445" s="26"/>
      <c r="J445" s="15"/>
      <c r="K445" s="27"/>
      <c r="L445" s="25" t="str">
        <f aca="false">IF(B445="","",B445&amp;"|"&amp;J445)</f>
        <v/>
      </c>
    </row>
    <row r="446" customFormat="false" ht="15" hidden="false" customHeight="false" outlineLevel="0" collapsed="false">
      <c r="A446" s="15"/>
      <c r="B446" s="21"/>
      <c r="C446" s="21" t="str">
        <f aca="false">IF(B446="","",IFERROR(INDEX(代理店一覧!$B$5:$B$204,MATCH(B446,代理店一覧!$A$5:$A$204,0)),"※未登録のID"))</f>
        <v/>
      </c>
      <c r="D446" s="21"/>
      <c r="E446" s="21"/>
      <c r="F446" s="21"/>
      <c r="G446" s="18"/>
      <c r="H446" s="21"/>
      <c r="I446" s="26"/>
      <c r="J446" s="15"/>
      <c r="K446" s="27"/>
      <c r="L446" s="25" t="str">
        <f aca="false">IF(B446="","",B446&amp;"|"&amp;J446)</f>
        <v/>
      </c>
    </row>
    <row r="447" customFormat="false" ht="15" hidden="false" customHeight="false" outlineLevel="0" collapsed="false">
      <c r="A447" s="15"/>
      <c r="B447" s="21"/>
      <c r="C447" s="21" t="str">
        <f aca="false">IF(B447="","",IFERROR(INDEX(代理店一覧!$B$5:$B$204,MATCH(B447,代理店一覧!$A$5:$A$204,0)),"※未登録のID"))</f>
        <v/>
      </c>
      <c r="D447" s="21"/>
      <c r="E447" s="21"/>
      <c r="F447" s="21"/>
      <c r="G447" s="18"/>
      <c r="H447" s="21"/>
      <c r="I447" s="26"/>
      <c r="J447" s="15"/>
      <c r="K447" s="27"/>
      <c r="L447" s="25" t="str">
        <f aca="false">IF(B447="","",B447&amp;"|"&amp;J447)</f>
        <v/>
      </c>
    </row>
    <row r="448" customFormat="false" ht="15" hidden="false" customHeight="false" outlineLevel="0" collapsed="false">
      <c r="A448" s="15"/>
      <c r="B448" s="21"/>
      <c r="C448" s="21" t="str">
        <f aca="false">IF(B448="","",IFERROR(INDEX(代理店一覧!$B$5:$B$204,MATCH(B448,代理店一覧!$A$5:$A$204,0)),"※未登録のID"))</f>
        <v/>
      </c>
      <c r="D448" s="21"/>
      <c r="E448" s="21"/>
      <c r="F448" s="21"/>
      <c r="G448" s="18"/>
      <c r="H448" s="21"/>
      <c r="I448" s="26"/>
      <c r="J448" s="15"/>
      <c r="K448" s="27"/>
      <c r="L448" s="25" t="str">
        <f aca="false">IF(B448="","",B448&amp;"|"&amp;J448)</f>
        <v/>
      </c>
    </row>
    <row r="449" customFormat="false" ht="15" hidden="false" customHeight="false" outlineLevel="0" collapsed="false">
      <c r="A449" s="15"/>
      <c r="B449" s="21"/>
      <c r="C449" s="21" t="str">
        <f aca="false">IF(B449="","",IFERROR(INDEX(代理店一覧!$B$5:$B$204,MATCH(B449,代理店一覧!$A$5:$A$204,0)),"※未登録のID"))</f>
        <v/>
      </c>
      <c r="D449" s="21"/>
      <c r="E449" s="21"/>
      <c r="F449" s="21"/>
      <c r="G449" s="18"/>
      <c r="H449" s="21"/>
      <c r="I449" s="26"/>
      <c r="J449" s="15"/>
      <c r="K449" s="27"/>
      <c r="L449" s="25" t="str">
        <f aca="false">IF(B449="","",B449&amp;"|"&amp;J449)</f>
        <v/>
      </c>
    </row>
    <row r="450" customFormat="false" ht="15" hidden="false" customHeight="false" outlineLevel="0" collapsed="false">
      <c r="A450" s="15"/>
      <c r="B450" s="21"/>
      <c r="C450" s="21" t="str">
        <f aca="false">IF(B450="","",IFERROR(INDEX(代理店一覧!$B$5:$B$204,MATCH(B450,代理店一覧!$A$5:$A$204,0)),"※未登録のID"))</f>
        <v/>
      </c>
      <c r="D450" s="21"/>
      <c r="E450" s="21"/>
      <c r="F450" s="21"/>
      <c r="G450" s="18"/>
      <c r="H450" s="21"/>
      <c r="I450" s="26"/>
      <c r="J450" s="15"/>
      <c r="K450" s="27"/>
      <c r="L450" s="25" t="str">
        <f aca="false">IF(B450="","",B450&amp;"|"&amp;J450)</f>
        <v/>
      </c>
    </row>
    <row r="451" customFormat="false" ht="15" hidden="false" customHeight="false" outlineLevel="0" collapsed="false">
      <c r="A451" s="15"/>
      <c r="B451" s="21"/>
      <c r="C451" s="21" t="str">
        <f aca="false">IF(B451="","",IFERROR(INDEX(代理店一覧!$B$5:$B$204,MATCH(B451,代理店一覧!$A$5:$A$204,0)),"※未登録のID"))</f>
        <v/>
      </c>
      <c r="D451" s="21"/>
      <c r="E451" s="21"/>
      <c r="F451" s="21"/>
      <c r="G451" s="18"/>
      <c r="H451" s="21"/>
      <c r="I451" s="26"/>
      <c r="J451" s="15"/>
      <c r="K451" s="27"/>
      <c r="L451" s="25" t="str">
        <f aca="false">IF(B451="","",B451&amp;"|"&amp;J451)</f>
        <v/>
      </c>
    </row>
    <row r="452" customFormat="false" ht="15" hidden="false" customHeight="false" outlineLevel="0" collapsed="false">
      <c r="A452" s="15"/>
      <c r="B452" s="21"/>
      <c r="C452" s="21" t="str">
        <f aca="false">IF(B452="","",IFERROR(INDEX(代理店一覧!$B$5:$B$204,MATCH(B452,代理店一覧!$A$5:$A$204,0)),"※未登録のID"))</f>
        <v/>
      </c>
      <c r="D452" s="21"/>
      <c r="E452" s="21"/>
      <c r="F452" s="21"/>
      <c r="G452" s="18"/>
      <c r="H452" s="21"/>
      <c r="I452" s="26"/>
      <c r="J452" s="15"/>
      <c r="K452" s="27"/>
      <c r="L452" s="25" t="str">
        <f aca="false">IF(B452="","",B452&amp;"|"&amp;J452)</f>
        <v/>
      </c>
    </row>
    <row r="453" customFormat="false" ht="15" hidden="false" customHeight="false" outlineLevel="0" collapsed="false">
      <c r="A453" s="15"/>
      <c r="B453" s="21"/>
      <c r="C453" s="21" t="str">
        <f aca="false">IF(B453="","",IFERROR(INDEX(代理店一覧!$B$5:$B$204,MATCH(B453,代理店一覧!$A$5:$A$204,0)),"※未登録のID"))</f>
        <v/>
      </c>
      <c r="D453" s="21"/>
      <c r="E453" s="21"/>
      <c r="F453" s="21"/>
      <c r="G453" s="18"/>
      <c r="H453" s="21"/>
      <c r="I453" s="26"/>
      <c r="J453" s="15"/>
      <c r="K453" s="27"/>
      <c r="L453" s="25" t="str">
        <f aca="false">IF(B453="","",B453&amp;"|"&amp;J453)</f>
        <v/>
      </c>
    </row>
    <row r="454" customFormat="false" ht="15" hidden="false" customHeight="false" outlineLevel="0" collapsed="false">
      <c r="A454" s="15"/>
      <c r="B454" s="21"/>
      <c r="C454" s="21" t="str">
        <f aca="false">IF(B454="","",IFERROR(INDEX(代理店一覧!$B$5:$B$204,MATCH(B454,代理店一覧!$A$5:$A$204,0)),"※未登録のID"))</f>
        <v/>
      </c>
      <c r="D454" s="21"/>
      <c r="E454" s="21"/>
      <c r="F454" s="21"/>
      <c r="G454" s="18"/>
      <c r="H454" s="21"/>
      <c r="I454" s="26"/>
      <c r="J454" s="15"/>
      <c r="K454" s="27"/>
      <c r="L454" s="25" t="str">
        <f aca="false">IF(B454="","",B454&amp;"|"&amp;J454)</f>
        <v/>
      </c>
    </row>
    <row r="455" customFormat="false" ht="15" hidden="false" customHeight="false" outlineLevel="0" collapsed="false">
      <c r="A455" s="15"/>
      <c r="B455" s="21"/>
      <c r="C455" s="21" t="str">
        <f aca="false">IF(B455="","",IFERROR(INDEX(代理店一覧!$B$5:$B$204,MATCH(B455,代理店一覧!$A$5:$A$204,0)),"※未登録のID"))</f>
        <v/>
      </c>
      <c r="D455" s="21"/>
      <c r="E455" s="21"/>
      <c r="F455" s="21"/>
      <c r="G455" s="18"/>
      <c r="H455" s="21"/>
      <c r="I455" s="26"/>
      <c r="J455" s="15"/>
      <c r="K455" s="27"/>
      <c r="L455" s="25" t="str">
        <f aca="false">IF(B455="","",B455&amp;"|"&amp;J455)</f>
        <v/>
      </c>
    </row>
    <row r="456" customFormat="false" ht="15" hidden="false" customHeight="false" outlineLevel="0" collapsed="false">
      <c r="A456" s="15"/>
      <c r="B456" s="21"/>
      <c r="C456" s="21" t="str">
        <f aca="false">IF(B456="","",IFERROR(INDEX(代理店一覧!$B$5:$B$204,MATCH(B456,代理店一覧!$A$5:$A$204,0)),"※未登録のID"))</f>
        <v/>
      </c>
      <c r="D456" s="21"/>
      <c r="E456" s="21"/>
      <c r="F456" s="21"/>
      <c r="G456" s="18"/>
      <c r="H456" s="21"/>
      <c r="I456" s="26"/>
      <c r="J456" s="15"/>
      <c r="K456" s="27"/>
      <c r="L456" s="25" t="str">
        <f aca="false">IF(B456="","",B456&amp;"|"&amp;J456)</f>
        <v/>
      </c>
    </row>
    <row r="457" customFormat="false" ht="15" hidden="false" customHeight="false" outlineLevel="0" collapsed="false">
      <c r="A457" s="15"/>
      <c r="B457" s="21"/>
      <c r="C457" s="21" t="str">
        <f aca="false">IF(B457="","",IFERROR(INDEX(代理店一覧!$B$5:$B$204,MATCH(B457,代理店一覧!$A$5:$A$204,0)),"※未登録のID"))</f>
        <v/>
      </c>
      <c r="D457" s="21"/>
      <c r="E457" s="21"/>
      <c r="F457" s="21"/>
      <c r="G457" s="18"/>
      <c r="H457" s="21"/>
      <c r="I457" s="26"/>
      <c r="J457" s="15"/>
      <c r="K457" s="27"/>
      <c r="L457" s="25" t="str">
        <f aca="false">IF(B457="","",B457&amp;"|"&amp;J457)</f>
        <v/>
      </c>
    </row>
    <row r="458" customFormat="false" ht="15" hidden="false" customHeight="false" outlineLevel="0" collapsed="false">
      <c r="A458" s="15"/>
      <c r="B458" s="21"/>
      <c r="C458" s="21" t="str">
        <f aca="false">IF(B458="","",IFERROR(INDEX(代理店一覧!$B$5:$B$204,MATCH(B458,代理店一覧!$A$5:$A$204,0)),"※未登録のID"))</f>
        <v/>
      </c>
      <c r="D458" s="21"/>
      <c r="E458" s="21"/>
      <c r="F458" s="21"/>
      <c r="G458" s="18"/>
      <c r="H458" s="21"/>
      <c r="I458" s="26"/>
      <c r="J458" s="15"/>
      <c r="K458" s="27"/>
      <c r="L458" s="25" t="str">
        <f aca="false">IF(B458="","",B458&amp;"|"&amp;J458)</f>
        <v/>
      </c>
    </row>
    <row r="459" customFormat="false" ht="15" hidden="false" customHeight="false" outlineLevel="0" collapsed="false">
      <c r="A459" s="15"/>
      <c r="B459" s="21"/>
      <c r="C459" s="21" t="str">
        <f aca="false">IF(B459="","",IFERROR(INDEX(代理店一覧!$B$5:$B$204,MATCH(B459,代理店一覧!$A$5:$A$204,0)),"※未登録のID"))</f>
        <v/>
      </c>
      <c r="D459" s="21"/>
      <c r="E459" s="21"/>
      <c r="F459" s="21"/>
      <c r="G459" s="18"/>
      <c r="H459" s="21"/>
      <c r="I459" s="26"/>
      <c r="J459" s="15"/>
      <c r="K459" s="27"/>
      <c r="L459" s="25" t="str">
        <f aca="false">IF(B459="","",B459&amp;"|"&amp;J459)</f>
        <v/>
      </c>
    </row>
    <row r="460" customFormat="false" ht="15" hidden="false" customHeight="false" outlineLevel="0" collapsed="false">
      <c r="A460" s="15"/>
      <c r="B460" s="21"/>
      <c r="C460" s="21" t="str">
        <f aca="false">IF(B460="","",IFERROR(INDEX(代理店一覧!$B$5:$B$204,MATCH(B460,代理店一覧!$A$5:$A$204,0)),"※未登録のID"))</f>
        <v/>
      </c>
      <c r="D460" s="21"/>
      <c r="E460" s="21"/>
      <c r="F460" s="21"/>
      <c r="G460" s="18"/>
      <c r="H460" s="21"/>
      <c r="I460" s="26"/>
      <c r="J460" s="15"/>
      <c r="K460" s="27"/>
      <c r="L460" s="25" t="str">
        <f aca="false">IF(B460="","",B460&amp;"|"&amp;J460)</f>
        <v/>
      </c>
    </row>
    <row r="461" customFormat="false" ht="15" hidden="false" customHeight="false" outlineLevel="0" collapsed="false">
      <c r="A461" s="15"/>
      <c r="B461" s="21"/>
      <c r="C461" s="21" t="str">
        <f aca="false">IF(B461="","",IFERROR(INDEX(代理店一覧!$B$5:$B$204,MATCH(B461,代理店一覧!$A$5:$A$204,0)),"※未登録のID"))</f>
        <v/>
      </c>
      <c r="D461" s="21"/>
      <c r="E461" s="21"/>
      <c r="F461" s="21"/>
      <c r="G461" s="18"/>
      <c r="H461" s="21"/>
      <c r="I461" s="26"/>
      <c r="J461" s="15"/>
      <c r="K461" s="27"/>
      <c r="L461" s="25" t="str">
        <f aca="false">IF(B461="","",B461&amp;"|"&amp;J461)</f>
        <v/>
      </c>
    </row>
    <row r="462" customFormat="false" ht="15" hidden="false" customHeight="false" outlineLevel="0" collapsed="false">
      <c r="A462" s="15"/>
      <c r="B462" s="21"/>
      <c r="C462" s="21" t="str">
        <f aca="false">IF(B462="","",IFERROR(INDEX(代理店一覧!$B$5:$B$204,MATCH(B462,代理店一覧!$A$5:$A$204,0)),"※未登録のID"))</f>
        <v/>
      </c>
      <c r="D462" s="21"/>
      <c r="E462" s="21"/>
      <c r="F462" s="21"/>
      <c r="G462" s="18"/>
      <c r="H462" s="21"/>
      <c r="I462" s="26"/>
      <c r="J462" s="15"/>
      <c r="K462" s="27"/>
      <c r="L462" s="25" t="str">
        <f aca="false">IF(B462="","",B462&amp;"|"&amp;J462)</f>
        <v/>
      </c>
    </row>
    <row r="463" customFormat="false" ht="15" hidden="false" customHeight="false" outlineLevel="0" collapsed="false">
      <c r="A463" s="15"/>
      <c r="B463" s="21"/>
      <c r="C463" s="21" t="str">
        <f aca="false">IF(B463="","",IFERROR(INDEX(代理店一覧!$B$5:$B$204,MATCH(B463,代理店一覧!$A$5:$A$204,0)),"※未登録のID"))</f>
        <v/>
      </c>
      <c r="D463" s="21"/>
      <c r="E463" s="21"/>
      <c r="F463" s="21"/>
      <c r="G463" s="18"/>
      <c r="H463" s="21"/>
      <c r="I463" s="26"/>
      <c r="J463" s="15"/>
      <c r="K463" s="27"/>
      <c r="L463" s="25" t="str">
        <f aca="false">IF(B463="","",B463&amp;"|"&amp;J463)</f>
        <v/>
      </c>
    </row>
    <row r="464" customFormat="false" ht="15" hidden="false" customHeight="false" outlineLevel="0" collapsed="false">
      <c r="A464" s="15"/>
      <c r="B464" s="21"/>
      <c r="C464" s="21" t="str">
        <f aca="false">IF(B464="","",IFERROR(INDEX(代理店一覧!$B$5:$B$204,MATCH(B464,代理店一覧!$A$5:$A$204,0)),"※未登録のID"))</f>
        <v/>
      </c>
      <c r="D464" s="21"/>
      <c r="E464" s="21"/>
      <c r="F464" s="21"/>
      <c r="G464" s="18"/>
      <c r="H464" s="21"/>
      <c r="I464" s="26"/>
      <c r="J464" s="15"/>
      <c r="K464" s="27"/>
      <c r="L464" s="25" t="str">
        <f aca="false">IF(B464="","",B464&amp;"|"&amp;J464)</f>
        <v/>
      </c>
    </row>
    <row r="465" customFormat="false" ht="15" hidden="false" customHeight="false" outlineLevel="0" collapsed="false">
      <c r="A465" s="15"/>
      <c r="B465" s="21"/>
      <c r="C465" s="21" t="str">
        <f aca="false">IF(B465="","",IFERROR(INDEX(代理店一覧!$B$5:$B$204,MATCH(B465,代理店一覧!$A$5:$A$204,0)),"※未登録のID"))</f>
        <v/>
      </c>
      <c r="D465" s="21"/>
      <c r="E465" s="21"/>
      <c r="F465" s="21"/>
      <c r="G465" s="18"/>
      <c r="H465" s="21"/>
      <c r="I465" s="26"/>
      <c r="J465" s="15"/>
      <c r="K465" s="27"/>
      <c r="L465" s="25" t="str">
        <f aca="false">IF(B465="","",B465&amp;"|"&amp;J465)</f>
        <v/>
      </c>
    </row>
    <row r="466" customFormat="false" ht="15" hidden="false" customHeight="false" outlineLevel="0" collapsed="false">
      <c r="A466" s="15"/>
      <c r="B466" s="21"/>
      <c r="C466" s="21" t="str">
        <f aca="false">IF(B466="","",IFERROR(INDEX(代理店一覧!$B$5:$B$204,MATCH(B466,代理店一覧!$A$5:$A$204,0)),"※未登録のID"))</f>
        <v/>
      </c>
      <c r="D466" s="21"/>
      <c r="E466" s="21"/>
      <c r="F466" s="21"/>
      <c r="G466" s="18"/>
      <c r="H466" s="21"/>
      <c r="I466" s="26"/>
      <c r="J466" s="15"/>
      <c r="K466" s="27"/>
      <c r="L466" s="25" t="str">
        <f aca="false">IF(B466="","",B466&amp;"|"&amp;J466)</f>
        <v/>
      </c>
    </row>
    <row r="467" customFormat="false" ht="15" hidden="false" customHeight="false" outlineLevel="0" collapsed="false">
      <c r="A467" s="15"/>
      <c r="B467" s="21"/>
      <c r="C467" s="21" t="str">
        <f aca="false">IF(B467="","",IFERROR(INDEX(代理店一覧!$B$5:$B$204,MATCH(B467,代理店一覧!$A$5:$A$204,0)),"※未登録のID"))</f>
        <v/>
      </c>
      <c r="D467" s="21"/>
      <c r="E467" s="21"/>
      <c r="F467" s="21"/>
      <c r="G467" s="18"/>
      <c r="H467" s="21"/>
      <c r="I467" s="26"/>
      <c r="J467" s="15"/>
      <c r="K467" s="27"/>
      <c r="L467" s="25" t="str">
        <f aca="false">IF(B467="","",B467&amp;"|"&amp;J467)</f>
        <v/>
      </c>
    </row>
    <row r="468" customFormat="false" ht="15" hidden="false" customHeight="false" outlineLevel="0" collapsed="false">
      <c r="A468" s="15"/>
      <c r="B468" s="21"/>
      <c r="C468" s="21" t="str">
        <f aca="false">IF(B468="","",IFERROR(INDEX(代理店一覧!$B$5:$B$204,MATCH(B468,代理店一覧!$A$5:$A$204,0)),"※未登録のID"))</f>
        <v/>
      </c>
      <c r="D468" s="21"/>
      <c r="E468" s="21"/>
      <c r="F468" s="21"/>
      <c r="G468" s="18"/>
      <c r="H468" s="21"/>
      <c r="I468" s="26"/>
      <c r="J468" s="15"/>
      <c r="K468" s="27"/>
      <c r="L468" s="25" t="str">
        <f aca="false">IF(B468="","",B468&amp;"|"&amp;J468)</f>
        <v/>
      </c>
    </row>
    <row r="469" customFormat="false" ht="15" hidden="false" customHeight="false" outlineLevel="0" collapsed="false">
      <c r="A469" s="15"/>
      <c r="B469" s="21"/>
      <c r="C469" s="21" t="str">
        <f aca="false">IF(B469="","",IFERROR(INDEX(代理店一覧!$B$5:$B$204,MATCH(B469,代理店一覧!$A$5:$A$204,0)),"※未登録のID"))</f>
        <v/>
      </c>
      <c r="D469" s="21"/>
      <c r="E469" s="21"/>
      <c r="F469" s="21"/>
      <c r="G469" s="18"/>
      <c r="H469" s="21"/>
      <c r="I469" s="26"/>
      <c r="J469" s="15"/>
      <c r="K469" s="27"/>
      <c r="L469" s="25" t="str">
        <f aca="false">IF(B469="","",B469&amp;"|"&amp;J469)</f>
        <v/>
      </c>
    </row>
    <row r="470" customFormat="false" ht="15" hidden="false" customHeight="false" outlineLevel="0" collapsed="false">
      <c r="A470" s="15"/>
      <c r="B470" s="21"/>
      <c r="C470" s="21" t="str">
        <f aca="false">IF(B470="","",IFERROR(INDEX(代理店一覧!$B$5:$B$204,MATCH(B470,代理店一覧!$A$5:$A$204,0)),"※未登録のID"))</f>
        <v/>
      </c>
      <c r="D470" s="21"/>
      <c r="E470" s="21"/>
      <c r="F470" s="21"/>
      <c r="G470" s="18"/>
      <c r="H470" s="21"/>
      <c r="I470" s="26"/>
      <c r="J470" s="15"/>
      <c r="K470" s="27"/>
      <c r="L470" s="25" t="str">
        <f aca="false">IF(B470="","",B470&amp;"|"&amp;J470)</f>
        <v/>
      </c>
    </row>
    <row r="471" customFormat="false" ht="15" hidden="false" customHeight="false" outlineLevel="0" collapsed="false">
      <c r="A471" s="15"/>
      <c r="B471" s="21"/>
      <c r="C471" s="21" t="str">
        <f aca="false">IF(B471="","",IFERROR(INDEX(代理店一覧!$B$5:$B$204,MATCH(B471,代理店一覧!$A$5:$A$204,0)),"※未登録のID"))</f>
        <v/>
      </c>
      <c r="D471" s="21"/>
      <c r="E471" s="21"/>
      <c r="F471" s="21"/>
      <c r="G471" s="18"/>
      <c r="H471" s="21"/>
      <c r="I471" s="26"/>
      <c r="J471" s="15"/>
      <c r="K471" s="27"/>
      <c r="L471" s="25" t="str">
        <f aca="false">IF(B471="","",B471&amp;"|"&amp;J471)</f>
        <v/>
      </c>
    </row>
    <row r="472" customFormat="false" ht="15" hidden="false" customHeight="false" outlineLevel="0" collapsed="false">
      <c r="A472" s="15"/>
      <c r="B472" s="21"/>
      <c r="C472" s="21" t="str">
        <f aca="false">IF(B472="","",IFERROR(INDEX(代理店一覧!$B$5:$B$204,MATCH(B472,代理店一覧!$A$5:$A$204,0)),"※未登録のID"))</f>
        <v/>
      </c>
      <c r="D472" s="21"/>
      <c r="E472" s="21"/>
      <c r="F472" s="21"/>
      <c r="G472" s="18"/>
      <c r="H472" s="21"/>
      <c r="I472" s="26"/>
      <c r="J472" s="15"/>
      <c r="K472" s="27"/>
      <c r="L472" s="25" t="str">
        <f aca="false">IF(B472="","",B472&amp;"|"&amp;J472)</f>
        <v/>
      </c>
    </row>
    <row r="473" customFormat="false" ht="15" hidden="false" customHeight="false" outlineLevel="0" collapsed="false">
      <c r="A473" s="15"/>
      <c r="B473" s="21"/>
      <c r="C473" s="21" t="str">
        <f aca="false">IF(B473="","",IFERROR(INDEX(代理店一覧!$B$5:$B$204,MATCH(B473,代理店一覧!$A$5:$A$204,0)),"※未登録のID"))</f>
        <v/>
      </c>
      <c r="D473" s="21"/>
      <c r="E473" s="21"/>
      <c r="F473" s="21"/>
      <c r="G473" s="18"/>
      <c r="H473" s="21"/>
      <c r="I473" s="26"/>
      <c r="J473" s="15"/>
      <c r="K473" s="27"/>
      <c r="L473" s="25" t="str">
        <f aca="false">IF(B473="","",B473&amp;"|"&amp;J473)</f>
        <v/>
      </c>
    </row>
    <row r="474" customFormat="false" ht="15" hidden="false" customHeight="false" outlineLevel="0" collapsed="false">
      <c r="A474" s="15"/>
      <c r="B474" s="21"/>
      <c r="C474" s="21" t="str">
        <f aca="false">IF(B474="","",IFERROR(INDEX(代理店一覧!$B$5:$B$204,MATCH(B474,代理店一覧!$A$5:$A$204,0)),"※未登録のID"))</f>
        <v/>
      </c>
      <c r="D474" s="21"/>
      <c r="E474" s="21"/>
      <c r="F474" s="21"/>
      <c r="G474" s="18"/>
      <c r="H474" s="21"/>
      <c r="I474" s="26"/>
      <c r="J474" s="15"/>
      <c r="K474" s="27"/>
      <c r="L474" s="25" t="str">
        <f aca="false">IF(B474="","",B474&amp;"|"&amp;J474)</f>
        <v/>
      </c>
    </row>
    <row r="475" customFormat="false" ht="15" hidden="false" customHeight="false" outlineLevel="0" collapsed="false">
      <c r="A475" s="15"/>
      <c r="B475" s="21"/>
      <c r="C475" s="21" t="str">
        <f aca="false">IF(B475="","",IFERROR(INDEX(代理店一覧!$B$5:$B$204,MATCH(B475,代理店一覧!$A$5:$A$204,0)),"※未登録のID"))</f>
        <v/>
      </c>
      <c r="D475" s="21"/>
      <c r="E475" s="21"/>
      <c r="F475" s="21"/>
      <c r="G475" s="18"/>
      <c r="H475" s="21"/>
      <c r="I475" s="26"/>
      <c r="J475" s="15"/>
      <c r="K475" s="27"/>
      <c r="L475" s="25" t="str">
        <f aca="false">IF(B475="","",B475&amp;"|"&amp;J475)</f>
        <v/>
      </c>
    </row>
    <row r="476" customFormat="false" ht="15" hidden="false" customHeight="false" outlineLevel="0" collapsed="false">
      <c r="A476" s="15"/>
      <c r="B476" s="21"/>
      <c r="C476" s="21" t="str">
        <f aca="false">IF(B476="","",IFERROR(INDEX(代理店一覧!$B$5:$B$204,MATCH(B476,代理店一覧!$A$5:$A$204,0)),"※未登録のID"))</f>
        <v/>
      </c>
      <c r="D476" s="21"/>
      <c r="E476" s="21"/>
      <c r="F476" s="21"/>
      <c r="G476" s="18"/>
      <c r="H476" s="21"/>
      <c r="I476" s="26"/>
      <c r="J476" s="15"/>
      <c r="K476" s="27"/>
      <c r="L476" s="25" t="str">
        <f aca="false">IF(B476="","",B476&amp;"|"&amp;J476)</f>
        <v/>
      </c>
    </row>
    <row r="477" customFormat="false" ht="15" hidden="false" customHeight="false" outlineLevel="0" collapsed="false">
      <c r="A477" s="15"/>
      <c r="B477" s="21"/>
      <c r="C477" s="21" t="str">
        <f aca="false">IF(B477="","",IFERROR(INDEX(代理店一覧!$B$5:$B$204,MATCH(B477,代理店一覧!$A$5:$A$204,0)),"※未登録のID"))</f>
        <v/>
      </c>
      <c r="D477" s="21"/>
      <c r="E477" s="21"/>
      <c r="F477" s="21"/>
      <c r="G477" s="18"/>
      <c r="H477" s="21"/>
      <c r="I477" s="26"/>
      <c r="J477" s="15"/>
      <c r="K477" s="27"/>
      <c r="L477" s="25" t="str">
        <f aca="false">IF(B477="","",B477&amp;"|"&amp;J477)</f>
        <v/>
      </c>
    </row>
    <row r="478" customFormat="false" ht="15" hidden="false" customHeight="false" outlineLevel="0" collapsed="false">
      <c r="A478" s="15"/>
      <c r="B478" s="21"/>
      <c r="C478" s="21" t="str">
        <f aca="false">IF(B478="","",IFERROR(INDEX(代理店一覧!$B$5:$B$204,MATCH(B478,代理店一覧!$A$5:$A$204,0)),"※未登録のID"))</f>
        <v/>
      </c>
      <c r="D478" s="21"/>
      <c r="E478" s="21"/>
      <c r="F478" s="21"/>
      <c r="G478" s="18"/>
      <c r="H478" s="21"/>
      <c r="I478" s="26"/>
      <c r="J478" s="15"/>
      <c r="K478" s="27"/>
      <c r="L478" s="25" t="str">
        <f aca="false">IF(B478="","",B478&amp;"|"&amp;J478)</f>
        <v/>
      </c>
    </row>
    <row r="479" customFormat="false" ht="15" hidden="false" customHeight="false" outlineLevel="0" collapsed="false">
      <c r="A479" s="15"/>
      <c r="B479" s="21"/>
      <c r="C479" s="21" t="str">
        <f aca="false">IF(B479="","",IFERROR(INDEX(代理店一覧!$B$5:$B$204,MATCH(B479,代理店一覧!$A$5:$A$204,0)),"※未登録のID"))</f>
        <v/>
      </c>
      <c r="D479" s="21"/>
      <c r="E479" s="21"/>
      <c r="F479" s="21"/>
      <c r="G479" s="18"/>
      <c r="H479" s="21"/>
      <c r="I479" s="26"/>
      <c r="J479" s="15"/>
      <c r="K479" s="27"/>
      <c r="L479" s="25" t="str">
        <f aca="false">IF(B479="","",B479&amp;"|"&amp;J479)</f>
        <v/>
      </c>
    </row>
    <row r="480" customFormat="false" ht="15" hidden="false" customHeight="false" outlineLevel="0" collapsed="false">
      <c r="A480" s="15"/>
      <c r="B480" s="21"/>
      <c r="C480" s="21" t="str">
        <f aca="false">IF(B480="","",IFERROR(INDEX(代理店一覧!$B$5:$B$204,MATCH(B480,代理店一覧!$A$5:$A$204,0)),"※未登録のID"))</f>
        <v/>
      </c>
      <c r="D480" s="21"/>
      <c r="E480" s="21"/>
      <c r="F480" s="21"/>
      <c r="G480" s="18"/>
      <c r="H480" s="21"/>
      <c r="I480" s="26"/>
      <c r="J480" s="15"/>
      <c r="K480" s="27"/>
      <c r="L480" s="25" t="str">
        <f aca="false">IF(B480="","",B480&amp;"|"&amp;J480)</f>
        <v/>
      </c>
    </row>
    <row r="481" customFormat="false" ht="15" hidden="false" customHeight="false" outlineLevel="0" collapsed="false">
      <c r="A481" s="15"/>
      <c r="B481" s="21"/>
      <c r="C481" s="21" t="str">
        <f aca="false">IF(B481="","",IFERROR(INDEX(代理店一覧!$B$5:$B$204,MATCH(B481,代理店一覧!$A$5:$A$204,0)),"※未登録のID"))</f>
        <v/>
      </c>
      <c r="D481" s="21"/>
      <c r="E481" s="21"/>
      <c r="F481" s="21"/>
      <c r="G481" s="18"/>
      <c r="H481" s="21"/>
      <c r="I481" s="26"/>
      <c r="J481" s="15"/>
      <c r="K481" s="27"/>
      <c r="L481" s="25" t="str">
        <f aca="false">IF(B481="","",B481&amp;"|"&amp;J481)</f>
        <v/>
      </c>
    </row>
    <row r="482" customFormat="false" ht="15" hidden="false" customHeight="false" outlineLevel="0" collapsed="false">
      <c r="A482" s="15"/>
      <c r="B482" s="21"/>
      <c r="C482" s="21" t="str">
        <f aca="false">IF(B482="","",IFERROR(INDEX(代理店一覧!$B$5:$B$204,MATCH(B482,代理店一覧!$A$5:$A$204,0)),"※未登録のID"))</f>
        <v/>
      </c>
      <c r="D482" s="21"/>
      <c r="E482" s="21"/>
      <c r="F482" s="21"/>
      <c r="G482" s="18"/>
      <c r="H482" s="21"/>
      <c r="I482" s="26"/>
      <c r="J482" s="15"/>
      <c r="K482" s="27"/>
      <c r="L482" s="25" t="str">
        <f aca="false">IF(B482="","",B482&amp;"|"&amp;J482)</f>
        <v/>
      </c>
    </row>
    <row r="483" customFormat="false" ht="15" hidden="false" customHeight="false" outlineLevel="0" collapsed="false">
      <c r="A483" s="15"/>
      <c r="B483" s="21"/>
      <c r="C483" s="21" t="str">
        <f aca="false">IF(B483="","",IFERROR(INDEX(代理店一覧!$B$5:$B$204,MATCH(B483,代理店一覧!$A$5:$A$204,0)),"※未登録のID"))</f>
        <v/>
      </c>
      <c r="D483" s="21"/>
      <c r="E483" s="21"/>
      <c r="F483" s="21"/>
      <c r="G483" s="18"/>
      <c r="H483" s="21"/>
      <c r="I483" s="26"/>
      <c r="J483" s="15"/>
      <c r="K483" s="27"/>
      <c r="L483" s="25" t="str">
        <f aca="false">IF(B483="","",B483&amp;"|"&amp;J483)</f>
        <v/>
      </c>
    </row>
    <row r="484" customFormat="false" ht="15" hidden="false" customHeight="false" outlineLevel="0" collapsed="false">
      <c r="A484" s="15"/>
      <c r="B484" s="21"/>
      <c r="C484" s="21" t="str">
        <f aca="false">IF(B484="","",IFERROR(INDEX(代理店一覧!$B$5:$B$204,MATCH(B484,代理店一覧!$A$5:$A$204,0)),"※未登録のID"))</f>
        <v/>
      </c>
      <c r="D484" s="21"/>
      <c r="E484" s="21"/>
      <c r="F484" s="21"/>
      <c r="G484" s="18"/>
      <c r="H484" s="21"/>
      <c r="I484" s="26"/>
      <c r="J484" s="15"/>
      <c r="K484" s="27"/>
      <c r="L484" s="25" t="str">
        <f aca="false">IF(B484="","",B484&amp;"|"&amp;J484)</f>
        <v/>
      </c>
    </row>
    <row r="485" customFormat="false" ht="15" hidden="false" customHeight="false" outlineLevel="0" collapsed="false">
      <c r="A485" s="15"/>
      <c r="B485" s="21"/>
      <c r="C485" s="21" t="str">
        <f aca="false">IF(B485="","",IFERROR(INDEX(代理店一覧!$B$5:$B$204,MATCH(B485,代理店一覧!$A$5:$A$204,0)),"※未登録のID"))</f>
        <v/>
      </c>
      <c r="D485" s="21"/>
      <c r="E485" s="21"/>
      <c r="F485" s="21"/>
      <c r="G485" s="18"/>
      <c r="H485" s="21"/>
      <c r="I485" s="26"/>
      <c r="J485" s="15"/>
      <c r="K485" s="27"/>
      <c r="L485" s="25" t="str">
        <f aca="false">IF(B485="","",B485&amp;"|"&amp;J485)</f>
        <v/>
      </c>
    </row>
    <row r="486" customFormat="false" ht="15" hidden="false" customHeight="false" outlineLevel="0" collapsed="false">
      <c r="A486" s="15"/>
      <c r="B486" s="21"/>
      <c r="C486" s="21" t="str">
        <f aca="false">IF(B486="","",IFERROR(INDEX(代理店一覧!$B$5:$B$204,MATCH(B486,代理店一覧!$A$5:$A$204,0)),"※未登録のID"))</f>
        <v/>
      </c>
      <c r="D486" s="21"/>
      <c r="E486" s="21"/>
      <c r="F486" s="21"/>
      <c r="G486" s="18"/>
      <c r="H486" s="21"/>
      <c r="I486" s="26"/>
      <c r="J486" s="15"/>
      <c r="K486" s="27"/>
      <c r="L486" s="25" t="str">
        <f aca="false">IF(B486="","",B486&amp;"|"&amp;J486)</f>
        <v/>
      </c>
    </row>
    <row r="487" customFormat="false" ht="15" hidden="false" customHeight="false" outlineLevel="0" collapsed="false">
      <c r="A487" s="15"/>
      <c r="B487" s="21"/>
      <c r="C487" s="21" t="str">
        <f aca="false">IF(B487="","",IFERROR(INDEX(代理店一覧!$B$5:$B$204,MATCH(B487,代理店一覧!$A$5:$A$204,0)),"※未登録のID"))</f>
        <v/>
      </c>
      <c r="D487" s="21"/>
      <c r="E487" s="21"/>
      <c r="F487" s="21"/>
      <c r="G487" s="18"/>
      <c r="H487" s="21"/>
      <c r="I487" s="26"/>
      <c r="J487" s="15"/>
      <c r="K487" s="27"/>
      <c r="L487" s="25" t="str">
        <f aca="false">IF(B487="","",B487&amp;"|"&amp;J487)</f>
        <v/>
      </c>
    </row>
    <row r="488" customFormat="false" ht="15" hidden="false" customHeight="false" outlineLevel="0" collapsed="false">
      <c r="A488" s="15"/>
      <c r="B488" s="21"/>
      <c r="C488" s="21" t="str">
        <f aca="false">IF(B488="","",IFERROR(INDEX(代理店一覧!$B$5:$B$204,MATCH(B488,代理店一覧!$A$5:$A$204,0)),"※未登録のID"))</f>
        <v/>
      </c>
      <c r="D488" s="21"/>
      <c r="E488" s="21"/>
      <c r="F488" s="21"/>
      <c r="G488" s="18"/>
      <c r="H488" s="21"/>
      <c r="I488" s="26"/>
      <c r="J488" s="15"/>
      <c r="K488" s="27"/>
      <c r="L488" s="25" t="str">
        <f aca="false">IF(B488="","",B488&amp;"|"&amp;J488)</f>
        <v/>
      </c>
    </row>
    <row r="489" customFormat="false" ht="15" hidden="false" customHeight="false" outlineLevel="0" collapsed="false">
      <c r="A489" s="15"/>
      <c r="B489" s="21"/>
      <c r="C489" s="21" t="str">
        <f aca="false">IF(B489="","",IFERROR(INDEX(代理店一覧!$B$5:$B$204,MATCH(B489,代理店一覧!$A$5:$A$204,0)),"※未登録のID"))</f>
        <v/>
      </c>
      <c r="D489" s="21"/>
      <c r="E489" s="21"/>
      <c r="F489" s="21"/>
      <c r="G489" s="18"/>
      <c r="H489" s="21"/>
      <c r="I489" s="26"/>
      <c r="J489" s="15"/>
      <c r="K489" s="27"/>
      <c r="L489" s="25" t="str">
        <f aca="false">IF(B489="","",B489&amp;"|"&amp;J489)</f>
        <v/>
      </c>
    </row>
    <row r="490" customFormat="false" ht="15" hidden="false" customHeight="false" outlineLevel="0" collapsed="false">
      <c r="A490" s="15"/>
      <c r="B490" s="21"/>
      <c r="C490" s="21" t="str">
        <f aca="false">IF(B490="","",IFERROR(INDEX(代理店一覧!$B$5:$B$204,MATCH(B490,代理店一覧!$A$5:$A$204,0)),"※未登録のID"))</f>
        <v/>
      </c>
      <c r="D490" s="21"/>
      <c r="E490" s="21"/>
      <c r="F490" s="21"/>
      <c r="G490" s="18"/>
      <c r="H490" s="21"/>
      <c r="I490" s="26"/>
      <c r="J490" s="15"/>
      <c r="K490" s="27"/>
      <c r="L490" s="25" t="str">
        <f aca="false">IF(B490="","",B490&amp;"|"&amp;J490)</f>
        <v/>
      </c>
    </row>
    <row r="491" customFormat="false" ht="15" hidden="false" customHeight="false" outlineLevel="0" collapsed="false">
      <c r="A491" s="15"/>
      <c r="B491" s="21"/>
      <c r="C491" s="21" t="str">
        <f aca="false">IF(B491="","",IFERROR(INDEX(代理店一覧!$B$5:$B$204,MATCH(B491,代理店一覧!$A$5:$A$204,0)),"※未登録のID"))</f>
        <v/>
      </c>
      <c r="D491" s="21"/>
      <c r="E491" s="21"/>
      <c r="F491" s="21"/>
      <c r="G491" s="18"/>
      <c r="H491" s="21"/>
      <c r="I491" s="26"/>
      <c r="J491" s="15"/>
      <c r="K491" s="27"/>
      <c r="L491" s="25" t="str">
        <f aca="false">IF(B491="","",B491&amp;"|"&amp;J491)</f>
        <v/>
      </c>
    </row>
    <row r="492" customFormat="false" ht="15" hidden="false" customHeight="false" outlineLevel="0" collapsed="false">
      <c r="A492" s="15"/>
      <c r="B492" s="21"/>
      <c r="C492" s="21" t="str">
        <f aca="false">IF(B492="","",IFERROR(INDEX(代理店一覧!$B$5:$B$204,MATCH(B492,代理店一覧!$A$5:$A$204,0)),"※未登録のID"))</f>
        <v/>
      </c>
      <c r="D492" s="21"/>
      <c r="E492" s="21"/>
      <c r="F492" s="21"/>
      <c r="G492" s="18"/>
      <c r="H492" s="21"/>
      <c r="I492" s="26"/>
      <c r="J492" s="15"/>
      <c r="K492" s="27"/>
      <c r="L492" s="25" t="str">
        <f aca="false">IF(B492="","",B492&amp;"|"&amp;J492)</f>
        <v/>
      </c>
    </row>
    <row r="493" customFormat="false" ht="15" hidden="false" customHeight="false" outlineLevel="0" collapsed="false">
      <c r="A493" s="15"/>
      <c r="B493" s="21"/>
      <c r="C493" s="21" t="str">
        <f aca="false">IF(B493="","",IFERROR(INDEX(代理店一覧!$B$5:$B$204,MATCH(B493,代理店一覧!$A$5:$A$204,0)),"※未登録のID"))</f>
        <v/>
      </c>
      <c r="D493" s="21"/>
      <c r="E493" s="21"/>
      <c r="F493" s="21"/>
      <c r="G493" s="18"/>
      <c r="H493" s="21"/>
      <c r="I493" s="26"/>
      <c r="J493" s="15"/>
      <c r="K493" s="27"/>
      <c r="L493" s="25" t="str">
        <f aca="false">IF(B493="","",B493&amp;"|"&amp;J493)</f>
        <v/>
      </c>
    </row>
    <row r="494" customFormat="false" ht="15" hidden="false" customHeight="false" outlineLevel="0" collapsed="false">
      <c r="A494" s="15"/>
      <c r="B494" s="21"/>
      <c r="C494" s="21" t="str">
        <f aca="false">IF(B494="","",IFERROR(INDEX(代理店一覧!$B$5:$B$204,MATCH(B494,代理店一覧!$A$5:$A$204,0)),"※未登録のID"))</f>
        <v/>
      </c>
      <c r="D494" s="21"/>
      <c r="E494" s="21"/>
      <c r="F494" s="21"/>
      <c r="G494" s="18"/>
      <c r="H494" s="21"/>
      <c r="I494" s="26"/>
      <c r="J494" s="15"/>
      <c r="K494" s="27"/>
      <c r="L494" s="25" t="str">
        <f aca="false">IF(B494="","",B494&amp;"|"&amp;J494)</f>
        <v/>
      </c>
    </row>
    <row r="495" customFormat="false" ht="15" hidden="false" customHeight="false" outlineLevel="0" collapsed="false">
      <c r="A495" s="15"/>
      <c r="B495" s="21"/>
      <c r="C495" s="21" t="str">
        <f aca="false">IF(B495="","",IFERROR(INDEX(代理店一覧!$B$5:$B$204,MATCH(B495,代理店一覧!$A$5:$A$204,0)),"※未登録のID"))</f>
        <v/>
      </c>
      <c r="D495" s="21"/>
      <c r="E495" s="21"/>
      <c r="F495" s="21"/>
      <c r="G495" s="18"/>
      <c r="H495" s="21"/>
      <c r="I495" s="26"/>
      <c r="J495" s="15"/>
      <c r="K495" s="27"/>
      <c r="L495" s="25" t="str">
        <f aca="false">IF(B495="","",B495&amp;"|"&amp;J495)</f>
        <v/>
      </c>
    </row>
    <row r="496" customFormat="false" ht="15" hidden="false" customHeight="false" outlineLevel="0" collapsed="false">
      <c r="A496" s="15"/>
      <c r="B496" s="21"/>
      <c r="C496" s="21" t="str">
        <f aca="false">IF(B496="","",IFERROR(INDEX(代理店一覧!$B$5:$B$204,MATCH(B496,代理店一覧!$A$5:$A$204,0)),"※未登録のID"))</f>
        <v/>
      </c>
      <c r="D496" s="21"/>
      <c r="E496" s="21"/>
      <c r="F496" s="21"/>
      <c r="G496" s="18"/>
      <c r="H496" s="21"/>
      <c r="I496" s="26"/>
      <c r="J496" s="15"/>
      <c r="K496" s="27"/>
      <c r="L496" s="25" t="str">
        <f aca="false">IF(B496="","",B496&amp;"|"&amp;J496)</f>
        <v/>
      </c>
    </row>
    <row r="497" customFormat="false" ht="15" hidden="false" customHeight="false" outlineLevel="0" collapsed="false">
      <c r="A497" s="15"/>
      <c r="B497" s="21"/>
      <c r="C497" s="21" t="str">
        <f aca="false">IF(B497="","",IFERROR(INDEX(代理店一覧!$B$5:$B$204,MATCH(B497,代理店一覧!$A$5:$A$204,0)),"※未登録のID"))</f>
        <v/>
      </c>
      <c r="D497" s="21"/>
      <c r="E497" s="21"/>
      <c r="F497" s="21"/>
      <c r="G497" s="18"/>
      <c r="H497" s="21"/>
      <c r="I497" s="26"/>
      <c r="J497" s="15"/>
      <c r="K497" s="27"/>
      <c r="L497" s="25" t="str">
        <f aca="false">IF(B497="","",B497&amp;"|"&amp;J497)</f>
        <v/>
      </c>
    </row>
    <row r="498" customFormat="false" ht="15" hidden="false" customHeight="false" outlineLevel="0" collapsed="false">
      <c r="A498" s="15"/>
      <c r="B498" s="21"/>
      <c r="C498" s="21" t="str">
        <f aca="false">IF(B498="","",IFERROR(INDEX(代理店一覧!$B$5:$B$204,MATCH(B498,代理店一覧!$A$5:$A$204,0)),"※未登録のID"))</f>
        <v/>
      </c>
      <c r="D498" s="21"/>
      <c r="E498" s="21"/>
      <c r="F498" s="21"/>
      <c r="G498" s="18"/>
      <c r="H498" s="21"/>
      <c r="I498" s="26"/>
      <c r="J498" s="15"/>
      <c r="K498" s="27"/>
      <c r="L498" s="25" t="str">
        <f aca="false">IF(B498="","",B498&amp;"|"&amp;J498)</f>
        <v/>
      </c>
    </row>
    <row r="499" customFormat="false" ht="15" hidden="false" customHeight="false" outlineLevel="0" collapsed="false">
      <c r="A499" s="15"/>
      <c r="B499" s="21"/>
      <c r="C499" s="21" t="str">
        <f aca="false">IF(B499="","",IFERROR(INDEX(代理店一覧!$B$5:$B$204,MATCH(B499,代理店一覧!$A$5:$A$204,0)),"※未登録のID"))</f>
        <v/>
      </c>
      <c r="D499" s="21"/>
      <c r="E499" s="21"/>
      <c r="F499" s="21"/>
      <c r="G499" s="18"/>
      <c r="H499" s="21"/>
      <c r="I499" s="26"/>
      <c r="J499" s="15"/>
      <c r="K499" s="27"/>
      <c r="L499" s="25" t="str">
        <f aca="false">IF(B499="","",B499&amp;"|"&amp;J499)</f>
        <v/>
      </c>
    </row>
    <row r="500" customFormat="false" ht="15" hidden="false" customHeight="false" outlineLevel="0" collapsed="false">
      <c r="A500" s="15"/>
      <c r="B500" s="21"/>
      <c r="C500" s="21" t="str">
        <f aca="false">IF(B500="","",IFERROR(INDEX(代理店一覧!$B$5:$B$204,MATCH(B500,代理店一覧!$A$5:$A$204,0)),"※未登録のID"))</f>
        <v/>
      </c>
      <c r="D500" s="21"/>
      <c r="E500" s="21"/>
      <c r="F500" s="21"/>
      <c r="G500" s="18"/>
      <c r="H500" s="21"/>
      <c r="I500" s="26"/>
      <c r="J500" s="15"/>
      <c r="K500" s="27"/>
      <c r="L500" s="25" t="str">
        <f aca="false">IF(B500="","",B500&amp;"|"&amp;J500)</f>
        <v/>
      </c>
    </row>
    <row r="501" customFormat="false" ht="15" hidden="false" customHeight="false" outlineLevel="0" collapsed="false">
      <c r="A501" s="15"/>
      <c r="B501" s="21"/>
      <c r="C501" s="21" t="str">
        <f aca="false">IF(B501="","",IFERROR(INDEX(代理店一覧!$B$5:$B$204,MATCH(B501,代理店一覧!$A$5:$A$204,0)),"※未登録のID"))</f>
        <v/>
      </c>
      <c r="D501" s="21"/>
      <c r="E501" s="21"/>
      <c r="F501" s="21"/>
      <c r="G501" s="18"/>
      <c r="H501" s="21"/>
      <c r="I501" s="26"/>
      <c r="J501" s="15"/>
      <c r="K501" s="27"/>
      <c r="L501" s="25" t="str">
        <f aca="false">IF(B501="","",B501&amp;"|"&amp;J501)</f>
        <v/>
      </c>
    </row>
    <row r="502" customFormat="false" ht="15" hidden="false" customHeight="false" outlineLevel="0" collapsed="false">
      <c r="A502" s="15"/>
      <c r="B502" s="21"/>
      <c r="C502" s="21" t="str">
        <f aca="false">IF(B502="","",IFERROR(INDEX(代理店一覧!$B$5:$B$204,MATCH(B502,代理店一覧!$A$5:$A$204,0)),"※未登録のID"))</f>
        <v/>
      </c>
      <c r="D502" s="21"/>
      <c r="E502" s="21"/>
      <c r="F502" s="21"/>
      <c r="G502" s="18"/>
      <c r="H502" s="21"/>
      <c r="I502" s="26"/>
      <c r="J502" s="15"/>
      <c r="K502" s="27"/>
      <c r="L502" s="25" t="str">
        <f aca="false">IF(B502="","",B502&amp;"|"&amp;J502)</f>
        <v/>
      </c>
    </row>
    <row r="503" customFormat="false" ht="15" hidden="false" customHeight="false" outlineLevel="0" collapsed="false">
      <c r="A503" s="15"/>
      <c r="B503" s="21"/>
      <c r="C503" s="21" t="str">
        <f aca="false">IF(B503="","",IFERROR(INDEX(代理店一覧!$B$5:$B$204,MATCH(B503,代理店一覧!$A$5:$A$204,0)),"※未登録のID"))</f>
        <v/>
      </c>
      <c r="D503" s="21"/>
      <c r="E503" s="21"/>
      <c r="F503" s="21"/>
      <c r="G503" s="18"/>
      <c r="H503" s="21"/>
      <c r="I503" s="26"/>
      <c r="J503" s="15"/>
      <c r="K503" s="27"/>
      <c r="L503" s="25" t="str">
        <f aca="false">IF(B503="","",B503&amp;"|"&amp;J503)</f>
        <v/>
      </c>
    </row>
    <row r="504" customFormat="false" ht="15" hidden="false" customHeight="false" outlineLevel="0" collapsed="false">
      <c r="A504" s="15"/>
      <c r="B504" s="21"/>
      <c r="C504" s="21" t="str">
        <f aca="false">IF(B504="","",IFERROR(INDEX(代理店一覧!$B$5:$B$204,MATCH(B504,代理店一覧!$A$5:$A$204,0)),"※未登録のID"))</f>
        <v/>
      </c>
      <c r="D504" s="21"/>
      <c r="E504" s="21"/>
      <c r="F504" s="21"/>
      <c r="G504" s="18"/>
      <c r="H504" s="21"/>
      <c r="I504" s="26"/>
      <c r="J504" s="15"/>
      <c r="K504" s="27"/>
      <c r="L504" s="25" t="str">
        <f aca="false">IF(B504="","",B504&amp;"|"&amp;J504)</f>
        <v/>
      </c>
    </row>
    <row r="505" customFormat="false" ht="15" hidden="false" customHeight="false" outlineLevel="0" collapsed="false">
      <c r="A505" s="15"/>
      <c r="B505" s="21"/>
      <c r="C505" s="21" t="str">
        <f aca="false">IF(B505="","",IFERROR(INDEX(代理店一覧!$B$5:$B$204,MATCH(B505,代理店一覧!$A$5:$A$204,0)),"※未登録のID"))</f>
        <v/>
      </c>
      <c r="D505" s="21"/>
      <c r="E505" s="21"/>
      <c r="F505" s="21"/>
      <c r="G505" s="18"/>
      <c r="H505" s="21"/>
      <c r="I505" s="26"/>
      <c r="J505" s="15"/>
      <c r="K505" s="27"/>
      <c r="L505" s="25" t="str">
        <f aca="false">IF(B505="","",B505&amp;"|"&amp;J505)</f>
        <v/>
      </c>
    </row>
    <row r="506" customFormat="false" ht="15" hidden="false" customHeight="false" outlineLevel="0" collapsed="false">
      <c r="A506" s="15"/>
      <c r="B506" s="21"/>
      <c r="C506" s="21" t="str">
        <f aca="false">IF(B506="","",IFERROR(INDEX(代理店一覧!$B$5:$B$204,MATCH(B506,代理店一覧!$A$5:$A$204,0)),"※未登録のID"))</f>
        <v/>
      </c>
      <c r="D506" s="21"/>
      <c r="E506" s="21"/>
      <c r="F506" s="21"/>
      <c r="G506" s="18"/>
      <c r="H506" s="21"/>
      <c r="I506" s="26"/>
      <c r="J506" s="15"/>
      <c r="K506" s="27"/>
      <c r="L506" s="25" t="str">
        <f aca="false">IF(B506="","",B506&amp;"|"&amp;J506)</f>
        <v/>
      </c>
    </row>
    <row r="507" customFormat="false" ht="15" hidden="false" customHeight="false" outlineLevel="0" collapsed="false">
      <c r="A507" s="15"/>
      <c r="B507" s="21"/>
      <c r="C507" s="21" t="str">
        <f aca="false">IF(B507="","",IFERROR(INDEX(代理店一覧!$B$5:$B$204,MATCH(B507,代理店一覧!$A$5:$A$204,0)),"※未登録のID"))</f>
        <v/>
      </c>
      <c r="D507" s="21"/>
      <c r="E507" s="21"/>
      <c r="F507" s="21"/>
      <c r="G507" s="18"/>
      <c r="H507" s="21"/>
      <c r="I507" s="26"/>
      <c r="J507" s="15"/>
      <c r="K507" s="27"/>
      <c r="L507" s="25" t="str">
        <f aca="false">IF(B507="","",B507&amp;"|"&amp;J507)</f>
        <v/>
      </c>
    </row>
    <row r="508" customFormat="false" ht="15" hidden="false" customHeight="false" outlineLevel="0" collapsed="false">
      <c r="A508" s="15"/>
      <c r="B508" s="21"/>
      <c r="C508" s="21" t="str">
        <f aca="false">IF(B508="","",IFERROR(INDEX(代理店一覧!$B$5:$B$204,MATCH(B508,代理店一覧!$A$5:$A$204,0)),"※未登録のID"))</f>
        <v/>
      </c>
      <c r="D508" s="21"/>
      <c r="E508" s="21"/>
      <c r="F508" s="21"/>
      <c r="G508" s="18"/>
      <c r="H508" s="21"/>
      <c r="I508" s="26"/>
      <c r="J508" s="15"/>
      <c r="K508" s="27"/>
      <c r="L508" s="25" t="str">
        <f aca="false">IF(B508="","",B508&amp;"|"&amp;J508)</f>
        <v/>
      </c>
    </row>
    <row r="509" customFormat="false" ht="15" hidden="false" customHeight="false" outlineLevel="0" collapsed="false">
      <c r="A509" s="15"/>
      <c r="B509" s="21"/>
      <c r="C509" s="21" t="str">
        <f aca="false">IF(B509="","",IFERROR(INDEX(代理店一覧!$B$5:$B$204,MATCH(B509,代理店一覧!$A$5:$A$204,0)),"※未登録のID"))</f>
        <v/>
      </c>
      <c r="D509" s="21"/>
      <c r="E509" s="21"/>
      <c r="F509" s="21"/>
      <c r="G509" s="18"/>
      <c r="H509" s="21"/>
      <c r="I509" s="26"/>
      <c r="J509" s="15"/>
      <c r="K509" s="27"/>
      <c r="L509" s="25" t="str">
        <f aca="false">IF(B509="","",B509&amp;"|"&amp;J509)</f>
        <v/>
      </c>
    </row>
    <row r="510" customFormat="false" ht="15" hidden="false" customHeight="false" outlineLevel="0" collapsed="false">
      <c r="A510" s="15"/>
      <c r="B510" s="21"/>
      <c r="C510" s="21" t="str">
        <f aca="false">IF(B510="","",IFERROR(INDEX(代理店一覧!$B$5:$B$204,MATCH(B510,代理店一覧!$A$5:$A$204,0)),"※未登録のID"))</f>
        <v/>
      </c>
      <c r="D510" s="21"/>
      <c r="E510" s="21"/>
      <c r="F510" s="21"/>
      <c r="G510" s="18"/>
      <c r="H510" s="21"/>
      <c r="I510" s="26"/>
      <c r="J510" s="15"/>
      <c r="K510" s="27"/>
      <c r="L510" s="25" t="str">
        <f aca="false">IF(B510="","",B510&amp;"|"&amp;J510)</f>
        <v/>
      </c>
    </row>
    <row r="511" customFormat="false" ht="15" hidden="false" customHeight="false" outlineLevel="0" collapsed="false">
      <c r="A511" s="15"/>
      <c r="B511" s="21"/>
      <c r="C511" s="21" t="str">
        <f aca="false">IF(B511="","",IFERROR(INDEX(代理店一覧!$B$5:$B$204,MATCH(B511,代理店一覧!$A$5:$A$204,0)),"※未登録のID"))</f>
        <v/>
      </c>
      <c r="D511" s="21"/>
      <c r="E511" s="21"/>
      <c r="F511" s="21"/>
      <c r="G511" s="18"/>
      <c r="H511" s="21"/>
      <c r="I511" s="26"/>
      <c r="J511" s="15"/>
      <c r="K511" s="27"/>
      <c r="L511" s="25" t="str">
        <f aca="false">IF(B511="","",B511&amp;"|"&amp;J511)</f>
        <v/>
      </c>
    </row>
    <row r="512" customFormat="false" ht="15" hidden="false" customHeight="false" outlineLevel="0" collapsed="false">
      <c r="A512" s="15"/>
      <c r="B512" s="21"/>
      <c r="C512" s="21" t="str">
        <f aca="false">IF(B512="","",IFERROR(INDEX(代理店一覧!$B$5:$B$204,MATCH(B512,代理店一覧!$A$5:$A$204,0)),"※未登録のID"))</f>
        <v/>
      </c>
      <c r="D512" s="21"/>
      <c r="E512" s="21"/>
      <c r="F512" s="21"/>
      <c r="G512" s="18"/>
      <c r="H512" s="21"/>
      <c r="I512" s="26"/>
      <c r="J512" s="15"/>
      <c r="K512" s="27"/>
      <c r="L512" s="25" t="str">
        <f aca="false">IF(B512="","",B512&amp;"|"&amp;J512)</f>
        <v/>
      </c>
    </row>
    <row r="513" customFormat="false" ht="15" hidden="false" customHeight="false" outlineLevel="0" collapsed="false">
      <c r="A513" s="15"/>
      <c r="B513" s="21"/>
      <c r="C513" s="21" t="str">
        <f aca="false">IF(B513="","",IFERROR(INDEX(代理店一覧!$B$5:$B$204,MATCH(B513,代理店一覧!$A$5:$A$204,0)),"※未登録のID"))</f>
        <v/>
      </c>
      <c r="D513" s="21"/>
      <c r="E513" s="21"/>
      <c r="F513" s="21"/>
      <c r="G513" s="18"/>
      <c r="H513" s="21"/>
      <c r="I513" s="26"/>
      <c r="J513" s="15"/>
      <c r="K513" s="27"/>
      <c r="L513" s="25" t="str">
        <f aca="false">IF(B513="","",B513&amp;"|"&amp;J513)</f>
        <v/>
      </c>
    </row>
    <row r="514" customFormat="false" ht="15" hidden="false" customHeight="false" outlineLevel="0" collapsed="false">
      <c r="A514" s="15"/>
      <c r="B514" s="21"/>
      <c r="C514" s="21" t="str">
        <f aca="false">IF(B514="","",IFERROR(INDEX(代理店一覧!$B$5:$B$204,MATCH(B514,代理店一覧!$A$5:$A$204,0)),"※未登録のID"))</f>
        <v/>
      </c>
      <c r="D514" s="21"/>
      <c r="E514" s="21"/>
      <c r="F514" s="21"/>
      <c r="G514" s="18"/>
      <c r="H514" s="21"/>
      <c r="I514" s="26"/>
      <c r="J514" s="15"/>
      <c r="K514" s="27"/>
      <c r="L514" s="25" t="str">
        <f aca="false">IF(B514="","",B514&amp;"|"&amp;J514)</f>
        <v/>
      </c>
    </row>
    <row r="515" customFormat="false" ht="15" hidden="false" customHeight="false" outlineLevel="0" collapsed="false">
      <c r="A515" s="15"/>
      <c r="B515" s="21"/>
      <c r="C515" s="21" t="str">
        <f aca="false">IF(B515="","",IFERROR(INDEX(代理店一覧!$B$5:$B$204,MATCH(B515,代理店一覧!$A$5:$A$204,0)),"※未登録のID"))</f>
        <v/>
      </c>
      <c r="D515" s="21"/>
      <c r="E515" s="21"/>
      <c r="F515" s="21"/>
      <c r="G515" s="18"/>
      <c r="H515" s="21"/>
      <c r="I515" s="26"/>
      <c r="J515" s="15"/>
      <c r="K515" s="27"/>
      <c r="L515" s="25" t="str">
        <f aca="false">IF(B515="","",B515&amp;"|"&amp;J515)</f>
        <v/>
      </c>
    </row>
    <row r="516" customFormat="false" ht="15" hidden="false" customHeight="false" outlineLevel="0" collapsed="false">
      <c r="A516" s="15"/>
      <c r="B516" s="21"/>
      <c r="C516" s="21" t="str">
        <f aca="false">IF(B516="","",IFERROR(INDEX(代理店一覧!$B$5:$B$204,MATCH(B516,代理店一覧!$A$5:$A$204,0)),"※未登録のID"))</f>
        <v/>
      </c>
      <c r="D516" s="21"/>
      <c r="E516" s="21"/>
      <c r="F516" s="21"/>
      <c r="G516" s="18"/>
      <c r="H516" s="21"/>
      <c r="I516" s="26"/>
      <c r="J516" s="15"/>
      <c r="K516" s="27"/>
      <c r="L516" s="25" t="str">
        <f aca="false">IF(B516="","",B516&amp;"|"&amp;J516)</f>
        <v/>
      </c>
    </row>
    <row r="517" customFormat="false" ht="15" hidden="false" customHeight="false" outlineLevel="0" collapsed="false">
      <c r="A517" s="15"/>
      <c r="B517" s="21"/>
      <c r="C517" s="21" t="str">
        <f aca="false">IF(B517="","",IFERROR(INDEX(代理店一覧!$B$5:$B$204,MATCH(B517,代理店一覧!$A$5:$A$204,0)),"※未登録のID"))</f>
        <v/>
      </c>
      <c r="D517" s="21"/>
      <c r="E517" s="21"/>
      <c r="F517" s="21"/>
      <c r="G517" s="18"/>
      <c r="H517" s="21"/>
      <c r="I517" s="26"/>
      <c r="J517" s="15"/>
      <c r="K517" s="27"/>
      <c r="L517" s="25" t="str">
        <f aca="false">IF(B517="","",B517&amp;"|"&amp;J517)</f>
        <v/>
      </c>
    </row>
    <row r="518" customFormat="false" ht="15" hidden="false" customHeight="false" outlineLevel="0" collapsed="false">
      <c r="A518" s="15"/>
      <c r="B518" s="21"/>
      <c r="C518" s="21" t="str">
        <f aca="false">IF(B518="","",IFERROR(INDEX(代理店一覧!$B$5:$B$204,MATCH(B518,代理店一覧!$A$5:$A$204,0)),"※未登録のID"))</f>
        <v/>
      </c>
      <c r="D518" s="21"/>
      <c r="E518" s="21"/>
      <c r="F518" s="21"/>
      <c r="G518" s="18"/>
      <c r="H518" s="21"/>
      <c r="I518" s="26"/>
      <c r="J518" s="15"/>
      <c r="K518" s="27"/>
      <c r="L518" s="25" t="str">
        <f aca="false">IF(B518="","",B518&amp;"|"&amp;J518)</f>
        <v/>
      </c>
    </row>
    <row r="519" customFormat="false" ht="15" hidden="false" customHeight="false" outlineLevel="0" collapsed="false">
      <c r="A519" s="15"/>
      <c r="B519" s="21"/>
      <c r="C519" s="21" t="str">
        <f aca="false">IF(B519="","",IFERROR(INDEX(代理店一覧!$B$5:$B$204,MATCH(B519,代理店一覧!$A$5:$A$204,0)),"※未登録のID"))</f>
        <v/>
      </c>
      <c r="D519" s="21"/>
      <c r="E519" s="21"/>
      <c r="F519" s="21"/>
      <c r="G519" s="18"/>
      <c r="H519" s="21"/>
      <c r="I519" s="26"/>
      <c r="J519" s="15"/>
      <c r="K519" s="27"/>
      <c r="L519" s="25" t="str">
        <f aca="false">IF(B519="","",B519&amp;"|"&amp;J519)</f>
        <v/>
      </c>
    </row>
    <row r="520" customFormat="false" ht="15" hidden="false" customHeight="false" outlineLevel="0" collapsed="false">
      <c r="A520" s="15"/>
      <c r="B520" s="21"/>
      <c r="C520" s="21" t="str">
        <f aca="false">IF(B520="","",IFERROR(INDEX(代理店一覧!$B$5:$B$204,MATCH(B520,代理店一覧!$A$5:$A$204,0)),"※未登録のID"))</f>
        <v/>
      </c>
      <c r="D520" s="21"/>
      <c r="E520" s="21"/>
      <c r="F520" s="21"/>
      <c r="G520" s="18"/>
      <c r="H520" s="21"/>
      <c r="I520" s="26"/>
      <c r="J520" s="15"/>
      <c r="K520" s="27"/>
      <c r="L520" s="25" t="str">
        <f aca="false">IF(B520="","",B520&amp;"|"&amp;J520)</f>
        <v/>
      </c>
    </row>
    <row r="521" customFormat="false" ht="15" hidden="false" customHeight="false" outlineLevel="0" collapsed="false">
      <c r="A521" s="15"/>
      <c r="B521" s="21"/>
      <c r="C521" s="21" t="str">
        <f aca="false">IF(B521="","",IFERROR(INDEX(代理店一覧!$B$5:$B$204,MATCH(B521,代理店一覧!$A$5:$A$204,0)),"※未登録のID"))</f>
        <v/>
      </c>
      <c r="D521" s="21"/>
      <c r="E521" s="21"/>
      <c r="F521" s="21"/>
      <c r="G521" s="18"/>
      <c r="H521" s="21"/>
      <c r="I521" s="26"/>
      <c r="J521" s="15"/>
      <c r="K521" s="27"/>
      <c r="L521" s="25" t="str">
        <f aca="false">IF(B521="","",B521&amp;"|"&amp;J521)</f>
        <v/>
      </c>
    </row>
    <row r="522" customFormat="false" ht="15" hidden="false" customHeight="false" outlineLevel="0" collapsed="false">
      <c r="A522" s="15"/>
      <c r="B522" s="21"/>
      <c r="C522" s="21" t="str">
        <f aca="false">IF(B522="","",IFERROR(INDEX(代理店一覧!$B$5:$B$204,MATCH(B522,代理店一覧!$A$5:$A$204,0)),"※未登録のID"))</f>
        <v/>
      </c>
      <c r="D522" s="21"/>
      <c r="E522" s="21"/>
      <c r="F522" s="21"/>
      <c r="G522" s="18"/>
      <c r="H522" s="21"/>
      <c r="I522" s="26"/>
      <c r="J522" s="15"/>
      <c r="K522" s="27"/>
      <c r="L522" s="25" t="str">
        <f aca="false">IF(B522="","",B522&amp;"|"&amp;J522)</f>
        <v/>
      </c>
    </row>
    <row r="523" customFormat="false" ht="15" hidden="false" customHeight="false" outlineLevel="0" collapsed="false">
      <c r="A523" s="15"/>
      <c r="B523" s="21"/>
      <c r="C523" s="21" t="str">
        <f aca="false">IF(B523="","",IFERROR(INDEX(代理店一覧!$B$5:$B$204,MATCH(B523,代理店一覧!$A$5:$A$204,0)),"※未登録のID"))</f>
        <v/>
      </c>
      <c r="D523" s="21"/>
      <c r="E523" s="21"/>
      <c r="F523" s="21"/>
      <c r="G523" s="18"/>
      <c r="H523" s="21"/>
      <c r="I523" s="26"/>
      <c r="J523" s="15"/>
      <c r="K523" s="27"/>
      <c r="L523" s="25" t="str">
        <f aca="false">IF(B523="","",B523&amp;"|"&amp;J523)</f>
        <v/>
      </c>
    </row>
    <row r="524" customFormat="false" ht="15" hidden="false" customHeight="false" outlineLevel="0" collapsed="false">
      <c r="A524" s="15"/>
      <c r="B524" s="21"/>
      <c r="C524" s="21" t="str">
        <f aca="false">IF(B524="","",IFERROR(INDEX(代理店一覧!$B$5:$B$204,MATCH(B524,代理店一覧!$A$5:$A$204,0)),"※未登録のID"))</f>
        <v/>
      </c>
      <c r="D524" s="21"/>
      <c r="E524" s="21"/>
      <c r="F524" s="21"/>
      <c r="G524" s="18"/>
      <c r="H524" s="21"/>
      <c r="I524" s="26"/>
      <c r="J524" s="15"/>
      <c r="K524" s="27"/>
      <c r="L524" s="25" t="str">
        <f aca="false">IF(B524="","",B524&amp;"|"&amp;J524)</f>
        <v/>
      </c>
    </row>
    <row r="525" customFormat="false" ht="15" hidden="false" customHeight="false" outlineLevel="0" collapsed="false">
      <c r="A525" s="15"/>
      <c r="B525" s="21"/>
      <c r="C525" s="21" t="str">
        <f aca="false">IF(B525="","",IFERROR(INDEX(代理店一覧!$B$5:$B$204,MATCH(B525,代理店一覧!$A$5:$A$204,0)),"※未登録のID"))</f>
        <v/>
      </c>
      <c r="D525" s="21"/>
      <c r="E525" s="21"/>
      <c r="F525" s="21"/>
      <c r="G525" s="18"/>
      <c r="H525" s="21"/>
      <c r="I525" s="26"/>
      <c r="J525" s="15"/>
      <c r="K525" s="27"/>
      <c r="L525" s="25" t="str">
        <f aca="false">IF(B525="","",B525&amp;"|"&amp;J525)</f>
        <v/>
      </c>
    </row>
    <row r="526" customFormat="false" ht="15" hidden="false" customHeight="false" outlineLevel="0" collapsed="false">
      <c r="A526" s="15"/>
      <c r="B526" s="21"/>
      <c r="C526" s="21" t="str">
        <f aca="false">IF(B526="","",IFERROR(INDEX(代理店一覧!$B$5:$B$204,MATCH(B526,代理店一覧!$A$5:$A$204,0)),"※未登録のID"))</f>
        <v/>
      </c>
      <c r="D526" s="21"/>
      <c r="E526" s="21"/>
      <c r="F526" s="21"/>
      <c r="G526" s="18"/>
      <c r="H526" s="21"/>
      <c r="I526" s="26"/>
      <c r="J526" s="15"/>
      <c r="K526" s="27"/>
      <c r="L526" s="25" t="str">
        <f aca="false">IF(B526="","",B526&amp;"|"&amp;J526)</f>
        <v/>
      </c>
    </row>
    <row r="527" customFormat="false" ht="15" hidden="false" customHeight="false" outlineLevel="0" collapsed="false">
      <c r="A527" s="15"/>
      <c r="B527" s="21"/>
      <c r="C527" s="21" t="str">
        <f aca="false">IF(B527="","",IFERROR(INDEX(代理店一覧!$B$5:$B$204,MATCH(B527,代理店一覧!$A$5:$A$204,0)),"※未登録のID"))</f>
        <v/>
      </c>
      <c r="D527" s="21"/>
      <c r="E527" s="21"/>
      <c r="F527" s="21"/>
      <c r="G527" s="18"/>
      <c r="H527" s="21"/>
      <c r="I527" s="26"/>
      <c r="J527" s="15"/>
      <c r="K527" s="27"/>
      <c r="L527" s="25" t="str">
        <f aca="false">IF(B527="","",B527&amp;"|"&amp;J527)</f>
        <v/>
      </c>
    </row>
    <row r="528" customFormat="false" ht="15" hidden="false" customHeight="false" outlineLevel="0" collapsed="false">
      <c r="A528" s="15"/>
      <c r="B528" s="21"/>
      <c r="C528" s="21" t="str">
        <f aca="false">IF(B528="","",IFERROR(INDEX(代理店一覧!$B$5:$B$204,MATCH(B528,代理店一覧!$A$5:$A$204,0)),"※未登録のID"))</f>
        <v/>
      </c>
      <c r="D528" s="21"/>
      <c r="E528" s="21"/>
      <c r="F528" s="21"/>
      <c r="G528" s="18"/>
      <c r="H528" s="21"/>
      <c r="I528" s="26"/>
      <c r="J528" s="15"/>
      <c r="K528" s="27"/>
      <c r="L528" s="25" t="str">
        <f aca="false">IF(B528="","",B528&amp;"|"&amp;J528)</f>
        <v/>
      </c>
    </row>
    <row r="529" customFormat="false" ht="15" hidden="false" customHeight="false" outlineLevel="0" collapsed="false">
      <c r="A529" s="15"/>
      <c r="B529" s="21"/>
      <c r="C529" s="21" t="str">
        <f aca="false">IF(B529="","",IFERROR(INDEX(代理店一覧!$B$5:$B$204,MATCH(B529,代理店一覧!$A$5:$A$204,0)),"※未登録のID"))</f>
        <v/>
      </c>
      <c r="D529" s="21"/>
      <c r="E529" s="21"/>
      <c r="F529" s="21"/>
      <c r="G529" s="18"/>
      <c r="H529" s="21"/>
      <c r="I529" s="26"/>
      <c r="J529" s="15"/>
      <c r="K529" s="27"/>
      <c r="L529" s="25" t="str">
        <f aca="false">IF(B529="","",B529&amp;"|"&amp;J529)</f>
        <v/>
      </c>
    </row>
    <row r="530" customFormat="false" ht="15" hidden="false" customHeight="false" outlineLevel="0" collapsed="false">
      <c r="A530" s="15"/>
      <c r="B530" s="21"/>
      <c r="C530" s="21" t="str">
        <f aca="false">IF(B530="","",IFERROR(INDEX(代理店一覧!$B$5:$B$204,MATCH(B530,代理店一覧!$A$5:$A$204,0)),"※未登録のID"))</f>
        <v/>
      </c>
      <c r="D530" s="21"/>
      <c r="E530" s="21"/>
      <c r="F530" s="21"/>
      <c r="G530" s="18"/>
      <c r="H530" s="21"/>
      <c r="I530" s="26"/>
      <c r="J530" s="15"/>
      <c r="K530" s="27"/>
      <c r="L530" s="25" t="str">
        <f aca="false">IF(B530="","",B530&amp;"|"&amp;J530)</f>
        <v/>
      </c>
    </row>
    <row r="531" customFormat="false" ht="15" hidden="false" customHeight="false" outlineLevel="0" collapsed="false">
      <c r="A531" s="15"/>
      <c r="B531" s="21"/>
      <c r="C531" s="21" t="str">
        <f aca="false">IF(B531="","",IFERROR(INDEX(代理店一覧!$B$5:$B$204,MATCH(B531,代理店一覧!$A$5:$A$204,0)),"※未登録のID"))</f>
        <v/>
      </c>
      <c r="D531" s="21"/>
      <c r="E531" s="21"/>
      <c r="F531" s="21"/>
      <c r="G531" s="18"/>
      <c r="H531" s="21"/>
      <c r="I531" s="26"/>
      <c r="J531" s="15"/>
      <c r="K531" s="27"/>
      <c r="L531" s="25" t="str">
        <f aca="false">IF(B531="","",B531&amp;"|"&amp;J531)</f>
        <v/>
      </c>
    </row>
    <row r="532" customFormat="false" ht="15" hidden="false" customHeight="false" outlineLevel="0" collapsed="false">
      <c r="A532" s="15"/>
      <c r="B532" s="21"/>
      <c r="C532" s="21" t="str">
        <f aca="false">IF(B532="","",IFERROR(INDEX(代理店一覧!$B$5:$B$204,MATCH(B532,代理店一覧!$A$5:$A$204,0)),"※未登録のID"))</f>
        <v/>
      </c>
      <c r="D532" s="21"/>
      <c r="E532" s="21"/>
      <c r="F532" s="21"/>
      <c r="G532" s="18"/>
      <c r="H532" s="21"/>
      <c r="I532" s="26"/>
      <c r="J532" s="15"/>
      <c r="K532" s="27"/>
      <c r="L532" s="25" t="str">
        <f aca="false">IF(B532="","",B532&amp;"|"&amp;J532)</f>
        <v/>
      </c>
    </row>
    <row r="533" customFormat="false" ht="15" hidden="false" customHeight="false" outlineLevel="0" collapsed="false">
      <c r="A533" s="15"/>
      <c r="B533" s="21"/>
      <c r="C533" s="21" t="str">
        <f aca="false">IF(B533="","",IFERROR(INDEX(代理店一覧!$B$5:$B$204,MATCH(B533,代理店一覧!$A$5:$A$204,0)),"※未登録のID"))</f>
        <v/>
      </c>
      <c r="D533" s="21"/>
      <c r="E533" s="21"/>
      <c r="F533" s="21"/>
      <c r="G533" s="18"/>
      <c r="H533" s="21"/>
      <c r="I533" s="26"/>
      <c r="J533" s="15"/>
      <c r="K533" s="27"/>
      <c r="L533" s="25" t="str">
        <f aca="false">IF(B533="","",B533&amp;"|"&amp;J533)</f>
        <v/>
      </c>
    </row>
    <row r="534" customFormat="false" ht="15" hidden="false" customHeight="false" outlineLevel="0" collapsed="false">
      <c r="A534" s="15"/>
      <c r="B534" s="21"/>
      <c r="C534" s="21" t="str">
        <f aca="false">IF(B534="","",IFERROR(INDEX(代理店一覧!$B$5:$B$204,MATCH(B534,代理店一覧!$A$5:$A$204,0)),"※未登録のID"))</f>
        <v/>
      </c>
      <c r="D534" s="21"/>
      <c r="E534" s="21"/>
      <c r="F534" s="21"/>
      <c r="G534" s="18"/>
      <c r="H534" s="21"/>
      <c r="I534" s="26"/>
      <c r="J534" s="15"/>
      <c r="K534" s="27"/>
      <c r="L534" s="25" t="str">
        <f aca="false">IF(B534="","",B534&amp;"|"&amp;J534)</f>
        <v/>
      </c>
    </row>
    <row r="535" customFormat="false" ht="15" hidden="false" customHeight="false" outlineLevel="0" collapsed="false">
      <c r="A535" s="15"/>
      <c r="B535" s="21"/>
      <c r="C535" s="21" t="str">
        <f aca="false">IF(B535="","",IFERROR(INDEX(代理店一覧!$B$5:$B$204,MATCH(B535,代理店一覧!$A$5:$A$204,0)),"※未登録のID"))</f>
        <v/>
      </c>
      <c r="D535" s="21"/>
      <c r="E535" s="21"/>
      <c r="F535" s="21"/>
      <c r="G535" s="18"/>
      <c r="H535" s="21"/>
      <c r="I535" s="26"/>
      <c r="J535" s="15"/>
      <c r="K535" s="27"/>
      <c r="L535" s="25" t="str">
        <f aca="false">IF(B535="","",B535&amp;"|"&amp;J535)</f>
        <v/>
      </c>
    </row>
    <row r="536" customFormat="false" ht="15" hidden="false" customHeight="false" outlineLevel="0" collapsed="false">
      <c r="A536" s="15"/>
      <c r="B536" s="21"/>
      <c r="C536" s="21" t="str">
        <f aca="false">IF(B536="","",IFERROR(INDEX(代理店一覧!$B$5:$B$204,MATCH(B536,代理店一覧!$A$5:$A$204,0)),"※未登録のID"))</f>
        <v/>
      </c>
      <c r="D536" s="21"/>
      <c r="E536" s="21"/>
      <c r="F536" s="21"/>
      <c r="G536" s="18"/>
      <c r="H536" s="21"/>
      <c r="I536" s="26"/>
      <c r="J536" s="15"/>
      <c r="K536" s="27"/>
      <c r="L536" s="25" t="str">
        <f aca="false">IF(B536="","",B536&amp;"|"&amp;J536)</f>
        <v/>
      </c>
    </row>
    <row r="537" customFormat="false" ht="15" hidden="false" customHeight="false" outlineLevel="0" collapsed="false">
      <c r="A537" s="15"/>
      <c r="B537" s="21"/>
      <c r="C537" s="21" t="str">
        <f aca="false">IF(B537="","",IFERROR(INDEX(代理店一覧!$B$5:$B$204,MATCH(B537,代理店一覧!$A$5:$A$204,0)),"※未登録のID"))</f>
        <v/>
      </c>
      <c r="D537" s="21"/>
      <c r="E537" s="21"/>
      <c r="F537" s="21"/>
      <c r="G537" s="18"/>
      <c r="H537" s="21"/>
      <c r="I537" s="26"/>
      <c r="J537" s="15"/>
      <c r="K537" s="27"/>
      <c r="L537" s="25" t="str">
        <f aca="false">IF(B537="","",B537&amp;"|"&amp;J537)</f>
        <v/>
      </c>
    </row>
    <row r="538" customFormat="false" ht="15" hidden="false" customHeight="false" outlineLevel="0" collapsed="false">
      <c r="A538" s="15"/>
      <c r="B538" s="21"/>
      <c r="C538" s="21" t="str">
        <f aca="false">IF(B538="","",IFERROR(INDEX(代理店一覧!$B$5:$B$204,MATCH(B538,代理店一覧!$A$5:$A$204,0)),"※未登録のID"))</f>
        <v/>
      </c>
      <c r="D538" s="21"/>
      <c r="E538" s="21"/>
      <c r="F538" s="21"/>
      <c r="G538" s="18"/>
      <c r="H538" s="21"/>
      <c r="I538" s="26"/>
      <c r="J538" s="15"/>
      <c r="K538" s="27"/>
      <c r="L538" s="25" t="str">
        <f aca="false">IF(B538="","",B538&amp;"|"&amp;J538)</f>
        <v/>
      </c>
    </row>
    <row r="539" customFormat="false" ht="15" hidden="false" customHeight="false" outlineLevel="0" collapsed="false">
      <c r="A539" s="15"/>
      <c r="B539" s="21"/>
      <c r="C539" s="21" t="str">
        <f aca="false">IF(B539="","",IFERROR(INDEX(代理店一覧!$B$5:$B$204,MATCH(B539,代理店一覧!$A$5:$A$204,0)),"※未登録のID"))</f>
        <v/>
      </c>
      <c r="D539" s="21"/>
      <c r="E539" s="21"/>
      <c r="F539" s="21"/>
      <c r="G539" s="18"/>
      <c r="H539" s="21"/>
      <c r="I539" s="26"/>
      <c r="J539" s="15"/>
      <c r="K539" s="27"/>
      <c r="L539" s="25" t="str">
        <f aca="false">IF(B539="","",B539&amp;"|"&amp;J539)</f>
        <v/>
      </c>
    </row>
    <row r="540" customFormat="false" ht="15" hidden="false" customHeight="false" outlineLevel="0" collapsed="false">
      <c r="A540" s="15"/>
      <c r="B540" s="21"/>
      <c r="C540" s="21" t="str">
        <f aca="false">IF(B540="","",IFERROR(INDEX(代理店一覧!$B$5:$B$204,MATCH(B540,代理店一覧!$A$5:$A$204,0)),"※未登録のID"))</f>
        <v/>
      </c>
      <c r="D540" s="21"/>
      <c r="E540" s="21"/>
      <c r="F540" s="21"/>
      <c r="G540" s="18"/>
      <c r="H540" s="21"/>
      <c r="I540" s="26"/>
      <c r="J540" s="15"/>
      <c r="K540" s="27"/>
      <c r="L540" s="25" t="str">
        <f aca="false">IF(B540="","",B540&amp;"|"&amp;J540)</f>
        <v/>
      </c>
    </row>
    <row r="541" customFormat="false" ht="15" hidden="false" customHeight="false" outlineLevel="0" collapsed="false">
      <c r="A541" s="15"/>
      <c r="B541" s="21"/>
      <c r="C541" s="21" t="str">
        <f aca="false">IF(B541="","",IFERROR(INDEX(代理店一覧!$B$5:$B$204,MATCH(B541,代理店一覧!$A$5:$A$204,0)),"※未登録のID"))</f>
        <v/>
      </c>
      <c r="D541" s="21"/>
      <c r="E541" s="21"/>
      <c r="F541" s="21"/>
      <c r="G541" s="18"/>
      <c r="H541" s="21"/>
      <c r="I541" s="26"/>
      <c r="J541" s="15"/>
      <c r="K541" s="27"/>
      <c r="L541" s="25" t="str">
        <f aca="false">IF(B541="","",B541&amp;"|"&amp;J541)</f>
        <v/>
      </c>
    </row>
    <row r="542" customFormat="false" ht="15" hidden="false" customHeight="false" outlineLevel="0" collapsed="false">
      <c r="A542" s="15"/>
      <c r="B542" s="21"/>
      <c r="C542" s="21" t="str">
        <f aca="false">IF(B542="","",IFERROR(INDEX(代理店一覧!$B$5:$B$204,MATCH(B542,代理店一覧!$A$5:$A$204,0)),"※未登録のID"))</f>
        <v/>
      </c>
      <c r="D542" s="21"/>
      <c r="E542" s="21"/>
      <c r="F542" s="21"/>
      <c r="G542" s="18"/>
      <c r="H542" s="21"/>
      <c r="I542" s="26"/>
      <c r="J542" s="15"/>
      <c r="K542" s="27"/>
      <c r="L542" s="25" t="str">
        <f aca="false">IF(B542="","",B542&amp;"|"&amp;J542)</f>
        <v/>
      </c>
    </row>
    <row r="543" customFormat="false" ht="15" hidden="false" customHeight="false" outlineLevel="0" collapsed="false">
      <c r="A543" s="15"/>
      <c r="B543" s="21"/>
      <c r="C543" s="21" t="str">
        <f aca="false">IF(B543="","",IFERROR(INDEX(代理店一覧!$B$5:$B$204,MATCH(B543,代理店一覧!$A$5:$A$204,0)),"※未登録のID"))</f>
        <v/>
      </c>
      <c r="D543" s="21"/>
      <c r="E543" s="21"/>
      <c r="F543" s="21"/>
      <c r="G543" s="18"/>
      <c r="H543" s="21"/>
      <c r="I543" s="26"/>
      <c r="J543" s="15"/>
      <c r="K543" s="27"/>
      <c r="L543" s="25" t="str">
        <f aca="false">IF(B543="","",B543&amp;"|"&amp;J543)</f>
        <v/>
      </c>
    </row>
    <row r="544" customFormat="false" ht="15" hidden="false" customHeight="false" outlineLevel="0" collapsed="false">
      <c r="A544" s="15"/>
      <c r="B544" s="21"/>
      <c r="C544" s="21" t="str">
        <f aca="false">IF(B544="","",IFERROR(INDEX(代理店一覧!$B$5:$B$204,MATCH(B544,代理店一覧!$A$5:$A$204,0)),"※未登録のID"))</f>
        <v/>
      </c>
      <c r="D544" s="21"/>
      <c r="E544" s="21"/>
      <c r="F544" s="21"/>
      <c r="G544" s="18"/>
      <c r="H544" s="21"/>
      <c r="I544" s="26"/>
      <c r="J544" s="15"/>
      <c r="K544" s="27"/>
      <c r="L544" s="25" t="str">
        <f aca="false">IF(B544="","",B544&amp;"|"&amp;J544)</f>
        <v/>
      </c>
    </row>
    <row r="545" customFormat="false" ht="15" hidden="false" customHeight="false" outlineLevel="0" collapsed="false">
      <c r="A545" s="15"/>
      <c r="B545" s="21"/>
      <c r="C545" s="21" t="str">
        <f aca="false">IF(B545="","",IFERROR(INDEX(代理店一覧!$B$5:$B$204,MATCH(B545,代理店一覧!$A$5:$A$204,0)),"※未登録のID"))</f>
        <v/>
      </c>
      <c r="D545" s="21"/>
      <c r="E545" s="21"/>
      <c r="F545" s="21"/>
      <c r="G545" s="18"/>
      <c r="H545" s="21"/>
      <c r="I545" s="26"/>
      <c r="J545" s="15"/>
      <c r="K545" s="27"/>
      <c r="L545" s="25" t="str">
        <f aca="false">IF(B545="","",B545&amp;"|"&amp;J545)</f>
        <v/>
      </c>
    </row>
    <row r="546" customFormat="false" ht="15" hidden="false" customHeight="false" outlineLevel="0" collapsed="false">
      <c r="A546" s="15"/>
      <c r="B546" s="21"/>
      <c r="C546" s="21" t="str">
        <f aca="false">IF(B546="","",IFERROR(INDEX(代理店一覧!$B$5:$B$204,MATCH(B546,代理店一覧!$A$5:$A$204,0)),"※未登録のID"))</f>
        <v/>
      </c>
      <c r="D546" s="21"/>
      <c r="E546" s="21"/>
      <c r="F546" s="21"/>
      <c r="G546" s="18"/>
      <c r="H546" s="21"/>
      <c r="I546" s="26"/>
      <c r="J546" s="15"/>
      <c r="K546" s="27"/>
      <c r="L546" s="25" t="str">
        <f aca="false">IF(B546="","",B546&amp;"|"&amp;J546)</f>
        <v/>
      </c>
    </row>
    <row r="547" customFormat="false" ht="15" hidden="false" customHeight="false" outlineLevel="0" collapsed="false">
      <c r="A547" s="15"/>
      <c r="B547" s="21"/>
      <c r="C547" s="21" t="str">
        <f aca="false">IF(B547="","",IFERROR(INDEX(代理店一覧!$B$5:$B$204,MATCH(B547,代理店一覧!$A$5:$A$204,0)),"※未登録のID"))</f>
        <v/>
      </c>
      <c r="D547" s="21"/>
      <c r="E547" s="21"/>
      <c r="F547" s="21"/>
      <c r="G547" s="18"/>
      <c r="H547" s="21"/>
      <c r="I547" s="26"/>
      <c r="J547" s="15"/>
      <c r="K547" s="27"/>
      <c r="L547" s="25" t="str">
        <f aca="false">IF(B547="","",B547&amp;"|"&amp;J547)</f>
        <v/>
      </c>
    </row>
    <row r="548" customFormat="false" ht="15" hidden="false" customHeight="false" outlineLevel="0" collapsed="false">
      <c r="A548" s="15"/>
      <c r="B548" s="21"/>
      <c r="C548" s="21" t="str">
        <f aca="false">IF(B548="","",IFERROR(INDEX(代理店一覧!$B$5:$B$204,MATCH(B548,代理店一覧!$A$5:$A$204,0)),"※未登録のID"))</f>
        <v/>
      </c>
      <c r="D548" s="21"/>
      <c r="E548" s="21"/>
      <c r="F548" s="21"/>
      <c r="G548" s="18"/>
      <c r="H548" s="21"/>
      <c r="I548" s="26"/>
      <c r="J548" s="15"/>
      <c r="K548" s="27"/>
      <c r="L548" s="25" t="str">
        <f aca="false">IF(B548="","",B548&amp;"|"&amp;J548)</f>
        <v/>
      </c>
    </row>
    <row r="549" customFormat="false" ht="15" hidden="false" customHeight="false" outlineLevel="0" collapsed="false">
      <c r="A549" s="15"/>
      <c r="B549" s="21"/>
      <c r="C549" s="21" t="str">
        <f aca="false">IF(B549="","",IFERROR(INDEX(代理店一覧!$B$5:$B$204,MATCH(B549,代理店一覧!$A$5:$A$204,0)),"※未登録のID"))</f>
        <v/>
      </c>
      <c r="D549" s="21"/>
      <c r="E549" s="21"/>
      <c r="F549" s="21"/>
      <c r="G549" s="18"/>
      <c r="H549" s="21"/>
      <c r="I549" s="26"/>
      <c r="J549" s="15"/>
      <c r="K549" s="27"/>
      <c r="L549" s="25" t="str">
        <f aca="false">IF(B549="","",B549&amp;"|"&amp;J549)</f>
        <v/>
      </c>
    </row>
    <row r="550" customFormat="false" ht="15" hidden="false" customHeight="false" outlineLevel="0" collapsed="false">
      <c r="A550" s="15"/>
      <c r="B550" s="21"/>
      <c r="C550" s="21" t="str">
        <f aca="false">IF(B550="","",IFERROR(INDEX(代理店一覧!$B$5:$B$204,MATCH(B550,代理店一覧!$A$5:$A$204,0)),"※未登録のID"))</f>
        <v/>
      </c>
      <c r="D550" s="21"/>
      <c r="E550" s="21"/>
      <c r="F550" s="21"/>
      <c r="G550" s="18"/>
      <c r="H550" s="21"/>
      <c r="I550" s="26"/>
      <c r="J550" s="15"/>
      <c r="K550" s="27"/>
      <c r="L550" s="25" t="str">
        <f aca="false">IF(B550="","",B550&amp;"|"&amp;J550)</f>
        <v/>
      </c>
    </row>
    <row r="551" customFormat="false" ht="15" hidden="false" customHeight="false" outlineLevel="0" collapsed="false">
      <c r="A551" s="15"/>
      <c r="B551" s="21"/>
      <c r="C551" s="21" t="str">
        <f aca="false">IF(B551="","",IFERROR(INDEX(代理店一覧!$B$5:$B$204,MATCH(B551,代理店一覧!$A$5:$A$204,0)),"※未登録のID"))</f>
        <v/>
      </c>
      <c r="D551" s="21"/>
      <c r="E551" s="21"/>
      <c r="F551" s="21"/>
      <c r="G551" s="18"/>
      <c r="H551" s="21"/>
      <c r="I551" s="26"/>
      <c r="J551" s="15"/>
      <c r="K551" s="27"/>
      <c r="L551" s="25" t="str">
        <f aca="false">IF(B551="","",B551&amp;"|"&amp;J551)</f>
        <v/>
      </c>
    </row>
    <row r="552" customFormat="false" ht="15" hidden="false" customHeight="false" outlineLevel="0" collapsed="false">
      <c r="A552" s="15"/>
      <c r="B552" s="21"/>
      <c r="C552" s="21" t="str">
        <f aca="false">IF(B552="","",IFERROR(INDEX(代理店一覧!$B$5:$B$204,MATCH(B552,代理店一覧!$A$5:$A$204,0)),"※未登録のID"))</f>
        <v/>
      </c>
      <c r="D552" s="21"/>
      <c r="E552" s="21"/>
      <c r="F552" s="21"/>
      <c r="G552" s="18"/>
      <c r="H552" s="21"/>
      <c r="I552" s="26"/>
      <c r="J552" s="15"/>
      <c r="K552" s="27"/>
      <c r="L552" s="25" t="str">
        <f aca="false">IF(B552="","",B552&amp;"|"&amp;J552)</f>
        <v/>
      </c>
    </row>
    <row r="553" customFormat="false" ht="15" hidden="false" customHeight="false" outlineLevel="0" collapsed="false">
      <c r="A553" s="15"/>
      <c r="B553" s="21"/>
      <c r="C553" s="21" t="str">
        <f aca="false">IF(B553="","",IFERROR(INDEX(代理店一覧!$B$5:$B$204,MATCH(B553,代理店一覧!$A$5:$A$204,0)),"※未登録のID"))</f>
        <v/>
      </c>
      <c r="D553" s="21"/>
      <c r="E553" s="21"/>
      <c r="F553" s="21"/>
      <c r="G553" s="18"/>
      <c r="H553" s="21"/>
      <c r="I553" s="26"/>
      <c r="J553" s="15"/>
      <c r="K553" s="27"/>
      <c r="L553" s="25" t="str">
        <f aca="false">IF(B553="","",B553&amp;"|"&amp;J553)</f>
        <v/>
      </c>
    </row>
    <row r="554" customFormat="false" ht="15" hidden="false" customHeight="false" outlineLevel="0" collapsed="false">
      <c r="A554" s="15"/>
      <c r="B554" s="21"/>
      <c r="C554" s="21" t="str">
        <f aca="false">IF(B554="","",IFERROR(INDEX(代理店一覧!$B$5:$B$204,MATCH(B554,代理店一覧!$A$5:$A$204,0)),"※未登録のID"))</f>
        <v/>
      </c>
      <c r="D554" s="21"/>
      <c r="E554" s="21"/>
      <c r="F554" s="21"/>
      <c r="G554" s="18"/>
      <c r="H554" s="21"/>
      <c r="I554" s="26"/>
      <c r="J554" s="15"/>
      <c r="K554" s="27"/>
      <c r="L554" s="25" t="str">
        <f aca="false">IF(B554="","",B554&amp;"|"&amp;J554)</f>
        <v/>
      </c>
    </row>
    <row r="555" customFormat="false" ht="15" hidden="false" customHeight="false" outlineLevel="0" collapsed="false">
      <c r="A555" s="15"/>
      <c r="B555" s="21"/>
      <c r="C555" s="21" t="str">
        <f aca="false">IF(B555="","",IFERROR(INDEX(代理店一覧!$B$5:$B$204,MATCH(B555,代理店一覧!$A$5:$A$204,0)),"※未登録のID"))</f>
        <v/>
      </c>
      <c r="D555" s="21"/>
      <c r="E555" s="21"/>
      <c r="F555" s="21"/>
      <c r="G555" s="18"/>
      <c r="H555" s="21"/>
      <c r="I555" s="26"/>
      <c r="J555" s="15"/>
      <c r="K555" s="27"/>
      <c r="L555" s="25" t="str">
        <f aca="false">IF(B555="","",B555&amp;"|"&amp;J555)</f>
        <v/>
      </c>
    </row>
    <row r="556" customFormat="false" ht="15" hidden="false" customHeight="false" outlineLevel="0" collapsed="false">
      <c r="A556" s="15"/>
      <c r="B556" s="21"/>
      <c r="C556" s="21" t="str">
        <f aca="false">IF(B556="","",IFERROR(INDEX(代理店一覧!$B$5:$B$204,MATCH(B556,代理店一覧!$A$5:$A$204,0)),"※未登録のID"))</f>
        <v/>
      </c>
      <c r="D556" s="21"/>
      <c r="E556" s="21"/>
      <c r="F556" s="21"/>
      <c r="G556" s="18"/>
      <c r="H556" s="21"/>
      <c r="I556" s="26"/>
      <c r="J556" s="15"/>
      <c r="K556" s="27"/>
      <c r="L556" s="25" t="str">
        <f aca="false">IF(B556="","",B556&amp;"|"&amp;J556)</f>
        <v/>
      </c>
    </row>
    <row r="557" customFormat="false" ht="15" hidden="false" customHeight="false" outlineLevel="0" collapsed="false">
      <c r="A557" s="15"/>
      <c r="B557" s="21"/>
      <c r="C557" s="21" t="str">
        <f aca="false">IF(B557="","",IFERROR(INDEX(代理店一覧!$B$5:$B$204,MATCH(B557,代理店一覧!$A$5:$A$204,0)),"※未登録のID"))</f>
        <v/>
      </c>
      <c r="D557" s="21"/>
      <c r="E557" s="21"/>
      <c r="F557" s="21"/>
      <c r="G557" s="18"/>
      <c r="H557" s="21"/>
      <c r="I557" s="26"/>
      <c r="J557" s="15"/>
      <c r="K557" s="27"/>
      <c r="L557" s="25" t="str">
        <f aca="false">IF(B557="","",B557&amp;"|"&amp;J557)</f>
        <v/>
      </c>
    </row>
    <row r="558" customFormat="false" ht="15" hidden="false" customHeight="false" outlineLevel="0" collapsed="false">
      <c r="A558" s="15"/>
      <c r="B558" s="21"/>
      <c r="C558" s="21" t="str">
        <f aca="false">IF(B558="","",IFERROR(INDEX(代理店一覧!$B$5:$B$204,MATCH(B558,代理店一覧!$A$5:$A$204,0)),"※未登録のID"))</f>
        <v/>
      </c>
      <c r="D558" s="21"/>
      <c r="E558" s="21"/>
      <c r="F558" s="21"/>
      <c r="G558" s="18"/>
      <c r="H558" s="21"/>
      <c r="I558" s="26"/>
      <c r="J558" s="15"/>
      <c r="K558" s="27"/>
      <c r="L558" s="25" t="str">
        <f aca="false">IF(B558="","",B558&amp;"|"&amp;J558)</f>
        <v/>
      </c>
    </row>
    <row r="559" customFormat="false" ht="15" hidden="false" customHeight="false" outlineLevel="0" collapsed="false">
      <c r="A559" s="15"/>
      <c r="B559" s="21"/>
      <c r="C559" s="21" t="str">
        <f aca="false">IF(B559="","",IFERROR(INDEX(代理店一覧!$B$5:$B$204,MATCH(B559,代理店一覧!$A$5:$A$204,0)),"※未登録のID"))</f>
        <v/>
      </c>
      <c r="D559" s="21"/>
      <c r="E559" s="21"/>
      <c r="F559" s="21"/>
      <c r="G559" s="18"/>
      <c r="H559" s="21"/>
      <c r="I559" s="26"/>
      <c r="J559" s="15"/>
      <c r="K559" s="27"/>
      <c r="L559" s="25" t="str">
        <f aca="false">IF(B559="","",B559&amp;"|"&amp;J559)</f>
        <v/>
      </c>
    </row>
    <row r="560" customFormat="false" ht="15" hidden="false" customHeight="false" outlineLevel="0" collapsed="false">
      <c r="A560" s="15"/>
      <c r="B560" s="21"/>
      <c r="C560" s="21" t="str">
        <f aca="false">IF(B560="","",IFERROR(INDEX(代理店一覧!$B$5:$B$204,MATCH(B560,代理店一覧!$A$5:$A$204,0)),"※未登録のID"))</f>
        <v/>
      </c>
      <c r="D560" s="21"/>
      <c r="E560" s="21"/>
      <c r="F560" s="21"/>
      <c r="G560" s="18"/>
      <c r="H560" s="21"/>
      <c r="I560" s="26"/>
      <c r="J560" s="15"/>
      <c r="K560" s="27"/>
      <c r="L560" s="25" t="str">
        <f aca="false">IF(B560="","",B560&amp;"|"&amp;J560)</f>
        <v/>
      </c>
    </row>
    <row r="561" customFormat="false" ht="15" hidden="false" customHeight="false" outlineLevel="0" collapsed="false">
      <c r="A561" s="15"/>
      <c r="B561" s="21"/>
      <c r="C561" s="21" t="str">
        <f aca="false">IF(B561="","",IFERROR(INDEX(代理店一覧!$B$5:$B$204,MATCH(B561,代理店一覧!$A$5:$A$204,0)),"※未登録のID"))</f>
        <v/>
      </c>
      <c r="D561" s="21"/>
      <c r="E561" s="21"/>
      <c r="F561" s="21"/>
      <c r="G561" s="18"/>
      <c r="H561" s="21"/>
      <c r="I561" s="26"/>
      <c r="J561" s="15"/>
      <c r="K561" s="27"/>
      <c r="L561" s="25" t="str">
        <f aca="false">IF(B561="","",B561&amp;"|"&amp;J561)</f>
        <v/>
      </c>
    </row>
    <row r="562" customFormat="false" ht="15" hidden="false" customHeight="false" outlineLevel="0" collapsed="false">
      <c r="A562" s="15"/>
      <c r="B562" s="21"/>
      <c r="C562" s="21" t="str">
        <f aca="false">IF(B562="","",IFERROR(INDEX(代理店一覧!$B$5:$B$204,MATCH(B562,代理店一覧!$A$5:$A$204,0)),"※未登録のID"))</f>
        <v/>
      </c>
      <c r="D562" s="21"/>
      <c r="E562" s="21"/>
      <c r="F562" s="21"/>
      <c r="G562" s="18"/>
      <c r="H562" s="21"/>
      <c r="I562" s="26"/>
      <c r="J562" s="15"/>
      <c r="K562" s="27"/>
      <c r="L562" s="25" t="str">
        <f aca="false">IF(B562="","",B562&amp;"|"&amp;J562)</f>
        <v/>
      </c>
    </row>
    <row r="563" customFormat="false" ht="15" hidden="false" customHeight="false" outlineLevel="0" collapsed="false">
      <c r="A563" s="15"/>
      <c r="B563" s="21"/>
      <c r="C563" s="21" t="str">
        <f aca="false">IF(B563="","",IFERROR(INDEX(代理店一覧!$B$5:$B$204,MATCH(B563,代理店一覧!$A$5:$A$204,0)),"※未登録のID"))</f>
        <v/>
      </c>
      <c r="D563" s="21"/>
      <c r="E563" s="21"/>
      <c r="F563" s="21"/>
      <c r="G563" s="18"/>
      <c r="H563" s="21"/>
      <c r="I563" s="26"/>
      <c r="J563" s="15"/>
      <c r="K563" s="27"/>
      <c r="L563" s="25" t="str">
        <f aca="false">IF(B563="","",B563&amp;"|"&amp;J563)</f>
        <v/>
      </c>
    </row>
    <row r="564" customFormat="false" ht="15" hidden="false" customHeight="false" outlineLevel="0" collapsed="false">
      <c r="A564" s="15"/>
      <c r="B564" s="21"/>
      <c r="C564" s="21" t="str">
        <f aca="false">IF(B564="","",IFERROR(INDEX(代理店一覧!$B$5:$B$204,MATCH(B564,代理店一覧!$A$5:$A$204,0)),"※未登録のID"))</f>
        <v/>
      </c>
      <c r="D564" s="21"/>
      <c r="E564" s="21"/>
      <c r="F564" s="21"/>
      <c r="G564" s="18"/>
      <c r="H564" s="21"/>
      <c r="I564" s="26"/>
      <c r="J564" s="15"/>
      <c r="K564" s="27"/>
      <c r="L564" s="25" t="str">
        <f aca="false">IF(B564="","",B564&amp;"|"&amp;J564)</f>
        <v/>
      </c>
    </row>
    <row r="565" customFormat="false" ht="15" hidden="false" customHeight="false" outlineLevel="0" collapsed="false">
      <c r="A565" s="15"/>
      <c r="B565" s="21"/>
      <c r="C565" s="21" t="str">
        <f aca="false">IF(B565="","",IFERROR(INDEX(代理店一覧!$B$5:$B$204,MATCH(B565,代理店一覧!$A$5:$A$204,0)),"※未登録のID"))</f>
        <v/>
      </c>
      <c r="D565" s="21"/>
      <c r="E565" s="21"/>
      <c r="F565" s="21"/>
      <c r="G565" s="18"/>
      <c r="H565" s="21"/>
      <c r="I565" s="26"/>
      <c r="J565" s="15"/>
      <c r="K565" s="27"/>
      <c r="L565" s="25" t="str">
        <f aca="false">IF(B565="","",B565&amp;"|"&amp;J565)</f>
        <v/>
      </c>
    </row>
    <row r="566" customFormat="false" ht="15" hidden="false" customHeight="false" outlineLevel="0" collapsed="false">
      <c r="A566" s="15"/>
      <c r="B566" s="21"/>
      <c r="C566" s="21" t="str">
        <f aca="false">IF(B566="","",IFERROR(INDEX(代理店一覧!$B$5:$B$204,MATCH(B566,代理店一覧!$A$5:$A$204,0)),"※未登録のID"))</f>
        <v/>
      </c>
      <c r="D566" s="21"/>
      <c r="E566" s="21"/>
      <c r="F566" s="21"/>
      <c r="G566" s="18"/>
      <c r="H566" s="21"/>
      <c r="I566" s="26"/>
      <c r="J566" s="15"/>
      <c r="K566" s="27"/>
      <c r="L566" s="25" t="str">
        <f aca="false">IF(B566="","",B566&amp;"|"&amp;J566)</f>
        <v/>
      </c>
    </row>
    <row r="567" customFormat="false" ht="15" hidden="false" customHeight="false" outlineLevel="0" collapsed="false">
      <c r="A567" s="15"/>
      <c r="B567" s="21"/>
      <c r="C567" s="21" t="str">
        <f aca="false">IF(B567="","",IFERROR(INDEX(代理店一覧!$B$5:$B$204,MATCH(B567,代理店一覧!$A$5:$A$204,0)),"※未登録のID"))</f>
        <v/>
      </c>
      <c r="D567" s="21"/>
      <c r="E567" s="21"/>
      <c r="F567" s="21"/>
      <c r="G567" s="18"/>
      <c r="H567" s="21"/>
      <c r="I567" s="26"/>
      <c r="J567" s="15"/>
      <c r="K567" s="27"/>
      <c r="L567" s="25" t="str">
        <f aca="false">IF(B567="","",B567&amp;"|"&amp;J567)</f>
        <v/>
      </c>
    </row>
    <row r="568" customFormat="false" ht="15" hidden="false" customHeight="false" outlineLevel="0" collapsed="false">
      <c r="A568" s="15"/>
      <c r="B568" s="21"/>
      <c r="C568" s="21" t="str">
        <f aca="false">IF(B568="","",IFERROR(INDEX(代理店一覧!$B$5:$B$204,MATCH(B568,代理店一覧!$A$5:$A$204,0)),"※未登録のID"))</f>
        <v/>
      </c>
      <c r="D568" s="21"/>
      <c r="E568" s="21"/>
      <c r="F568" s="21"/>
      <c r="G568" s="18"/>
      <c r="H568" s="21"/>
      <c r="I568" s="26"/>
      <c r="J568" s="15"/>
      <c r="K568" s="27"/>
      <c r="L568" s="25" t="str">
        <f aca="false">IF(B568="","",B568&amp;"|"&amp;J568)</f>
        <v/>
      </c>
    </row>
    <row r="569" customFormat="false" ht="15" hidden="false" customHeight="false" outlineLevel="0" collapsed="false">
      <c r="A569" s="15"/>
      <c r="B569" s="21"/>
      <c r="C569" s="21" t="str">
        <f aca="false">IF(B569="","",IFERROR(INDEX(代理店一覧!$B$5:$B$204,MATCH(B569,代理店一覧!$A$5:$A$204,0)),"※未登録のID"))</f>
        <v/>
      </c>
      <c r="D569" s="21"/>
      <c r="E569" s="21"/>
      <c r="F569" s="21"/>
      <c r="G569" s="18"/>
      <c r="H569" s="21"/>
      <c r="I569" s="26"/>
      <c r="J569" s="15"/>
      <c r="K569" s="27"/>
      <c r="L569" s="25" t="str">
        <f aca="false">IF(B569="","",B569&amp;"|"&amp;J569)</f>
        <v/>
      </c>
    </row>
    <row r="570" customFormat="false" ht="15" hidden="false" customHeight="false" outlineLevel="0" collapsed="false">
      <c r="A570" s="15"/>
      <c r="B570" s="21"/>
      <c r="C570" s="21" t="str">
        <f aca="false">IF(B570="","",IFERROR(INDEX(代理店一覧!$B$5:$B$204,MATCH(B570,代理店一覧!$A$5:$A$204,0)),"※未登録のID"))</f>
        <v/>
      </c>
      <c r="D570" s="21"/>
      <c r="E570" s="21"/>
      <c r="F570" s="21"/>
      <c r="G570" s="18"/>
      <c r="H570" s="21"/>
      <c r="I570" s="26"/>
      <c r="J570" s="15"/>
      <c r="K570" s="27"/>
      <c r="L570" s="25" t="str">
        <f aca="false">IF(B570="","",B570&amp;"|"&amp;J570)</f>
        <v/>
      </c>
    </row>
    <row r="571" customFormat="false" ht="15" hidden="false" customHeight="false" outlineLevel="0" collapsed="false">
      <c r="A571" s="15"/>
      <c r="B571" s="21"/>
      <c r="C571" s="21" t="str">
        <f aca="false">IF(B571="","",IFERROR(INDEX(代理店一覧!$B$5:$B$204,MATCH(B571,代理店一覧!$A$5:$A$204,0)),"※未登録のID"))</f>
        <v/>
      </c>
      <c r="D571" s="21"/>
      <c r="E571" s="21"/>
      <c r="F571" s="21"/>
      <c r="G571" s="18"/>
      <c r="H571" s="21"/>
      <c r="I571" s="26"/>
      <c r="J571" s="15"/>
      <c r="K571" s="27"/>
      <c r="L571" s="25" t="str">
        <f aca="false">IF(B571="","",B571&amp;"|"&amp;J571)</f>
        <v/>
      </c>
    </row>
    <row r="572" customFormat="false" ht="15" hidden="false" customHeight="false" outlineLevel="0" collapsed="false">
      <c r="A572" s="15"/>
      <c r="B572" s="21"/>
      <c r="C572" s="21" t="str">
        <f aca="false">IF(B572="","",IFERROR(INDEX(代理店一覧!$B$5:$B$204,MATCH(B572,代理店一覧!$A$5:$A$204,0)),"※未登録のID"))</f>
        <v/>
      </c>
      <c r="D572" s="21"/>
      <c r="E572" s="21"/>
      <c r="F572" s="21"/>
      <c r="G572" s="18"/>
      <c r="H572" s="21"/>
      <c r="I572" s="26"/>
      <c r="J572" s="15"/>
      <c r="K572" s="27"/>
      <c r="L572" s="25" t="str">
        <f aca="false">IF(B572="","",B572&amp;"|"&amp;J572)</f>
        <v/>
      </c>
    </row>
    <row r="573" customFormat="false" ht="15" hidden="false" customHeight="false" outlineLevel="0" collapsed="false">
      <c r="A573" s="15"/>
      <c r="B573" s="21"/>
      <c r="C573" s="21" t="str">
        <f aca="false">IF(B573="","",IFERROR(INDEX(代理店一覧!$B$5:$B$204,MATCH(B573,代理店一覧!$A$5:$A$204,0)),"※未登録のID"))</f>
        <v/>
      </c>
      <c r="D573" s="21"/>
      <c r="E573" s="21"/>
      <c r="F573" s="21"/>
      <c r="G573" s="18"/>
      <c r="H573" s="21"/>
      <c r="I573" s="26"/>
      <c r="J573" s="15"/>
      <c r="K573" s="27"/>
      <c r="L573" s="25" t="str">
        <f aca="false">IF(B573="","",B573&amp;"|"&amp;J573)</f>
        <v/>
      </c>
    </row>
    <row r="574" customFormat="false" ht="15" hidden="false" customHeight="false" outlineLevel="0" collapsed="false">
      <c r="A574" s="15"/>
      <c r="B574" s="21"/>
      <c r="C574" s="21" t="str">
        <f aca="false">IF(B574="","",IFERROR(INDEX(代理店一覧!$B$5:$B$204,MATCH(B574,代理店一覧!$A$5:$A$204,0)),"※未登録のID"))</f>
        <v/>
      </c>
      <c r="D574" s="21"/>
      <c r="E574" s="21"/>
      <c r="F574" s="21"/>
      <c r="G574" s="18"/>
      <c r="H574" s="21"/>
      <c r="I574" s="26"/>
      <c r="J574" s="15"/>
      <c r="K574" s="27"/>
      <c r="L574" s="25" t="str">
        <f aca="false">IF(B574="","",B574&amp;"|"&amp;J574)</f>
        <v/>
      </c>
    </row>
    <row r="575" customFormat="false" ht="15" hidden="false" customHeight="false" outlineLevel="0" collapsed="false">
      <c r="A575" s="15"/>
      <c r="B575" s="21"/>
      <c r="C575" s="21" t="str">
        <f aca="false">IF(B575="","",IFERROR(INDEX(代理店一覧!$B$5:$B$204,MATCH(B575,代理店一覧!$A$5:$A$204,0)),"※未登録のID"))</f>
        <v/>
      </c>
      <c r="D575" s="21"/>
      <c r="E575" s="21"/>
      <c r="F575" s="21"/>
      <c r="G575" s="18"/>
      <c r="H575" s="21"/>
      <c r="I575" s="26"/>
      <c r="J575" s="15"/>
      <c r="K575" s="27"/>
      <c r="L575" s="25" t="str">
        <f aca="false">IF(B575="","",B575&amp;"|"&amp;J575)</f>
        <v/>
      </c>
    </row>
    <row r="576" customFormat="false" ht="15" hidden="false" customHeight="false" outlineLevel="0" collapsed="false">
      <c r="A576" s="15"/>
      <c r="B576" s="21"/>
      <c r="C576" s="21" t="str">
        <f aca="false">IF(B576="","",IFERROR(INDEX(代理店一覧!$B$5:$B$204,MATCH(B576,代理店一覧!$A$5:$A$204,0)),"※未登録のID"))</f>
        <v/>
      </c>
      <c r="D576" s="21"/>
      <c r="E576" s="21"/>
      <c r="F576" s="21"/>
      <c r="G576" s="18"/>
      <c r="H576" s="21"/>
      <c r="I576" s="26"/>
      <c r="J576" s="15"/>
      <c r="K576" s="27"/>
      <c r="L576" s="25" t="str">
        <f aca="false">IF(B576="","",B576&amp;"|"&amp;J576)</f>
        <v/>
      </c>
    </row>
    <row r="577" customFormat="false" ht="15" hidden="false" customHeight="false" outlineLevel="0" collapsed="false">
      <c r="A577" s="15"/>
      <c r="B577" s="21"/>
      <c r="C577" s="21" t="str">
        <f aca="false">IF(B577="","",IFERROR(INDEX(代理店一覧!$B$5:$B$204,MATCH(B577,代理店一覧!$A$5:$A$204,0)),"※未登録のID"))</f>
        <v/>
      </c>
      <c r="D577" s="21"/>
      <c r="E577" s="21"/>
      <c r="F577" s="21"/>
      <c r="G577" s="18"/>
      <c r="H577" s="21"/>
      <c r="I577" s="26"/>
      <c r="J577" s="15"/>
      <c r="K577" s="27"/>
      <c r="L577" s="25" t="str">
        <f aca="false">IF(B577="","",B577&amp;"|"&amp;J577)</f>
        <v/>
      </c>
    </row>
    <row r="578" customFormat="false" ht="15" hidden="false" customHeight="false" outlineLevel="0" collapsed="false">
      <c r="A578" s="15"/>
      <c r="B578" s="21"/>
      <c r="C578" s="21" t="str">
        <f aca="false">IF(B578="","",IFERROR(INDEX(代理店一覧!$B$5:$B$204,MATCH(B578,代理店一覧!$A$5:$A$204,0)),"※未登録のID"))</f>
        <v/>
      </c>
      <c r="D578" s="21"/>
      <c r="E578" s="21"/>
      <c r="F578" s="21"/>
      <c r="G578" s="18"/>
      <c r="H578" s="21"/>
      <c r="I578" s="26"/>
      <c r="J578" s="15"/>
      <c r="K578" s="27"/>
      <c r="L578" s="25" t="str">
        <f aca="false">IF(B578="","",B578&amp;"|"&amp;J578)</f>
        <v/>
      </c>
    </row>
    <row r="579" customFormat="false" ht="15" hidden="false" customHeight="false" outlineLevel="0" collapsed="false">
      <c r="A579" s="15"/>
      <c r="B579" s="21"/>
      <c r="C579" s="21" t="str">
        <f aca="false">IF(B579="","",IFERROR(INDEX(代理店一覧!$B$5:$B$204,MATCH(B579,代理店一覧!$A$5:$A$204,0)),"※未登録のID"))</f>
        <v/>
      </c>
      <c r="D579" s="21"/>
      <c r="E579" s="21"/>
      <c r="F579" s="21"/>
      <c r="G579" s="18"/>
      <c r="H579" s="21"/>
      <c r="I579" s="26"/>
      <c r="J579" s="15"/>
      <c r="K579" s="27"/>
      <c r="L579" s="25" t="str">
        <f aca="false">IF(B579="","",B579&amp;"|"&amp;J579)</f>
        <v/>
      </c>
    </row>
    <row r="580" customFormat="false" ht="15" hidden="false" customHeight="false" outlineLevel="0" collapsed="false">
      <c r="A580" s="15"/>
      <c r="B580" s="21"/>
      <c r="C580" s="21" t="str">
        <f aca="false">IF(B580="","",IFERROR(INDEX(代理店一覧!$B$5:$B$204,MATCH(B580,代理店一覧!$A$5:$A$204,0)),"※未登録のID"))</f>
        <v/>
      </c>
      <c r="D580" s="21"/>
      <c r="E580" s="21"/>
      <c r="F580" s="21"/>
      <c r="G580" s="18"/>
      <c r="H580" s="21"/>
      <c r="I580" s="26"/>
      <c r="J580" s="15"/>
      <c r="K580" s="27"/>
      <c r="L580" s="25" t="str">
        <f aca="false">IF(B580="","",B580&amp;"|"&amp;J580)</f>
        <v/>
      </c>
    </row>
    <row r="581" customFormat="false" ht="15" hidden="false" customHeight="false" outlineLevel="0" collapsed="false">
      <c r="A581" s="15"/>
      <c r="B581" s="21"/>
      <c r="C581" s="21" t="str">
        <f aca="false">IF(B581="","",IFERROR(INDEX(代理店一覧!$B$5:$B$204,MATCH(B581,代理店一覧!$A$5:$A$204,0)),"※未登録のID"))</f>
        <v/>
      </c>
      <c r="D581" s="21"/>
      <c r="E581" s="21"/>
      <c r="F581" s="21"/>
      <c r="G581" s="18"/>
      <c r="H581" s="21"/>
      <c r="I581" s="26"/>
      <c r="J581" s="15"/>
      <c r="K581" s="27"/>
      <c r="L581" s="25" t="str">
        <f aca="false">IF(B581="","",B581&amp;"|"&amp;J581)</f>
        <v/>
      </c>
    </row>
    <row r="582" customFormat="false" ht="15" hidden="false" customHeight="false" outlineLevel="0" collapsed="false">
      <c r="A582" s="15"/>
      <c r="B582" s="21"/>
      <c r="C582" s="21" t="str">
        <f aca="false">IF(B582="","",IFERROR(INDEX(代理店一覧!$B$5:$B$204,MATCH(B582,代理店一覧!$A$5:$A$204,0)),"※未登録のID"))</f>
        <v/>
      </c>
      <c r="D582" s="21"/>
      <c r="E582" s="21"/>
      <c r="F582" s="21"/>
      <c r="G582" s="18"/>
      <c r="H582" s="21"/>
      <c r="I582" s="26"/>
      <c r="J582" s="15"/>
      <c r="K582" s="27"/>
      <c r="L582" s="25" t="str">
        <f aca="false">IF(B582="","",B582&amp;"|"&amp;J582)</f>
        <v/>
      </c>
    </row>
    <row r="583" customFormat="false" ht="15" hidden="false" customHeight="false" outlineLevel="0" collapsed="false">
      <c r="A583" s="15"/>
      <c r="B583" s="21"/>
      <c r="C583" s="21" t="str">
        <f aca="false">IF(B583="","",IFERROR(INDEX(代理店一覧!$B$5:$B$204,MATCH(B583,代理店一覧!$A$5:$A$204,0)),"※未登録のID"))</f>
        <v/>
      </c>
      <c r="D583" s="21"/>
      <c r="E583" s="21"/>
      <c r="F583" s="21"/>
      <c r="G583" s="18"/>
      <c r="H583" s="21"/>
      <c r="I583" s="26"/>
      <c r="J583" s="15"/>
      <c r="K583" s="27"/>
      <c r="L583" s="25" t="str">
        <f aca="false">IF(B583="","",B583&amp;"|"&amp;J583)</f>
        <v/>
      </c>
    </row>
    <row r="584" customFormat="false" ht="15" hidden="false" customHeight="false" outlineLevel="0" collapsed="false">
      <c r="A584" s="15"/>
      <c r="B584" s="21"/>
      <c r="C584" s="21" t="str">
        <f aca="false">IF(B584="","",IFERROR(INDEX(代理店一覧!$B$5:$B$204,MATCH(B584,代理店一覧!$A$5:$A$204,0)),"※未登録のID"))</f>
        <v/>
      </c>
      <c r="D584" s="21"/>
      <c r="E584" s="21"/>
      <c r="F584" s="21"/>
      <c r="G584" s="18"/>
      <c r="H584" s="21"/>
      <c r="I584" s="26"/>
      <c r="J584" s="15"/>
      <c r="K584" s="27"/>
      <c r="L584" s="25" t="str">
        <f aca="false">IF(B584="","",B584&amp;"|"&amp;J584)</f>
        <v/>
      </c>
    </row>
    <row r="585" customFormat="false" ht="15" hidden="false" customHeight="false" outlineLevel="0" collapsed="false">
      <c r="A585" s="15"/>
      <c r="B585" s="21"/>
      <c r="C585" s="21" t="str">
        <f aca="false">IF(B585="","",IFERROR(INDEX(代理店一覧!$B$5:$B$204,MATCH(B585,代理店一覧!$A$5:$A$204,0)),"※未登録のID"))</f>
        <v/>
      </c>
      <c r="D585" s="21"/>
      <c r="E585" s="21"/>
      <c r="F585" s="21"/>
      <c r="G585" s="18"/>
      <c r="H585" s="21"/>
      <c r="I585" s="26"/>
      <c r="J585" s="15"/>
      <c r="K585" s="27"/>
      <c r="L585" s="25" t="str">
        <f aca="false">IF(B585="","",B585&amp;"|"&amp;J585)</f>
        <v/>
      </c>
    </row>
    <row r="586" customFormat="false" ht="15" hidden="false" customHeight="false" outlineLevel="0" collapsed="false">
      <c r="A586" s="15"/>
      <c r="B586" s="21"/>
      <c r="C586" s="21" t="str">
        <f aca="false">IF(B586="","",IFERROR(INDEX(代理店一覧!$B$5:$B$204,MATCH(B586,代理店一覧!$A$5:$A$204,0)),"※未登録のID"))</f>
        <v/>
      </c>
      <c r="D586" s="21"/>
      <c r="E586" s="21"/>
      <c r="F586" s="21"/>
      <c r="G586" s="18"/>
      <c r="H586" s="21"/>
      <c r="I586" s="26"/>
      <c r="J586" s="15"/>
      <c r="K586" s="27"/>
      <c r="L586" s="25" t="str">
        <f aca="false">IF(B586="","",B586&amp;"|"&amp;J586)</f>
        <v/>
      </c>
    </row>
    <row r="587" customFormat="false" ht="15" hidden="false" customHeight="false" outlineLevel="0" collapsed="false">
      <c r="A587" s="15"/>
      <c r="B587" s="21"/>
      <c r="C587" s="21" t="str">
        <f aca="false">IF(B587="","",IFERROR(INDEX(代理店一覧!$B$5:$B$204,MATCH(B587,代理店一覧!$A$5:$A$204,0)),"※未登録のID"))</f>
        <v/>
      </c>
      <c r="D587" s="21"/>
      <c r="E587" s="21"/>
      <c r="F587" s="21"/>
      <c r="G587" s="18"/>
      <c r="H587" s="21"/>
      <c r="I587" s="26"/>
      <c r="J587" s="15"/>
      <c r="K587" s="27"/>
      <c r="L587" s="25" t="str">
        <f aca="false">IF(B587="","",B587&amp;"|"&amp;J587)</f>
        <v/>
      </c>
    </row>
    <row r="588" customFormat="false" ht="15" hidden="false" customHeight="false" outlineLevel="0" collapsed="false">
      <c r="A588" s="15"/>
      <c r="B588" s="21"/>
      <c r="C588" s="21" t="str">
        <f aca="false">IF(B588="","",IFERROR(INDEX(代理店一覧!$B$5:$B$204,MATCH(B588,代理店一覧!$A$5:$A$204,0)),"※未登録のID"))</f>
        <v/>
      </c>
      <c r="D588" s="21"/>
      <c r="E588" s="21"/>
      <c r="F588" s="21"/>
      <c r="G588" s="18"/>
      <c r="H588" s="21"/>
      <c r="I588" s="26"/>
      <c r="J588" s="15"/>
      <c r="K588" s="27"/>
      <c r="L588" s="25" t="str">
        <f aca="false">IF(B588="","",B588&amp;"|"&amp;J588)</f>
        <v/>
      </c>
    </row>
    <row r="589" customFormat="false" ht="15" hidden="false" customHeight="false" outlineLevel="0" collapsed="false">
      <c r="A589" s="15"/>
      <c r="B589" s="21"/>
      <c r="C589" s="21" t="str">
        <f aca="false">IF(B589="","",IFERROR(INDEX(代理店一覧!$B$5:$B$204,MATCH(B589,代理店一覧!$A$5:$A$204,0)),"※未登録のID"))</f>
        <v/>
      </c>
      <c r="D589" s="21"/>
      <c r="E589" s="21"/>
      <c r="F589" s="21"/>
      <c r="G589" s="18"/>
      <c r="H589" s="21"/>
      <c r="I589" s="26"/>
      <c r="J589" s="15"/>
      <c r="K589" s="27"/>
      <c r="L589" s="25" t="str">
        <f aca="false">IF(B589="","",B589&amp;"|"&amp;J589)</f>
        <v/>
      </c>
    </row>
    <row r="590" customFormat="false" ht="15" hidden="false" customHeight="false" outlineLevel="0" collapsed="false">
      <c r="A590" s="15"/>
      <c r="B590" s="21"/>
      <c r="C590" s="21" t="str">
        <f aca="false">IF(B590="","",IFERROR(INDEX(代理店一覧!$B$5:$B$204,MATCH(B590,代理店一覧!$A$5:$A$204,0)),"※未登録のID"))</f>
        <v/>
      </c>
      <c r="D590" s="21"/>
      <c r="E590" s="21"/>
      <c r="F590" s="21"/>
      <c r="G590" s="18"/>
      <c r="H590" s="21"/>
      <c r="I590" s="26"/>
      <c r="J590" s="15"/>
      <c r="K590" s="27"/>
      <c r="L590" s="25" t="str">
        <f aca="false">IF(B590="","",B590&amp;"|"&amp;J590)</f>
        <v/>
      </c>
    </row>
    <row r="591" customFormat="false" ht="15" hidden="false" customHeight="false" outlineLevel="0" collapsed="false">
      <c r="A591" s="15"/>
      <c r="B591" s="21"/>
      <c r="C591" s="21" t="str">
        <f aca="false">IF(B591="","",IFERROR(INDEX(代理店一覧!$B$5:$B$204,MATCH(B591,代理店一覧!$A$5:$A$204,0)),"※未登録のID"))</f>
        <v/>
      </c>
      <c r="D591" s="21"/>
      <c r="E591" s="21"/>
      <c r="F591" s="21"/>
      <c r="G591" s="18"/>
      <c r="H591" s="21"/>
      <c r="I591" s="26"/>
      <c r="J591" s="15"/>
      <c r="K591" s="27"/>
      <c r="L591" s="25" t="str">
        <f aca="false">IF(B591="","",B591&amp;"|"&amp;J591)</f>
        <v/>
      </c>
    </row>
    <row r="592" customFormat="false" ht="15" hidden="false" customHeight="false" outlineLevel="0" collapsed="false">
      <c r="A592" s="15"/>
      <c r="B592" s="21"/>
      <c r="C592" s="21" t="str">
        <f aca="false">IF(B592="","",IFERROR(INDEX(代理店一覧!$B$5:$B$204,MATCH(B592,代理店一覧!$A$5:$A$204,0)),"※未登録のID"))</f>
        <v/>
      </c>
      <c r="D592" s="21"/>
      <c r="E592" s="21"/>
      <c r="F592" s="21"/>
      <c r="G592" s="18"/>
      <c r="H592" s="21"/>
      <c r="I592" s="26"/>
      <c r="J592" s="15"/>
      <c r="K592" s="27"/>
      <c r="L592" s="25" t="str">
        <f aca="false">IF(B592="","",B592&amp;"|"&amp;J592)</f>
        <v/>
      </c>
    </row>
    <row r="593" customFormat="false" ht="15" hidden="false" customHeight="false" outlineLevel="0" collapsed="false">
      <c r="A593" s="15"/>
      <c r="B593" s="21"/>
      <c r="C593" s="21" t="str">
        <f aca="false">IF(B593="","",IFERROR(INDEX(代理店一覧!$B$5:$B$204,MATCH(B593,代理店一覧!$A$5:$A$204,0)),"※未登録のID"))</f>
        <v/>
      </c>
      <c r="D593" s="21"/>
      <c r="E593" s="21"/>
      <c r="F593" s="21"/>
      <c r="G593" s="18"/>
      <c r="H593" s="21"/>
      <c r="I593" s="26"/>
      <c r="J593" s="15"/>
      <c r="K593" s="27"/>
      <c r="L593" s="25" t="str">
        <f aca="false">IF(B593="","",B593&amp;"|"&amp;J593)</f>
        <v/>
      </c>
    </row>
    <row r="594" customFormat="false" ht="15" hidden="false" customHeight="false" outlineLevel="0" collapsed="false">
      <c r="A594" s="15"/>
      <c r="B594" s="21"/>
      <c r="C594" s="21" t="str">
        <f aca="false">IF(B594="","",IFERROR(INDEX(代理店一覧!$B$5:$B$204,MATCH(B594,代理店一覧!$A$5:$A$204,0)),"※未登録のID"))</f>
        <v/>
      </c>
      <c r="D594" s="21"/>
      <c r="E594" s="21"/>
      <c r="F594" s="21"/>
      <c r="G594" s="18"/>
      <c r="H594" s="21"/>
      <c r="I594" s="26"/>
      <c r="J594" s="15"/>
      <c r="K594" s="27"/>
      <c r="L594" s="25" t="str">
        <f aca="false">IF(B594="","",B594&amp;"|"&amp;J594)</f>
        <v/>
      </c>
    </row>
    <row r="595" customFormat="false" ht="15" hidden="false" customHeight="false" outlineLevel="0" collapsed="false">
      <c r="A595" s="15"/>
      <c r="B595" s="21"/>
      <c r="C595" s="21" t="str">
        <f aca="false">IF(B595="","",IFERROR(INDEX(代理店一覧!$B$5:$B$204,MATCH(B595,代理店一覧!$A$5:$A$204,0)),"※未登録のID"))</f>
        <v/>
      </c>
      <c r="D595" s="21"/>
      <c r="E595" s="21"/>
      <c r="F595" s="21"/>
      <c r="G595" s="18"/>
      <c r="H595" s="21"/>
      <c r="I595" s="26"/>
      <c r="J595" s="15"/>
      <c r="K595" s="27"/>
      <c r="L595" s="25" t="str">
        <f aca="false">IF(B595="","",B595&amp;"|"&amp;J595)</f>
        <v/>
      </c>
    </row>
    <row r="596" customFormat="false" ht="15" hidden="false" customHeight="false" outlineLevel="0" collapsed="false">
      <c r="A596" s="15"/>
      <c r="B596" s="21"/>
      <c r="C596" s="21" t="str">
        <f aca="false">IF(B596="","",IFERROR(INDEX(代理店一覧!$B$5:$B$204,MATCH(B596,代理店一覧!$A$5:$A$204,0)),"※未登録のID"))</f>
        <v/>
      </c>
      <c r="D596" s="21"/>
      <c r="E596" s="21"/>
      <c r="F596" s="21"/>
      <c r="G596" s="18"/>
      <c r="H596" s="21"/>
      <c r="I596" s="26"/>
      <c r="J596" s="15"/>
      <c r="K596" s="27"/>
      <c r="L596" s="25" t="str">
        <f aca="false">IF(B596="","",B596&amp;"|"&amp;J596)</f>
        <v/>
      </c>
    </row>
    <row r="597" customFormat="false" ht="15" hidden="false" customHeight="false" outlineLevel="0" collapsed="false">
      <c r="A597" s="15"/>
      <c r="B597" s="21"/>
      <c r="C597" s="21" t="str">
        <f aca="false">IF(B597="","",IFERROR(INDEX(代理店一覧!$B$5:$B$204,MATCH(B597,代理店一覧!$A$5:$A$204,0)),"※未登録のID"))</f>
        <v/>
      </c>
      <c r="D597" s="21"/>
      <c r="E597" s="21"/>
      <c r="F597" s="21"/>
      <c r="G597" s="18"/>
      <c r="H597" s="21"/>
      <c r="I597" s="26"/>
      <c r="J597" s="15"/>
      <c r="K597" s="27"/>
      <c r="L597" s="25" t="str">
        <f aca="false">IF(B597="","",B597&amp;"|"&amp;J597)</f>
        <v/>
      </c>
    </row>
    <row r="598" customFormat="false" ht="15" hidden="false" customHeight="false" outlineLevel="0" collapsed="false">
      <c r="A598" s="15"/>
      <c r="B598" s="21"/>
      <c r="C598" s="21" t="str">
        <f aca="false">IF(B598="","",IFERROR(INDEX(代理店一覧!$B$5:$B$204,MATCH(B598,代理店一覧!$A$5:$A$204,0)),"※未登録のID"))</f>
        <v/>
      </c>
      <c r="D598" s="21"/>
      <c r="E598" s="21"/>
      <c r="F598" s="21"/>
      <c r="G598" s="18"/>
      <c r="H598" s="21"/>
      <c r="I598" s="26"/>
      <c r="J598" s="15"/>
      <c r="K598" s="27"/>
      <c r="L598" s="25" t="str">
        <f aca="false">IF(B598="","",B598&amp;"|"&amp;J598)</f>
        <v/>
      </c>
    </row>
    <row r="599" customFormat="false" ht="15" hidden="false" customHeight="false" outlineLevel="0" collapsed="false">
      <c r="A599" s="15"/>
      <c r="B599" s="21"/>
      <c r="C599" s="21" t="str">
        <f aca="false">IF(B599="","",IFERROR(INDEX(代理店一覧!$B$5:$B$204,MATCH(B599,代理店一覧!$A$5:$A$204,0)),"※未登録のID"))</f>
        <v/>
      </c>
      <c r="D599" s="21"/>
      <c r="E599" s="21"/>
      <c r="F599" s="21"/>
      <c r="G599" s="18"/>
      <c r="H599" s="21"/>
      <c r="I599" s="26"/>
      <c r="J599" s="15"/>
      <c r="K599" s="27"/>
      <c r="L599" s="25" t="str">
        <f aca="false">IF(B599="","",B599&amp;"|"&amp;J599)</f>
        <v/>
      </c>
    </row>
    <row r="600" customFormat="false" ht="15" hidden="false" customHeight="false" outlineLevel="0" collapsed="false">
      <c r="A600" s="15"/>
      <c r="B600" s="21"/>
      <c r="C600" s="21" t="str">
        <f aca="false">IF(B600="","",IFERROR(INDEX(代理店一覧!$B$5:$B$204,MATCH(B600,代理店一覧!$A$5:$A$204,0)),"※未登録のID"))</f>
        <v/>
      </c>
      <c r="D600" s="21"/>
      <c r="E600" s="21"/>
      <c r="F600" s="21"/>
      <c r="G600" s="18"/>
      <c r="H600" s="21"/>
      <c r="I600" s="26"/>
      <c r="J600" s="15"/>
      <c r="K600" s="27"/>
      <c r="L600" s="25" t="str">
        <f aca="false">IF(B600="","",B600&amp;"|"&amp;J600)</f>
        <v/>
      </c>
    </row>
    <row r="601" customFormat="false" ht="15" hidden="false" customHeight="false" outlineLevel="0" collapsed="false">
      <c r="A601" s="15"/>
      <c r="B601" s="21"/>
      <c r="C601" s="21" t="str">
        <f aca="false">IF(B601="","",IFERROR(INDEX(代理店一覧!$B$5:$B$204,MATCH(B601,代理店一覧!$A$5:$A$204,0)),"※未登録のID"))</f>
        <v/>
      </c>
      <c r="D601" s="21"/>
      <c r="E601" s="21"/>
      <c r="F601" s="21"/>
      <c r="G601" s="18"/>
      <c r="H601" s="21"/>
      <c r="I601" s="26"/>
      <c r="J601" s="15"/>
      <c r="K601" s="27"/>
      <c r="L601" s="25" t="str">
        <f aca="false">IF(B601="","",B601&amp;"|"&amp;J601)</f>
        <v/>
      </c>
    </row>
    <row r="602" customFormat="false" ht="15" hidden="false" customHeight="false" outlineLevel="0" collapsed="false">
      <c r="A602" s="15"/>
      <c r="B602" s="21"/>
      <c r="C602" s="21" t="str">
        <f aca="false">IF(B602="","",IFERROR(INDEX(代理店一覧!$B$5:$B$204,MATCH(B602,代理店一覧!$A$5:$A$204,0)),"※未登録のID"))</f>
        <v/>
      </c>
      <c r="D602" s="21"/>
      <c r="E602" s="21"/>
      <c r="F602" s="21"/>
      <c r="G602" s="18"/>
      <c r="H602" s="21"/>
      <c r="I602" s="26"/>
      <c r="J602" s="15"/>
      <c r="K602" s="27"/>
      <c r="L602" s="25" t="str">
        <f aca="false">IF(B602="","",B602&amp;"|"&amp;J602)</f>
        <v/>
      </c>
    </row>
    <row r="603" customFormat="false" ht="15" hidden="false" customHeight="false" outlineLevel="0" collapsed="false">
      <c r="A603" s="15"/>
      <c r="B603" s="21"/>
      <c r="C603" s="21" t="str">
        <f aca="false">IF(B603="","",IFERROR(INDEX(代理店一覧!$B$5:$B$204,MATCH(B603,代理店一覧!$A$5:$A$204,0)),"※未登録のID"))</f>
        <v/>
      </c>
      <c r="D603" s="21"/>
      <c r="E603" s="21"/>
      <c r="F603" s="21"/>
      <c r="G603" s="18"/>
      <c r="H603" s="21"/>
      <c r="I603" s="26"/>
      <c r="J603" s="15"/>
      <c r="K603" s="27"/>
      <c r="L603" s="25" t="str">
        <f aca="false">IF(B603="","",B603&amp;"|"&amp;J603)</f>
        <v/>
      </c>
    </row>
    <row r="604" customFormat="false" ht="15" hidden="false" customHeight="false" outlineLevel="0" collapsed="false">
      <c r="A604" s="15"/>
      <c r="B604" s="21"/>
      <c r="C604" s="21" t="str">
        <f aca="false">IF(B604="","",IFERROR(INDEX(代理店一覧!$B$5:$B$204,MATCH(B604,代理店一覧!$A$5:$A$204,0)),"※未登録のID"))</f>
        <v/>
      </c>
      <c r="D604" s="21"/>
      <c r="E604" s="21"/>
      <c r="F604" s="21"/>
      <c r="G604" s="18"/>
      <c r="H604" s="21"/>
      <c r="I604" s="26"/>
      <c r="J604" s="15"/>
      <c r="K604" s="27"/>
      <c r="L604" s="25" t="str">
        <f aca="false">IF(B604="","",B604&amp;"|"&amp;J604)</f>
        <v/>
      </c>
    </row>
    <row r="605" customFormat="false" ht="15" hidden="false" customHeight="false" outlineLevel="0" collapsed="false">
      <c r="A605" s="15"/>
      <c r="B605" s="21"/>
      <c r="C605" s="21" t="str">
        <f aca="false">IF(B605="","",IFERROR(INDEX(代理店一覧!$B$5:$B$204,MATCH(B605,代理店一覧!$A$5:$A$204,0)),"※未登録のID"))</f>
        <v/>
      </c>
      <c r="D605" s="21"/>
      <c r="E605" s="21"/>
      <c r="F605" s="21"/>
      <c r="G605" s="18"/>
      <c r="H605" s="21"/>
      <c r="I605" s="26"/>
      <c r="J605" s="15"/>
      <c r="K605" s="27"/>
      <c r="L605" s="25" t="str">
        <f aca="false">IF(B605="","",B605&amp;"|"&amp;J605)</f>
        <v/>
      </c>
    </row>
    <row r="606" customFormat="false" ht="15" hidden="false" customHeight="false" outlineLevel="0" collapsed="false">
      <c r="A606" s="15"/>
      <c r="B606" s="21"/>
      <c r="C606" s="21" t="str">
        <f aca="false">IF(B606="","",IFERROR(INDEX(代理店一覧!$B$5:$B$204,MATCH(B606,代理店一覧!$A$5:$A$204,0)),"※未登録のID"))</f>
        <v/>
      </c>
      <c r="D606" s="21"/>
      <c r="E606" s="21"/>
      <c r="F606" s="21"/>
      <c r="G606" s="18"/>
      <c r="H606" s="21"/>
      <c r="I606" s="26"/>
      <c r="J606" s="15"/>
      <c r="K606" s="27"/>
      <c r="L606" s="25" t="str">
        <f aca="false">IF(B606="","",B606&amp;"|"&amp;J606)</f>
        <v/>
      </c>
    </row>
    <row r="607" customFormat="false" ht="15" hidden="false" customHeight="false" outlineLevel="0" collapsed="false">
      <c r="A607" s="15"/>
      <c r="B607" s="21"/>
      <c r="C607" s="21" t="str">
        <f aca="false">IF(B607="","",IFERROR(INDEX(代理店一覧!$B$5:$B$204,MATCH(B607,代理店一覧!$A$5:$A$204,0)),"※未登録のID"))</f>
        <v/>
      </c>
      <c r="D607" s="21"/>
      <c r="E607" s="21"/>
      <c r="F607" s="21"/>
      <c r="G607" s="18"/>
      <c r="H607" s="21"/>
      <c r="I607" s="26"/>
      <c r="J607" s="15"/>
      <c r="K607" s="27"/>
      <c r="L607" s="25" t="str">
        <f aca="false">IF(B607="","",B607&amp;"|"&amp;J607)</f>
        <v/>
      </c>
    </row>
    <row r="608" customFormat="false" ht="15" hidden="false" customHeight="false" outlineLevel="0" collapsed="false">
      <c r="A608" s="15"/>
      <c r="B608" s="21"/>
      <c r="C608" s="21" t="str">
        <f aca="false">IF(B608="","",IFERROR(INDEX(代理店一覧!$B$5:$B$204,MATCH(B608,代理店一覧!$A$5:$A$204,0)),"※未登録のID"))</f>
        <v/>
      </c>
      <c r="D608" s="21"/>
      <c r="E608" s="21"/>
      <c r="F608" s="21"/>
      <c r="G608" s="18"/>
      <c r="H608" s="21"/>
      <c r="I608" s="26"/>
      <c r="J608" s="15"/>
      <c r="K608" s="27"/>
      <c r="L608" s="25" t="str">
        <f aca="false">IF(B608="","",B608&amp;"|"&amp;J608)</f>
        <v/>
      </c>
    </row>
    <row r="609" customFormat="false" ht="15" hidden="false" customHeight="false" outlineLevel="0" collapsed="false">
      <c r="A609" s="15"/>
      <c r="B609" s="21"/>
      <c r="C609" s="21" t="str">
        <f aca="false">IF(B609="","",IFERROR(INDEX(代理店一覧!$B$5:$B$204,MATCH(B609,代理店一覧!$A$5:$A$204,0)),"※未登録のID"))</f>
        <v/>
      </c>
      <c r="D609" s="21"/>
      <c r="E609" s="21"/>
      <c r="F609" s="21"/>
      <c r="G609" s="18"/>
      <c r="H609" s="21"/>
      <c r="I609" s="26"/>
      <c r="J609" s="15"/>
      <c r="K609" s="27"/>
      <c r="L609" s="25" t="str">
        <f aca="false">IF(B609="","",B609&amp;"|"&amp;J609)</f>
        <v/>
      </c>
    </row>
    <row r="610" customFormat="false" ht="15" hidden="false" customHeight="false" outlineLevel="0" collapsed="false">
      <c r="A610" s="15"/>
      <c r="B610" s="21"/>
      <c r="C610" s="21" t="str">
        <f aca="false">IF(B610="","",IFERROR(INDEX(代理店一覧!$B$5:$B$204,MATCH(B610,代理店一覧!$A$5:$A$204,0)),"※未登録のID"))</f>
        <v/>
      </c>
      <c r="D610" s="21"/>
      <c r="E610" s="21"/>
      <c r="F610" s="21"/>
      <c r="G610" s="18"/>
      <c r="H610" s="21"/>
      <c r="I610" s="26"/>
      <c r="J610" s="15"/>
      <c r="K610" s="27"/>
      <c r="L610" s="25" t="str">
        <f aca="false">IF(B610="","",B610&amp;"|"&amp;J610)</f>
        <v/>
      </c>
    </row>
    <row r="611" customFormat="false" ht="15" hidden="false" customHeight="false" outlineLevel="0" collapsed="false">
      <c r="A611" s="15"/>
      <c r="B611" s="21"/>
      <c r="C611" s="21" t="str">
        <f aca="false">IF(B611="","",IFERROR(INDEX(代理店一覧!$B$5:$B$204,MATCH(B611,代理店一覧!$A$5:$A$204,0)),"※未登録のID"))</f>
        <v/>
      </c>
      <c r="D611" s="21"/>
      <c r="E611" s="21"/>
      <c r="F611" s="21"/>
      <c r="G611" s="18"/>
      <c r="H611" s="21"/>
      <c r="I611" s="26"/>
      <c r="J611" s="15"/>
      <c r="K611" s="27"/>
      <c r="L611" s="25" t="str">
        <f aca="false">IF(B611="","",B611&amp;"|"&amp;J611)</f>
        <v/>
      </c>
    </row>
    <row r="612" customFormat="false" ht="15" hidden="false" customHeight="false" outlineLevel="0" collapsed="false">
      <c r="A612" s="15"/>
      <c r="B612" s="21"/>
      <c r="C612" s="21" t="str">
        <f aca="false">IF(B612="","",IFERROR(INDEX(代理店一覧!$B$5:$B$204,MATCH(B612,代理店一覧!$A$5:$A$204,0)),"※未登録のID"))</f>
        <v/>
      </c>
      <c r="D612" s="21"/>
      <c r="E612" s="21"/>
      <c r="F612" s="21"/>
      <c r="G612" s="18"/>
      <c r="H612" s="21"/>
      <c r="I612" s="26"/>
      <c r="J612" s="15"/>
      <c r="K612" s="27"/>
      <c r="L612" s="25" t="str">
        <f aca="false">IF(B612="","",B612&amp;"|"&amp;J612)</f>
        <v/>
      </c>
    </row>
    <row r="613" customFormat="false" ht="15" hidden="false" customHeight="false" outlineLevel="0" collapsed="false">
      <c r="A613" s="15"/>
      <c r="B613" s="21"/>
      <c r="C613" s="21" t="str">
        <f aca="false">IF(B613="","",IFERROR(INDEX(代理店一覧!$B$5:$B$204,MATCH(B613,代理店一覧!$A$5:$A$204,0)),"※未登録のID"))</f>
        <v/>
      </c>
      <c r="D613" s="21"/>
      <c r="E613" s="21"/>
      <c r="F613" s="21"/>
      <c r="G613" s="18"/>
      <c r="H613" s="21"/>
      <c r="I613" s="26"/>
      <c r="J613" s="15"/>
      <c r="K613" s="27"/>
      <c r="L613" s="25" t="str">
        <f aca="false">IF(B613="","",B613&amp;"|"&amp;J613)</f>
        <v/>
      </c>
    </row>
    <row r="614" customFormat="false" ht="15" hidden="false" customHeight="false" outlineLevel="0" collapsed="false">
      <c r="A614" s="15"/>
      <c r="B614" s="21"/>
      <c r="C614" s="21" t="str">
        <f aca="false">IF(B614="","",IFERROR(INDEX(代理店一覧!$B$5:$B$204,MATCH(B614,代理店一覧!$A$5:$A$204,0)),"※未登録のID"))</f>
        <v/>
      </c>
      <c r="D614" s="21"/>
      <c r="E614" s="21"/>
      <c r="F614" s="21"/>
      <c r="G614" s="18"/>
      <c r="H614" s="21"/>
      <c r="I614" s="26"/>
      <c r="J614" s="15"/>
      <c r="K614" s="27"/>
      <c r="L614" s="25" t="str">
        <f aca="false">IF(B614="","",B614&amp;"|"&amp;J614)</f>
        <v/>
      </c>
    </row>
    <row r="615" customFormat="false" ht="15" hidden="false" customHeight="false" outlineLevel="0" collapsed="false">
      <c r="A615" s="15"/>
      <c r="B615" s="21"/>
      <c r="C615" s="21" t="str">
        <f aca="false">IF(B615="","",IFERROR(INDEX(代理店一覧!$B$5:$B$204,MATCH(B615,代理店一覧!$A$5:$A$204,0)),"※未登録のID"))</f>
        <v/>
      </c>
      <c r="D615" s="21"/>
      <c r="E615" s="21"/>
      <c r="F615" s="21"/>
      <c r="G615" s="18"/>
      <c r="H615" s="21"/>
      <c r="I615" s="26"/>
      <c r="J615" s="15"/>
      <c r="K615" s="27"/>
      <c r="L615" s="25" t="str">
        <f aca="false">IF(B615="","",B615&amp;"|"&amp;J615)</f>
        <v/>
      </c>
    </row>
    <row r="616" customFormat="false" ht="15" hidden="false" customHeight="false" outlineLevel="0" collapsed="false">
      <c r="A616" s="15"/>
      <c r="B616" s="21"/>
      <c r="C616" s="21" t="str">
        <f aca="false">IF(B616="","",IFERROR(INDEX(代理店一覧!$B$5:$B$204,MATCH(B616,代理店一覧!$A$5:$A$204,0)),"※未登録のID"))</f>
        <v/>
      </c>
      <c r="D616" s="21"/>
      <c r="E616" s="21"/>
      <c r="F616" s="21"/>
      <c r="G616" s="18"/>
      <c r="H616" s="21"/>
      <c r="I616" s="26"/>
      <c r="J616" s="15"/>
      <c r="K616" s="27"/>
      <c r="L616" s="25" t="str">
        <f aca="false">IF(B616="","",B616&amp;"|"&amp;J616)</f>
        <v/>
      </c>
    </row>
    <row r="617" customFormat="false" ht="15" hidden="false" customHeight="false" outlineLevel="0" collapsed="false">
      <c r="A617" s="15"/>
      <c r="B617" s="21"/>
      <c r="C617" s="21" t="str">
        <f aca="false">IF(B617="","",IFERROR(INDEX(代理店一覧!$B$5:$B$204,MATCH(B617,代理店一覧!$A$5:$A$204,0)),"※未登録のID"))</f>
        <v/>
      </c>
      <c r="D617" s="21"/>
      <c r="E617" s="21"/>
      <c r="F617" s="21"/>
      <c r="G617" s="18"/>
      <c r="H617" s="21"/>
      <c r="I617" s="26"/>
      <c r="J617" s="15"/>
      <c r="K617" s="27"/>
      <c r="L617" s="25" t="str">
        <f aca="false">IF(B617="","",B617&amp;"|"&amp;J617)</f>
        <v/>
      </c>
    </row>
    <row r="618" customFormat="false" ht="15" hidden="false" customHeight="false" outlineLevel="0" collapsed="false">
      <c r="A618" s="15"/>
      <c r="B618" s="21"/>
      <c r="C618" s="21" t="str">
        <f aca="false">IF(B618="","",IFERROR(INDEX(代理店一覧!$B$5:$B$204,MATCH(B618,代理店一覧!$A$5:$A$204,0)),"※未登録のID"))</f>
        <v/>
      </c>
      <c r="D618" s="21"/>
      <c r="E618" s="21"/>
      <c r="F618" s="21"/>
      <c r="G618" s="18"/>
      <c r="H618" s="21"/>
      <c r="I618" s="26"/>
      <c r="J618" s="15"/>
      <c r="K618" s="27"/>
      <c r="L618" s="25" t="str">
        <f aca="false">IF(B618="","",B618&amp;"|"&amp;J618)</f>
        <v/>
      </c>
    </row>
    <row r="619" customFormat="false" ht="15" hidden="false" customHeight="false" outlineLevel="0" collapsed="false">
      <c r="A619" s="15"/>
      <c r="B619" s="21"/>
      <c r="C619" s="21" t="str">
        <f aca="false">IF(B619="","",IFERROR(INDEX(代理店一覧!$B$5:$B$204,MATCH(B619,代理店一覧!$A$5:$A$204,0)),"※未登録のID"))</f>
        <v/>
      </c>
      <c r="D619" s="21"/>
      <c r="E619" s="21"/>
      <c r="F619" s="21"/>
      <c r="G619" s="18"/>
      <c r="H619" s="21"/>
      <c r="I619" s="26"/>
      <c r="J619" s="15"/>
      <c r="K619" s="27"/>
      <c r="L619" s="25" t="str">
        <f aca="false">IF(B619="","",B619&amp;"|"&amp;J619)</f>
        <v/>
      </c>
    </row>
    <row r="620" customFormat="false" ht="15" hidden="false" customHeight="false" outlineLevel="0" collapsed="false">
      <c r="A620" s="15"/>
      <c r="B620" s="21"/>
      <c r="C620" s="21" t="str">
        <f aca="false">IF(B620="","",IFERROR(INDEX(代理店一覧!$B$5:$B$204,MATCH(B620,代理店一覧!$A$5:$A$204,0)),"※未登録のID"))</f>
        <v/>
      </c>
      <c r="D620" s="21"/>
      <c r="E620" s="21"/>
      <c r="F620" s="21"/>
      <c r="G620" s="18"/>
      <c r="H620" s="21"/>
      <c r="I620" s="26"/>
      <c r="J620" s="15"/>
      <c r="K620" s="27"/>
      <c r="L620" s="25" t="str">
        <f aca="false">IF(B620="","",B620&amp;"|"&amp;J620)</f>
        <v/>
      </c>
    </row>
    <row r="621" customFormat="false" ht="15" hidden="false" customHeight="false" outlineLevel="0" collapsed="false">
      <c r="A621" s="15"/>
      <c r="B621" s="21"/>
      <c r="C621" s="21" t="str">
        <f aca="false">IF(B621="","",IFERROR(INDEX(代理店一覧!$B$5:$B$204,MATCH(B621,代理店一覧!$A$5:$A$204,0)),"※未登録のID"))</f>
        <v/>
      </c>
      <c r="D621" s="21"/>
      <c r="E621" s="21"/>
      <c r="F621" s="21"/>
      <c r="G621" s="18"/>
      <c r="H621" s="21"/>
      <c r="I621" s="26"/>
      <c r="J621" s="15"/>
      <c r="K621" s="27"/>
      <c r="L621" s="25" t="str">
        <f aca="false">IF(B621="","",B621&amp;"|"&amp;J621)</f>
        <v/>
      </c>
    </row>
    <row r="622" customFormat="false" ht="15" hidden="false" customHeight="false" outlineLevel="0" collapsed="false">
      <c r="A622" s="15"/>
      <c r="B622" s="21"/>
      <c r="C622" s="21" t="str">
        <f aca="false">IF(B622="","",IFERROR(INDEX(代理店一覧!$B$5:$B$204,MATCH(B622,代理店一覧!$A$5:$A$204,0)),"※未登録のID"))</f>
        <v/>
      </c>
      <c r="D622" s="21"/>
      <c r="E622" s="21"/>
      <c r="F622" s="21"/>
      <c r="G622" s="18"/>
      <c r="H622" s="21"/>
      <c r="I622" s="26"/>
      <c r="J622" s="15"/>
      <c r="K622" s="27"/>
      <c r="L622" s="25" t="str">
        <f aca="false">IF(B622="","",B622&amp;"|"&amp;J622)</f>
        <v/>
      </c>
    </row>
    <row r="623" customFormat="false" ht="15" hidden="false" customHeight="false" outlineLevel="0" collapsed="false">
      <c r="A623" s="15"/>
      <c r="B623" s="21"/>
      <c r="C623" s="21" t="str">
        <f aca="false">IF(B623="","",IFERROR(INDEX(代理店一覧!$B$5:$B$204,MATCH(B623,代理店一覧!$A$5:$A$204,0)),"※未登録のID"))</f>
        <v/>
      </c>
      <c r="D623" s="21"/>
      <c r="E623" s="21"/>
      <c r="F623" s="21"/>
      <c r="G623" s="18"/>
      <c r="H623" s="21"/>
      <c r="I623" s="26"/>
      <c r="J623" s="15"/>
      <c r="K623" s="27"/>
      <c r="L623" s="25" t="str">
        <f aca="false">IF(B623="","",B623&amp;"|"&amp;J623)</f>
        <v/>
      </c>
    </row>
    <row r="624" customFormat="false" ht="15" hidden="false" customHeight="false" outlineLevel="0" collapsed="false">
      <c r="A624" s="15"/>
      <c r="B624" s="21"/>
      <c r="C624" s="21" t="str">
        <f aca="false">IF(B624="","",IFERROR(INDEX(代理店一覧!$B$5:$B$204,MATCH(B624,代理店一覧!$A$5:$A$204,0)),"※未登録のID"))</f>
        <v/>
      </c>
      <c r="D624" s="21"/>
      <c r="E624" s="21"/>
      <c r="F624" s="21"/>
      <c r="G624" s="18"/>
      <c r="H624" s="21"/>
      <c r="I624" s="26"/>
      <c r="J624" s="15"/>
      <c r="K624" s="27"/>
      <c r="L624" s="25" t="str">
        <f aca="false">IF(B624="","",B624&amp;"|"&amp;J624)</f>
        <v/>
      </c>
    </row>
    <row r="625" customFormat="false" ht="15" hidden="false" customHeight="false" outlineLevel="0" collapsed="false">
      <c r="A625" s="15"/>
      <c r="B625" s="21"/>
      <c r="C625" s="21" t="str">
        <f aca="false">IF(B625="","",IFERROR(INDEX(代理店一覧!$B$5:$B$204,MATCH(B625,代理店一覧!$A$5:$A$204,0)),"※未登録のID"))</f>
        <v/>
      </c>
      <c r="D625" s="21"/>
      <c r="E625" s="21"/>
      <c r="F625" s="21"/>
      <c r="G625" s="18"/>
      <c r="H625" s="21"/>
      <c r="I625" s="26"/>
      <c r="J625" s="15"/>
      <c r="K625" s="27"/>
      <c r="L625" s="25" t="str">
        <f aca="false">IF(B625="","",B625&amp;"|"&amp;J625)</f>
        <v/>
      </c>
    </row>
    <row r="626" customFormat="false" ht="15" hidden="false" customHeight="false" outlineLevel="0" collapsed="false">
      <c r="A626" s="15"/>
      <c r="B626" s="21"/>
      <c r="C626" s="21" t="str">
        <f aca="false">IF(B626="","",IFERROR(INDEX(代理店一覧!$B$5:$B$204,MATCH(B626,代理店一覧!$A$5:$A$204,0)),"※未登録のID"))</f>
        <v/>
      </c>
      <c r="D626" s="21"/>
      <c r="E626" s="21"/>
      <c r="F626" s="21"/>
      <c r="G626" s="18"/>
      <c r="H626" s="21"/>
      <c r="I626" s="26"/>
      <c r="J626" s="15"/>
      <c r="K626" s="27"/>
      <c r="L626" s="25" t="str">
        <f aca="false">IF(B626="","",B626&amp;"|"&amp;J626)</f>
        <v/>
      </c>
    </row>
    <row r="627" customFormat="false" ht="15" hidden="false" customHeight="false" outlineLevel="0" collapsed="false">
      <c r="A627" s="15"/>
      <c r="B627" s="21"/>
      <c r="C627" s="21" t="str">
        <f aca="false">IF(B627="","",IFERROR(INDEX(代理店一覧!$B$5:$B$204,MATCH(B627,代理店一覧!$A$5:$A$204,0)),"※未登録のID"))</f>
        <v/>
      </c>
      <c r="D627" s="21"/>
      <c r="E627" s="21"/>
      <c r="F627" s="21"/>
      <c r="G627" s="18"/>
      <c r="H627" s="21"/>
      <c r="I627" s="26"/>
      <c r="J627" s="15"/>
      <c r="K627" s="27"/>
      <c r="L627" s="25" t="str">
        <f aca="false">IF(B627="","",B627&amp;"|"&amp;J627)</f>
        <v/>
      </c>
    </row>
    <row r="628" customFormat="false" ht="15" hidden="false" customHeight="false" outlineLevel="0" collapsed="false">
      <c r="A628" s="15"/>
      <c r="B628" s="21"/>
      <c r="C628" s="21" t="str">
        <f aca="false">IF(B628="","",IFERROR(INDEX(代理店一覧!$B$5:$B$204,MATCH(B628,代理店一覧!$A$5:$A$204,0)),"※未登録のID"))</f>
        <v/>
      </c>
      <c r="D628" s="21"/>
      <c r="E628" s="21"/>
      <c r="F628" s="21"/>
      <c r="G628" s="18"/>
      <c r="H628" s="21"/>
      <c r="I628" s="26"/>
      <c r="J628" s="15"/>
      <c r="K628" s="27"/>
      <c r="L628" s="25" t="str">
        <f aca="false">IF(B628="","",B628&amp;"|"&amp;J628)</f>
        <v/>
      </c>
    </row>
    <row r="629" customFormat="false" ht="15" hidden="false" customHeight="false" outlineLevel="0" collapsed="false">
      <c r="A629" s="15"/>
      <c r="B629" s="21"/>
      <c r="C629" s="21" t="str">
        <f aca="false">IF(B629="","",IFERROR(INDEX(代理店一覧!$B$5:$B$204,MATCH(B629,代理店一覧!$A$5:$A$204,0)),"※未登録のID"))</f>
        <v/>
      </c>
      <c r="D629" s="21"/>
      <c r="E629" s="21"/>
      <c r="F629" s="21"/>
      <c r="G629" s="18"/>
      <c r="H629" s="21"/>
      <c r="I629" s="26"/>
      <c r="J629" s="15"/>
      <c r="K629" s="27"/>
      <c r="L629" s="25" t="str">
        <f aca="false">IF(B629="","",B629&amp;"|"&amp;J629)</f>
        <v/>
      </c>
    </row>
    <row r="630" customFormat="false" ht="15" hidden="false" customHeight="false" outlineLevel="0" collapsed="false">
      <c r="A630" s="15"/>
      <c r="B630" s="21"/>
      <c r="C630" s="21" t="str">
        <f aca="false">IF(B630="","",IFERROR(INDEX(代理店一覧!$B$5:$B$204,MATCH(B630,代理店一覧!$A$5:$A$204,0)),"※未登録のID"))</f>
        <v/>
      </c>
      <c r="D630" s="21"/>
      <c r="E630" s="21"/>
      <c r="F630" s="21"/>
      <c r="G630" s="18"/>
      <c r="H630" s="21"/>
      <c r="I630" s="26"/>
      <c r="J630" s="15"/>
      <c r="K630" s="27"/>
      <c r="L630" s="25" t="str">
        <f aca="false">IF(B630="","",B630&amp;"|"&amp;J630)</f>
        <v/>
      </c>
    </row>
    <row r="631" customFormat="false" ht="15" hidden="false" customHeight="false" outlineLevel="0" collapsed="false">
      <c r="A631" s="15"/>
      <c r="B631" s="21"/>
      <c r="C631" s="21" t="str">
        <f aca="false">IF(B631="","",IFERROR(INDEX(代理店一覧!$B$5:$B$204,MATCH(B631,代理店一覧!$A$5:$A$204,0)),"※未登録のID"))</f>
        <v/>
      </c>
      <c r="D631" s="21"/>
      <c r="E631" s="21"/>
      <c r="F631" s="21"/>
      <c r="G631" s="18"/>
      <c r="H631" s="21"/>
      <c r="I631" s="26"/>
      <c r="J631" s="15"/>
      <c r="K631" s="27"/>
      <c r="L631" s="25" t="str">
        <f aca="false">IF(B631="","",B631&amp;"|"&amp;J631)</f>
        <v/>
      </c>
    </row>
    <row r="632" customFormat="false" ht="15" hidden="false" customHeight="false" outlineLevel="0" collapsed="false">
      <c r="A632" s="15"/>
      <c r="B632" s="21"/>
      <c r="C632" s="21" t="str">
        <f aca="false">IF(B632="","",IFERROR(INDEX(代理店一覧!$B$5:$B$204,MATCH(B632,代理店一覧!$A$5:$A$204,0)),"※未登録のID"))</f>
        <v/>
      </c>
      <c r="D632" s="21"/>
      <c r="E632" s="21"/>
      <c r="F632" s="21"/>
      <c r="G632" s="18"/>
      <c r="H632" s="21"/>
      <c r="I632" s="26"/>
      <c r="J632" s="15"/>
      <c r="K632" s="27"/>
      <c r="L632" s="25" t="str">
        <f aca="false">IF(B632="","",B632&amp;"|"&amp;J632)</f>
        <v/>
      </c>
    </row>
    <row r="633" customFormat="false" ht="15" hidden="false" customHeight="false" outlineLevel="0" collapsed="false">
      <c r="A633" s="15"/>
      <c r="B633" s="21"/>
      <c r="C633" s="21" t="str">
        <f aca="false">IF(B633="","",IFERROR(INDEX(代理店一覧!$B$5:$B$204,MATCH(B633,代理店一覧!$A$5:$A$204,0)),"※未登録のID"))</f>
        <v/>
      </c>
      <c r="D633" s="21"/>
      <c r="E633" s="21"/>
      <c r="F633" s="21"/>
      <c r="G633" s="18"/>
      <c r="H633" s="21"/>
      <c r="I633" s="26"/>
      <c r="J633" s="15"/>
      <c r="K633" s="27"/>
      <c r="L633" s="25" t="str">
        <f aca="false">IF(B633="","",B633&amp;"|"&amp;J633)</f>
        <v/>
      </c>
    </row>
    <row r="634" customFormat="false" ht="15" hidden="false" customHeight="false" outlineLevel="0" collapsed="false">
      <c r="A634" s="15"/>
      <c r="B634" s="21"/>
      <c r="C634" s="21" t="str">
        <f aca="false">IF(B634="","",IFERROR(INDEX(代理店一覧!$B$5:$B$204,MATCH(B634,代理店一覧!$A$5:$A$204,0)),"※未登録のID"))</f>
        <v/>
      </c>
      <c r="D634" s="21"/>
      <c r="E634" s="21"/>
      <c r="F634" s="21"/>
      <c r="G634" s="18"/>
      <c r="H634" s="21"/>
      <c r="I634" s="26"/>
      <c r="J634" s="15"/>
      <c r="K634" s="27"/>
      <c r="L634" s="25" t="str">
        <f aca="false">IF(B634="","",B634&amp;"|"&amp;J634)</f>
        <v/>
      </c>
    </row>
    <row r="635" customFormat="false" ht="15" hidden="false" customHeight="false" outlineLevel="0" collapsed="false">
      <c r="A635" s="15"/>
      <c r="B635" s="21"/>
      <c r="C635" s="21" t="str">
        <f aca="false">IF(B635="","",IFERROR(INDEX(代理店一覧!$B$5:$B$204,MATCH(B635,代理店一覧!$A$5:$A$204,0)),"※未登録のID"))</f>
        <v/>
      </c>
      <c r="D635" s="21"/>
      <c r="E635" s="21"/>
      <c r="F635" s="21"/>
      <c r="G635" s="18"/>
      <c r="H635" s="21"/>
      <c r="I635" s="26"/>
      <c r="J635" s="15"/>
      <c r="K635" s="27"/>
      <c r="L635" s="25" t="str">
        <f aca="false">IF(B635="","",B635&amp;"|"&amp;J635)</f>
        <v/>
      </c>
    </row>
    <row r="636" customFormat="false" ht="15" hidden="false" customHeight="false" outlineLevel="0" collapsed="false">
      <c r="A636" s="15"/>
      <c r="B636" s="21"/>
      <c r="C636" s="21" t="str">
        <f aca="false">IF(B636="","",IFERROR(INDEX(代理店一覧!$B$5:$B$204,MATCH(B636,代理店一覧!$A$5:$A$204,0)),"※未登録のID"))</f>
        <v/>
      </c>
      <c r="D636" s="21"/>
      <c r="E636" s="21"/>
      <c r="F636" s="21"/>
      <c r="G636" s="18"/>
      <c r="H636" s="21"/>
      <c r="I636" s="26"/>
      <c r="J636" s="15"/>
      <c r="K636" s="27"/>
      <c r="L636" s="25" t="str">
        <f aca="false">IF(B636="","",B636&amp;"|"&amp;J636)</f>
        <v/>
      </c>
    </row>
    <row r="637" customFormat="false" ht="15" hidden="false" customHeight="false" outlineLevel="0" collapsed="false">
      <c r="A637" s="15"/>
      <c r="B637" s="21"/>
      <c r="C637" s="21" t="str">
        <f aca="false">IF(B637="","",IFERROR(INDEX(代理店一覧!$B$5:$B$204,MATCH(B637,代理店一覧!$A$5:$A$204,0)),"※未登録のID"))</f>
        <v/>
      </c>
      <c r="D637" s="21"/>
      <c r="E637" s="21"/>
      <c r="F637" s="21"/>
      <c r="G637" s="18"/>
      <c r="H637" s="21"/>
      <c r="I637" s="26"/>
      <c r="J637" s="15"/>
      <c r="K637" s="27"/>
      <c r="L637" s="25" t="str">
        <f aca="false">IF(B637="","",B637&amp;"|"&amp;J637)</f>
        <v/>
      </c>
    </row>
    <row r="638" customFormat="false" ht="15" hidden="false" customHeight="false" outlineLevel="0" collapsed="false">
      <c r="A638" s="15"/>
      <c r="B638" s="21"/>
      <c r="C638" s="21" t="str">
        <f aca="false">IF(B638="","",IFERROR(INDEX(代理店一覧!$B$5:$B$204,MATCH(B638,代理店一覧!$A$5:$A$204,0)),"※未登録のID"))</f>
        <v/>
      </c>
      <c r="D638" s="21"/>
      <c r="E638" s="21"/>
      <c r="F638" s="21"/>
      <c r="G638" s="18"/>
      <c r="H638" s="21"/>
      <c r="I638" s="26"/>
      <c r="J638" s="15"/>
      <c r="K638" s="27"/>
      <c r="L638" s="25" t="str">
        <f aca="false">IF(B638="","",B638&amp;"|"&amp;J638)</f>
        <v/>
      </c>
    </row>
    <row r="639" customFormat="false" ht="15" hidden="false" customHeight="false" outlineLevel="0" collapsed="false">
      <c r="A639" s="15"/>
      <c r="B639" s="21"/>
      <c r="C639" s="21" t="str">
        <f aca="false">IF(B639="","",IFERROR(INDEX(代理店一覧!$B$5:$B$204,MATCH(B639,代理店一覧!$A$5:$A$204,0)),"※未登録のID"))</f>
        <v/>
      </c>
      <c r="D639" s="21"/>
      <c r="E639" s="21"/>
      <c r="F639" s="21"/>
      <c r="G639" s="18"/>
      <c r="H639" s="21"/>
      <c r="I639" s="26"/>
      <c r="J639" s="15"/>
      <c r="K639" s="27"/>
      <c r="L639" s="25" t="str">
        <f aca="false">IF(B639="","",B639&amp;"|"&amp;J639)</f>
        <v/>
      </c>
    </row>
    <row r="640" customFormat="false" ht="15" hidden="false" customHeight="false" outlineLevel="0" collapsed="false">
      <c r="A640" s="15"/>
      <c r="B640" s="21"/>
      <c r="C640" s="21" t="str">
        <f aca="false">IF(B640="","",IFERROR(INDEX(代理店一覧!$B$5:$B$204,MATCH(B640,代理店一覧!$A$5:$A$204,0)),"※未登録のID"))</f>
        <v/>
      </c>
      <c r="D640" s="21"/>
      <c r="E640" s="21"/>
      <c r="F640" s="21"/>
      <c r="G640" s="18"/>
      <c r="H640" s="21"/>
      <c r="I640" s="26"/>
      <c r="J640" s="15"/>
      <c r="K640" s="27"/>
      <c r="L640" s="25" t="str">
        <f aca="false">IF(B640="","",B640&amp;"|"&amp;J640)</f>
        <v/>
      </c>
    </row>
    <row r="641" customFormat="false" ht="15" hidden="false" customHeight="false" outlineLevel="0" collapsed="false">
      <c r="A641" s="15"/>
      <c r="B641" s="21"/>
      <c r="C641" s="21" t="str">
        <f aca="false">IF(B641="","",IFERROR(INDEX(代理店一覧!$B$5:$B$204,MATCH(B641,代理店一覧!$A$5:$A$204,0)),"※未登録のID"))</f>
        <v/>
      </c>
      <c r="D641" s="21"/>
      <c r="E641" s="21"/>
      <c r="F641" s="21"/>
      <c r="G641" s="18"/>
      <c r="H641" s="21"/>
      <c r="I641" s="26"/>
      <c r="J641" s="15"/>
      <c r="K641" s="27"/>
      <c r="L641" s="25" t="str">
        <f aca="false">IF(B641="","",B641&amp;"|"&amp;J641)</f>
        <v/>
      </c>
    </row>
    <row r="642" customFormat="false" ht="15" hidden="false" customHeight="false" outlineLevel="0" collapsed="false">
      <c r="A642" s="15"/>
      <c r="B642" s="21"/>
      <c r="C642" s="21" t="str">
        <f aca="false">IF(B642="","",IFERROR(INDEX(代理店一覧!$B$5:$B$204,MATCH(B642,代理店一覧!$A$5:$A$204,0)),"※未登録のID"))</f>
        <v/>
      </c>
      <c r="D642" s="21"/>
      <c r="E642" s="21"/>
      <c r="F642" s="21"/>
      <c r="G642" s="18"/>
      <c r="H642" s="21"/>
      <c r="I642" s="26"/>
      <c r="J642" s="15"/>
      <c r="K642" s="27"/>
      <c r="L642" s="25" t="str">
        <f aca="false">IF(B642="","",B642&amp;"|"&amp;J642)</f>
        <v/>
      </c>
    </row>
    <row r="643" customFormat="false" ht="15" hidden="false" customHeight="false" outlineLevel="0" collapsed="false">
      <c r="A643" s="15"/>
      <c r="B643" s="21"/>
      <c r="C643" s="21" t="str">
        <f aca="false">IF(B643="","",IFERROR(INDEX(代理店一覧!$B$5:$B$204,MATCH(B643,代理店一覧!$A$5:$A$204,0)),"※未登録のID"))</f>
        <v/>
      </c>
      <c r="D643" s="21"/>
      <c r="E643" s="21"/>
      <c r="F643" s="21"/>
      <c r="G643" s="18"/>
      <c r="H643" s="21"/>
      <c r="I643" s="26"/>
      <c r="J643" s="15"/>
      <c r="K643" s="27"/>
      <c r="L643" s="25" t="str">
        <f aca="false">IF(B643="","",B643&amp;"|"&amp;J643)</f>
        <v/>
      </c>
    </row>
    <row r="644" customFormat="false" ht="15" hidden="false" customHeight="false" outlineLevel="0" collapsed="false">
      <c r="A644" s="15"/>
      <c r="B644" s="21"/>
      <c r="C644" s="21" t="str">
        <f aca="false">IF(B644="","",IFERROR(INDEX(代理店一覧!$B$5:$B$204,MATCH(B644,代理店一覧!$A$5:$A$204,0)),"※未登録のID"))</f>
        <v/>
      </c>
      <c r="D644" s="21"/>
      <c r="E644" s="21"/>
      <c r="F644" s="21"/>
      <c r="G644" s="18"/>
      <c r="H644" s="21"/>
      <c r="I644" s="26"/>
      <c r="J644" s="15"/>
      <c r="K644" s="27"/>
      <c r="L644" s="25" t="str">
        <f aca="false">IF(B644="","",B644&amp;"|"&amp;J644)</f>
        <v/>
      </c>
    </row>
    <row r="645" customFormat="false" ht="15" hidden="false" customHeight="false" outlineLevel="0" collapsed="false">
      <c r="A645" s="15"/>
      <c r="B645" s="21"/>
      <c r="C645" s="21" t="str">
        <f aca="false">IF(B645="","",IFERROR(INDEX(代理店一覧!$B$5:$B$204,MATCH(B645,代理店一覧!$A$5:$A$204,0)),"※未登録のID"))</f>
        <v/>
      </c>
      <c r="D645" s="21"/>
      <c r="E645" s="21"/>
      <c r="F645" s="21"/>
      <c r="G645" s="18"/>
      <c r="H645" s="21"/>
      <c r="I645" s="26"/>
      <c r="J645" s="15"/>
      <c r="K645" s="27"/>
      <c r="L645" s="25" t="str">
        <f aca="false">IF(B645="","",B645&amp;"|"&amp;J645)</f>
        <v/>
      </c>
    </row>
    <row r="646" customFormat="false" ht="15" hidden="false" customHeight="false" outlineLevel="0" collapsed="false">
      <c r="A646" s="15"/>
      <c r="B646" s="21"/>
      <c r="C646" s="21" t="str">
        <f aca="false">IF(B646="","",IFERROR(INDEX(代理店一覧!$B$5:$B$204,MATCH(B646,代理店一覧!$A$5:$A$204,0)),"※未登録のID"))</f>
        <v/>
      </c>
      <c r="D646" s="21"/>
      <c r="E646" s="21"/>
      <c r="F646" s="21"/>
      <c r="G646" s="18"/>
      <c r="H646" s="21"/>
      <c r="I646" s="26"/>
      <c r="J646" s="15"/>
      <c r="K646" s="27"/>
      <c r="L646" s="25" t="str">
        <f aca="false">IF(B646="","",B646&amp;"|"&amp;J646)</f>
        <v/>
      </c>
    </row>
    <row r="647" customFormat="false" ht="15" hidden="false" customHeight="false" outlineLevel="0" collapsed="false">
      <c r="A647" s="15"/>
      <c r="B647" s="21"/>
      <c r="C647" s="21" t="str">
        <f aca="false">IF(B647="","",IFERROR(INDEX(代理店一覧!$B$5:$B$204,MATCH(B647,代理店一覧!$A$5:$A$204,0)),"※未登録のID"))</f>
        <v/>
      </c>
      <c r="D647" s="21"/>
      <c r="E647" s="21"/>
      <c r="F647" s="21"/>
      <c r="G647" s="18"/>
      <c r="H647" s="21"/>
      <c r="I647" s="26"/>
      <c r="J647" s="15"/>
      <c r="K647" s="27"/>
      <c r="L647" s="25" t="str">
        <f aca="false">IF(B647="","",B647&amp;"|"&amp;J647)</f>
        <v/>
      </c>
    </row>
    <row r="648" customFormat="false" ht="15" hidden="false" customHeight="false" outlineLevel="0" collapsed="false">
      <c r="A648" s="15"/>
      <c r="B648" s="21"/>
      <c r="C648" s="21" t="str">
        <f aca="false">IF(B648="","",IFERROR(INDEX(代理店一覧!$B$5:$B$204,MATCH(B648,代理店一覧!$A$5:$A$204,0)),"※未登録のID"))</f>
        <v/>
      </c>
      <c r="D648" s="21"/>
      <c r="E648" s="21"/>
      <c r="F648" s="21"/>
      <c r="G648" s="18"/>
      <c r="H648" s="21"/>
      <c r="I648" s="26"/>
      <c r="J648" s="15"/>
      <c r="K648" s="27"/>
      <c r="L648" s="25" t="str">
        <f aca="false">IF(B648="","",B648&amp;"|"&amp;J648)</f>
        <v/>
      </c>
    </row>
    <row r="649" customFormat="false" ht="15" hidden="false" customHeight="false" outlineLevel="0" collapsed="false">
      <c r="A649" s="15"/>
      <c r="B649" s="21"/>
      <c r="C649" s="21" t="str">
        <f aca="false">IF(B649="","",IFERROR(INDEX(代理店一覧!$B$5:$B$204,MATCH(B649,代理店一覧!$A$5:$A$204,0)),"※未登録のID"))</f>
        <v/>
      </c>
      <c r="D649" s="21"/>
      <c r="E649" s="21"/>
      <c r="F649" s="21"/>
      <c r="G649" s="18"/>
      <c r="H649" s="21"/>
      <c r="I649" s="26"/>
      <c r="J649" s="15"/>
      <c r="K649" s="27"/>
      <c r="L649" s="25" t="str">
        <f aca="false">IF(B649="","",B649&amp;"|"&amp;J649)</f>
        <v/>
      </c>
    </row>
    <row r="650" customFormat="false" ht="15" hidden="false" customHeight="false" outlineLevel="0" collapsed="false">
      <c r="A650" s="15"/>
      <c r="B650" s="21"/>
      <c r="C650" s="21" t="str">
        <f aca="false">IF(B650="","",IFERROR(INDEX(代理店一覧!$B$5:$B$204,MATCH(B650,代理店一覧!$A$5:$A$204,0)),"※未登録のID"))</f>
        <v/>
      </c>
      <c r="D650" s="21"/>
      <c r="E650" s="21"/>
      <c r="F650" s="21"/>
      <c r="G650" s="18"/>
      <c r="H650" s="21"/>
      <c r="I650" s="26"/>
      <c r="J650" s="15"/>
      <c r="K650" s="27"/>
      <c r="L650" s="25" t="str">
        <f aca="false">IF(B650="","",B650&amp;"|"&amp;J650)</f>
        <v/>
      </c>
    </row>
    <row r="651" customFormat="false" ht="15" hidden="false" customHeight="false" outlineLevel="0" collapsed="false">
      <c r="A651" s="15"/>
      <c r="B651" s="21"/>
      <c r="C651" s="21" t="str">
        <f aca="false">IF(B651="","",IFERROR(INDEX(代理店一覧!$B$5:$B$204,MATCH(B651,代理店一覧!$A$5:$A$204,0)),"※未登録のID"))</f>
        <v/>
      </c>
      <c r="D651" s="21"/>
      <c r="E651" s="21"/>
      <c r="F651" s="21"/>
      <c r="G651" s="18"/>
      <c r="H651" s="21"/>
      <c r="I651" s="26"/>
      <c r="J651" s="15"/>
      <c r="K651" s="27"/>
      <c r="L651" s="25" t="str">
        <f aca="false">IF(B651="","",B651&amp;"|"&amp;J651)</f>
        <v/>
      </c>
    </row>
    <row r="652" customFormat="false" ht="15" hidden="false" customHeight="false" outlineLevel="0" collapsed="false">
      <c r="A652" s="15"/>
      <c r="B652" s="21"/>
      <c r="C652" s="21" t="str">
        <f aca="false">IF(B652="","",IFERROR(INDEX(代理店一覧!$B$5:$B$204,MATCH(B652,代理店一覧!$A$5:$A$204,0)),"※未登録のID"))</f>
        <v/>
      </c>
      <c r="D652" s="21"/>
      <c r="E652" s="21"/>
      <c r="F652" s="21"/>
      <c r="G652" s="18"/>
      <c r="H652" s="21"/>
      <c r="I652" s="26"/>
      <c r="J652" s="15"/>
      <c r="K652" s="27"/>
      <c r="L652" s="25" t="str">
        <f aca="false">IF(B652="","",B652&amp;"|"&amp;J652)</f>
        <v/>
      </c>
    </row>
    <row r="653" customFormat="false" ht="15" hidden="false" customHeight="false" outlineLevel="0" collapsed="false">
      <c r="A653" s="15"/>
      <c r="B653" s="21"/>
      <c r="C653" s="21" t="str">
        <f aca="false">IF(B653="","",IFERROR(INDEX(代理店一覧!$B$5:$B$204,MATCH(B653,代理店一覧!$A$5:$A$204,0)),"※未登録のID"))</f>
        <v/>
      </c>
      <c r="D653" s="21"/>
      <c r="E653" s="21"/>
      <c r="F653" s="21"/>
      <c r="G653" s="18"/>
      <c r="H653" s="21"/>
      <c r="I653" s="26"/>
      <c r="J653" s="15"/>
      <c r="K653" s="27"/>
      <c r="L653" s="25" t="str">
        <f aca="false">IF(B653="","",B653&amp;"|"&amp;J653)</f>
        <v/>
      </c>
    </row>
    <row r="654" customFormat="false" ht="15" hidden="false" customHeight="false" outlineLevel="0" collapsed="false">
      <c r="A654" s="15"/>
      <c r="B654" s="21"/>
      <c r="C654" s="21" t="str">
        <f aca="false">IF(B654="","",IFERROR(INDEX(代理店一覧!$B$5:$B$204,MATCH(B654,代理店一覧!$A$5:$A$204,0)),"※未登録のID"))</f>
        <v/>
      </c>
      <c r="D654" s="21"/>
      <c r="E654" s="21"/>
      <c r="F654" s="21"/>
      <c r="G654" s="18"/>
      <c r="H654" s="21"/>
      <c r="I654" s="26"/>
      <c r="J654" s="15"/>
      <c r="K654" s="27"/>
      <c r="L654" s="25" t="str">
        <f aca="false">IF(B654="","",B654&amp;"|"&amp;J654)</f>
        <v/>
      </c>
    </row>
    <row r="655" customFormat="false" ht="15" hidden="false" customHeight="false" outlineLevel="0" collapsed="false">
      <c r="A655" s="15"/>
      <c r="B655" s="21"/>
      <c r="C655" s="21" t="str">
        <f aca="false">IF(B655="","",IFERROR(INDEX(代理店一覧!$B$5:$B$204,MATCH(B655,代理店一覧!$A$5:$A$204,0)),"※未登録のID"))</f>
        <v/>
      </c>
      <c r="D655" s="21"/>
      <c r="E655" s="21"/>
      <c r="F655" s="21"/>
      <c r="G655" s="18"/>
      <c r="H655" s="21"/>
      <c r="I655" s="26"/>
      <c r="J655" s="15"/>
      <c r="K655" s="27"/>
      <c r="L655" s="25" t="str">
        <f aca="false">IF(B655="","",B655&amp;"|"&amp;J655)</f>
        <v/>
      </c>
    </row>
    <row r="656" customFormat="false" ht="15" hidden="false" customHeight="false" outlineLevel="0" collapsed="false">
      <c r="A656" s="15"/>
      <c r="B656" s="21"/>
      <c r="C656" s="21" t="str">
        <f aca="false">IF(B656="","",IFERROR(INDEX(代理店一覧!$B$5:$B$204,MATCH(B656,代理店一覧!$A$5:$A$204,0)),"※未登録のID"))</f>
        <v/>
      </c>
      <c r="D656" s="21"/>
      <c r="E656" s="21"/>
      <c r="F656" s="21"/>
      <c r="G656" s="18"/>
      <c r="H656" s="21"/>
      <c r="I656" s="26"/>
      <c r="J656" s="15"/>
      <c r="K656" s="27"/>
      <c r="L656" s="25" t="str">
        <f aca="false">IF(B656="","",B656&amp;"|"&amp;J656)</f>
        <v/>
      </c>
    </row>
    <row r="657" customFormat="false" ht="15" hidden="false" customHeight="false" outlineLevel="0" collapsed="false">
      <c r="A657" s="15"/>
      <c r="B657" s="21"/>
      <c r="C657" s="21" t="str">
        <f aca="false">IF(B657="","",IFERROR(INDEX(代理店一覧!$B$5:$B$204,MATCH(B657,代理店一覧!$A$5:$A$204,0)),"※未登録のID"))</f>
        <v/>
      </c>
      <c r="D657" s="21"/>
      <c r="E657" s="21"/>
      <c r="F657" s="21"/>
      <c r="G657" s="18"/>
      <c r="H657" s="21"/>
      <c r="I657" s="26"/>
      <c r="J657" s="15"/>
      <c r="K657" s="27"/>
      <c r="L657" s="25" t="str">
        <f aca="false">IF(B657="","",B657&amp;"|"&amp;J657)</f>
        <v/>
      </c>
    </row>
    <row r="658" customFormat="false" ht="15" hidden="false" customHeight="false" outlineLevel="0" collapsed="false">
      <c r="A658" s="15"/>
      <c r="B658" s="21"/>
      <c r="C658" s="21" t="str">
        <f aca="false">IF(B658="","",IFERROR(INDEX(代理店一覧!$B$5:$B$204,MATCH(B658,代理店一覧!$A$5:$A$204,0)),"※未登録のID"))</f>
        <v/>
      </c>
      <c r="D658" s="21"/>
      <c r="E658" s="21"/>
      <c r="F658" s="21"/>
      <c r="G658" s="18"/>
      <c r="H658" s="21"/>
      <c r="I658" s="26"/>
      <c r="J658" s="15"/>
      <c r="K658" s="27"/>
      <c r="L658" s="25" t="str">
        <f aca="false">IF(B658="","",B658&amp;"|"&amp;J658)</f>
        <v/>
      </c>
    </row>
    <row r="659" customFormat="false" ht="15" hidden="false" customHeight="false" outlineLevel="0" collapsed="false">
      <c r="A659" s="15"/>
      <c r="B659" s="21"/>
      <c r="C659" s="21" t="str">
        <f aca="false">IF(B659="","",IFERROR(INDEX(代理店一覧!$B$5:$B$204,MATCH(B659,代理店一覧!$A$5:$A$204,0)),"※未登録のID"))</f>
        <v/>
      </c>
      <c r="D659" s="21"/>
      <c r="E659" s="21"/>
      <c r="F659" s="21"/>
      <c r="G659" s="18"/>
      <c r="H659" s="21"/>
      <c r="I659" s="26"/>
      <c r="J659" s="15"/>
      <c r="K659" s="27"/>
      <c r="L659" s="25" t="str">
        <f aca="false">IF(B659="","",B659&amp;"|"&amp;J659)</f>
        <v/>
      </c>
    </row>
    <row r="660" customFormat="false" ht="15" hidden="false" customHeight="false" outlineLevel="0" collapsed="false">
      <c r="A660" s="15"/>
      <c r="B660" s="21"/>
      <c r="C660" s="21" t="str">
        <f aca="false">IF(B660="","",IFERROR(INDEX(代理店一覧!$B$5:$B$204,MATCH(B660,代理店一覧!$A$5:$A$204,0)),"※未登録のID"))</f>
        <v/>
      </c>
      <c r="D660" s="21"/>
      <c r="E660" s="21"/>
      <c r="F660" s="21"/>
      <c r="G660" s="18"/>
      <c r="H660" s="21"/>
      <c r="I660" s="26"/>
      <c r="J660" s="15"/>
      <c r="K660" s="27"/>
      <c r="L660" s="25" t="str">
        <f aca="false">IF(B660="","",B660&amp;"|"&amp;J660)</f>
        <v/>
      </c>
    </row>
    <row r="661" customFormat="false" ht="15" hidden="false" customHeight="false" outlineLevel="0" collapsed="false">
      <c r="A661" s="15"/>
      <c r="B661" s="21"/>
      <c r="C661" s="21" t="str">
        <f aca="false">IF(B661="","",IFERROR(INDEX(代理店一覧!$B$5:$B$204,MATCH(B661,代理店一覧!$A$5:$A$204,0)),"※未登録のID"))</f>
        <v/>
      </c>
      <c r="D661" s="21"/>
      <c r="E661" s="21"/>
      <c r="F661" s="21"/>
      <c r="G661" s="18"/>
      <c r="H661" s="21"/>
      <c r="I661" s="26"/>
      <c r="J661" s="15"/>
      <c r="K661" s="27"/>
      <c r="L661" s="25" t="str">
        <f aca="false">IF(B661="","",B661&amp;"|"&amp;J661)</f>
        <v/>
      </c>
    </row>
    <row r="662" customFormat="false" ht="15" hidden="false" customHeight="false" outlineLevel="0" collapsed="false">
      <c r="A662" s="15"/>
      <c r="B662" s="21"/>
      <c r="C662" s="21" t="str">
        <f aca="false">IF(B662="","",IFERROR(INDEX(代理店一覧!$B$5:$B$204,MATCH(B662,代理店一覧!$A$5:$A$204,0)),"※未登録のID"))</f>
        <v/>
      </c>
      <c r="D662" s="21"/>
      <c r="E662" s="21"/>
      <c r="F662" s="21"/>
      <c r="G662" s="18"/>
      <c r="H662" s="21"/>
      <c r="I662" s="26"/>
      <c r="J662" s="15"/>
      <c r="K662" s="27"/>
      <c r="L662" s="25" t="str">
        <f aca="false">IF(B662="","",B662&amp;"|"&amp;J662)</f>
        <v/>
      </c>
    </row>
    <row r="663" customFormat="false" ht="15" hidden="false" customHeight="false" outlineLevel="0" collapsed="false">
      <c r="A663" s="15"/>
      <c r="B663" s="21"/>
      <c r="C663" s="21" t="str">
        <f aca="false">IF(B663="","",IFERROR(INDEX(代理店一覧!$B$5:$B$204,MATCH(B663,代理店一覧!$A$5:$A$204,0)),"※未登録のID"))</f>
        <v/>
      </c>
      <c r="D663" s="21"/>
      <c r="E663" s="21"/>
      <c r="F663" s="21"/>
      <c r="G663" s="18"/>
      <c r="H663" s="21"/>
      <c r="I663" s="26"/>
      <c r="J663" s="15"/>
      <c r="K663" s="27"/>
      <c r="L663" s="25" t="str">
        <f aca="false">IF(B663="","",B663&amp;"|"&amp;J663)</f>
        <v/>
      </c>
    </row>
    <row r="664" customFormat="false" ht="15" hidden="false" customHeight="false" outlineLevel="0" collapsed="false">
      <c r="A664" s="15"/>
      <c r="B664" s="21"/>
      <c r="C664" s="21" t="str">
        <f aca="false">IF(B664="","",IFERROR(INDEX(代理店一覧!$B$5:$B$204,MATCH(B664,代理店一覧!$A$5:$A$204,0)),"※未登録のID"))</f>
        <v/>
      </c>
      <c r="D664" s="21"/>
      <c r="E664" s="21"/>
      <c r="F664" s="21"/>
      <c r="G664" s="18"/>
      <c r="H664" s="21"/>
      <c r="I664" s="26"/>
      <c r="J664" s="15"/>
      <c r="K664" s="27"/>
      <c r="L664" s="25" t="str">
        <f aca="false">IF(B664="","",B664&amp;"|"&amp;J664)</f>
        <v/>
      </c>
    </row>
    <row r="665" customFormat="false" ht="15" hidden="false" customHeight="false" outlineLevel="0" collapsed="false">
      <c r="A665" s="15"/>
      <c r="B665" s="21"/>
      <c r="C665" s="21" t="str">
        <f aca="false">IF(B665="","",IFERROR(INDEX(代理店一覧!$B$5:$B$204,MATCH(B665,代理店一覧!$A$5:$A$204,0)),"※未登録のID"))</f>
        <v/>
      </c>
      <c r="D665" s="21"/>
      <c r="E665" s="21"/>
      <c r="F665" s="21"/>
      <c r="G665" s="18"/>
      <c r="H665" s="21"/>
      <c r="I665" s="26"/>
      <c r="J665" s="15"/>
      <c r="K665" s="27"/>
      <c r="L665" s="25" t="str">
        <f aca="false">IF(B665="","",B665&amp;"|"&amp;J665)</f>
        <v/>
      </c>
    </row>
    <row r="666" customFormat="false" ht="15" hidden="false" customHeight="false" outlineLevel="0" collapsed="false">
      <c r="A666" s="15"/>
      <c r="B666" s="21"/>
      <c r="C666" s="21" t="str">
        <f aca="false">IF(B666="","",IFERROR(INDEX(代理店一覧!$B$5:$B$204,MATCH(B666,代理店一覧!$A$5:$A$204,0)),"※未登録のID"))</f>
        <v/>
      </c>
      <c r="D666" s="21"/>
      <c r="E666" s="21"/>
      <c r="F666" s="21"/>
      <c r="G666" s="18"/>
      <c r="H666" s="21"/>
      <c r="I666" s="26"/>
      <c r="J666" s="15"/>
      <c r="K666" s="27"/>
      <c r="L666" s="25" t="str">
        <f aca="false">IF(B666="","",B666&amp;"|"&amp;J666)</f>
        <v/>
      </c>
    </row>
    <row r="667" customFormat="false" ht="15" hidden="false" customHeight="false" outlineLevel="0" collapsed="false">
      <c r="A667" s="15"/>
      <c r="B667" s="21"/>
      <c r="C667" s="21" t="str">
        <f aca="false">IF(B667="","",IFERROR(INDEX(代理店一覧!$B$5:$B$204,MATCH(B667,代理店一覧!$A$5:$A$204,0)),"※未登録のID"))</f>
        <v/>
      </c>
      <c r="D667" s="21"/>
      <c r="E667" s="21"/>
      <c r="F667" s="21"/>
      <c r="G667" s="18"/>
      <c r="H667" s="21"/>
      <c r="I667" s="26"/>
      <c r="J667" s="15"/>
      <c r="K667" s="27"/>
      <c r="L667" s="25" t="str">
        <f aca="false">IF(B667="","",B667&amp;"|"&amp;J667)</f>
        <v/>
      </c>
    </row>
    <row r="668" customFormat="false" ht="15" hidden="false" customHeight="false" outlineLevel="0" collapsed="false">
      <c r="A668" s="15"/>
      <c r="B668" s="21"/>
      <c r="C668" s="21" t="str">
        <f aca="false">IF(B668="","",IFERROR(INDEX(代理店一覧!$B$5:$B$204,MATCH(B668,代理店一覧!$A$5:$A$204,0)),"※未登録のID"))</f>
        <v/>
      </c>
      <c r="D668" s="21"/>
      <c r="E668" s="21"/>
      <c r="F668" s="21"/>
      <c r="G668" s="18"/>
      <c r="H668" s="21"/>
      <c r="I668" s="26"/>
      <c r="J668" s="15"/>
      <c r="K668" s="27"/>
      <c r="L668" s="25" t="str">
        <f aca="false">IF(B668="","",B668&amp;"|"&amp;J668)</f>
        <v/>
      </c>
    </row>
    <row r="669" customFormat="false" ht="15" hidden="false" customHeight="false" outlineLevel="0" collapsed="false">
      <c r="A669" s="15"/>
      <c r="B669" s="21"/>
      <c r="C669" s="21" t="str">
        <f aca="false">IF(B669="","",IFERROR(INDEX(代理店一覧!$B$5:$B$204,MATCH(B669,代理店一覧!$A$5:$A$204,0)),"※未登録のID"))</f>
        <v/>
      </c>
      <c r="D669" s="21"/>
      <c r="E669" s="21"/>
      <c r="F669" s="21"/>
      <c r="G669" s="18"/>
      <c r="H669" s="21"/>
      <c r="I669" s="26"/>
      <c r="J669" s="15"/>
      <c r="K669" s="27"/>
      <c r="L669" s="25" t="str">
        <f aca="false">IF(B669="","",B669&amp;"|"&amp;J669)</f>
        <v/>
      </c>
    </row>
    <row r="670" customFormat="false" ht="15" hidden="false" customHeight="false" outlineLevel="0" collapsed="false">
      <c r="A670" s="15"/>
      <c r="B670" s="21"/>
      <c r="C670" s="21" t="str">
        <f aca="false">IF(B670="","",IFERROR(INDEX(代理店一覧!$B$5:$B$204,MATCH(B670,代理店一覧!$A$5:$A$204,0)),"※未登録のID"))</f>
        <v/>
      </c>
      <c r="D670" s="21"/>
      <c r="E670" s="21"/>
      <c r="F670" s="21"/>
      <c r="G670" s="18"/>
      <c r="H670" s="21"/>
      <c r="I670" s="26"/>
      <c r="J670" s="15"/>
      <c r="K670" s="27"/>
      <c r="L670" s="25" t="str">
        <f aca="false">IF(B670="","",B670&amp;"|"&amp;J670)</f>
        <v/>
      </c>
    </row>
    <row r="671" customFormat="false" ht="15" hidden="false" customHeight="false" outlineLevel="0" collapsed="false">
      <c r="A671" s="15"/>
      <c r="B671" s="21"/>
      <c r="C671" s="21" t="str">
        <f aca="false">IF(B671="","",IFERROR(INDEX(代理店一覧!$B$5:$B$204,MATCH(B671,代理店一覧!$A$5:$A$204,0)),"※未登録のID"))</f>
        <v/>
      </c>
      <c r="D671" s="21"/>
      <c r="E671" s="21"/>
      <c r="F671" s="21"/>
      <c r="G671" s="18"/>
      <c r="H671" s="21"/>
      <c r="I671" s="26"/>
      <c r="J671" s="15"/>
      <c r="K671" s="27"/>
      <c r="L671" s="25" t="str">
        <f aca="false">IF(B671="","",B671&amp;"|"&amp;J671)</f>
        <v/>
      </c>
    </row>
    <row r="672" customFormat="false" ht="15" hidden="false" customHeight="false" outlineLevel="0" collapsed="false">
      <c r="A672" s="15"/>
      <c r="B672" s="21"/>
      <c r="C672" s="21" t="str">
        <f aca="false">IF(B672="","",IFERROR(INDEX(代理店一覧!$B$5:$B$204,MATCH(B672,代理店一覧!$A$5:$A$204,0)),"※未登録のID"))</f>
        <v/>
      </c>
      <c r="D672" s="21"/>
      <c r="E672" s="21"/>
      <c r="F672" s="21"/>
      <c r="G672" s="18"/>
      <c r="H672" s="21"/>
      <c r="I672" s="26"/>
      <c r="J672" s="15"/>
      <c r="K672" s="27"/>
      <c r="L672" s="25" t="str">
        <f aca="false">IF(B672="","",B672&amp;"|"&amp;J672)</f>
        <v/>
      </c>
    </row>
    <row r="673" customFormat="false" ht="15" hidden="false" customHeight="false" outlineLevel="0" collapsed="false">
      <c r="A673" s="15"/>
      <c r="B673" s="21"/>
      <c r="C673" s="21" t="str">
        <f aca="false">IF(B673="","",IFERROR(INDEX(代理店一覧!$B$5:$B$204,MATCH(B673,代理店一覧!$A$5:$A$204,0)),"※未登録のID"))</f>
        <v/>
      </c>
      <c r="D673" s="21"/>
      <c r="E673" s="21"/>
      <c r="F673" s="21"/>
      <c r="G673" s="18"/>
      <c r="H673" s="21"/>
      <c r="I673" s="26"/>
      <c r="J673" s="15"/>
      <c r="K673" s="27"/>
      <c r="L673" s="25" t="str">
        <f aca="false">IF(B673="","",B673&amp;"|"&amp;J673)</f>
        <v/>
      </c>
    </row>
    <row r="674" customFormat="false" ht="15" hidden="false" customHeight="false" outlineLevel="0" collapsed="false">
      <c r="A674" s="15"/>
      <c r="B674" s="21"/>
      <c r="C674" s="21" t="str">
        <f aca="false">IF(B674="","",IFERROR(INDEX(代理店一覧!$B$5:$B$204,MATCH(B674,代理店一覧!$A$5:$A$204,0)),"※未登録のID"))</f>
        <v/>
      </c>
      <c r="D674" s="21"/>
      <c r="E674" s="21"/>
      <c r="F674" s="21"/>
      <c r="G674" s="18"/>
      <c r="H674" s="21"/>
      <c r="I674" s="26"/>
      <c r="J674" s="15"/>
      <c r="K674" s="27"/>
      <c r="L674" s="25" t="str">
        <f aca="false">IF(B674="","",B674&amp;"|"&amp;J674)</f>
        <v/>
      </c>
    </row>
    <row r="675" customFormat="false" ht="15" hidden="false" customHeight="false" outlineLevel="0" collapsed="false">
      <c r="A675" s="15"/>
      <c r="B675" s="21"/>
      <c r="C675" s="21" t="str">
        <f aca="false">IF(B675="","",IFERROR(INDEX(代理店一覧!$B$5:$B$204,MATCH(B675,代理店一覧!$A$5:$A$204,0)),"※未登録のID"))</f>
        <v/>
      </c>
      <c r="D675" s="21"/>
      <c r="E675" s="21"/>
      <c r="F675" s="21"/>
      <c r="G675" s="18"/>
      <c r="H675" s="21"/>
      <c r="I675" s="26"/>
      <c r="J675" s="15"/>
      <c r="K675" s="27"/>
      <c r="L675" s="25" t="str">
        <f aca="false">IF(B675="","",B675&amp;"|"&amp;J675)</f>
        <v/>
      </c>
    </row>
    <row r="676" customFormat="false" ht="15" hidden="false" customHeight="false" outlineLevel="0" collapsed="false">
      <c r="A676" s="15"/>
      <c r="B676" s="21"/>
      <c r="C676" s="21" t="str">
        <f aca="false">IF(B676="","",IFERROR(INDEX(代理店一覧!$B$5:$B$204,MATCH(B676,代理店一覧!$A$5:$A$204,0)),"※未登録のID"))</f>
        <v/>
      </c>
      <c r="D676" s="21"/>
      <c r="E676" s="21"/>
      <c r="F676" s="21"/>
      <c r="G676" s="18"/>
      <c r="H676" s="21"/>
      <c r="I676" s="26"/>
      <c r="J676" s="15"/>
      <c r="K676" s="27"/>
      <c r="L676" s="25" t="str">
        <f aca="false">IF(B676="","",B676&amp;"|"&amp;J676)</f>
        <v/>
      </c>
    </row>
    <row r="677" customFormat="false" ht="15" hidden="false" customHeight="false" outlineLevel="0" collapsed="false">
      <c r="A677" s="15"/>
      <c r="B677" s="21"/>
      <c r="C677" s="21" t="str">
        <f aca="false">IF(B677="","",IFERROR(INDEX(代理店一覧!$B$5:$B$204,MATCH(B677,代理店一覧!$A$5:$A$204,0)),"※未登録のID"))</f>
        <v/>
      </c>
      <c r="D677" s="21"/>
      <c r="E677" s="21"/>
      <c r="F677" s="21"/>
      <c r="G677" s="18"/>
      <c r="H677" s="21"/>
      <c r="I677" s="26"/>
      <c r="J677" s="15"/>
      <c r="K677" s="27"/>
      <c r="L677" s="25" t="str">
        <f aca="false">IF(B677="","",B677&amp;"|"&amp;J677)</f>
        <v/>
      </c>
    </row>
    <row r="678" customFormat="false" ht="15" hidden="false" customHeight="false" outlineLevel="0" collapsed="false">
      <c r="A678" s="15"/>
      <c r="B678" s="21"/>
      <c r="C678" s="21" t="str">
        <f aca="false">IF(B678="","",IFERROR(INDEX(代理店一覧!$B$5:$B$204,MATCH(B678,代理店一覧!$A$5:$A$204,0)),"※未登録のID"))</f>
        <v/>
      </c>
      <c r="D678" s="21"/>
      <c r="E678" s="21"/>
      <c r="F678" s="21"/>
      <c r="G678" s="18"/>
      <c r="H678" s="21"/>
      <c r="I678" s="26"/>
      <c r="J678" s="15"/>
      <c r="K678" s="27"/>
      <c r="L678" s="25" t="str">
        <f aca="false">IF(B678="","",B678&amp;"|"&amp;J678)</f>
        <v/>
      </c>
    </row>
    <row r="679" customFormat="false" ht="15" hidden="false" customHeight="false" outlineLevel="0" collapsed="false">
      <c r="A679" s="15"/>
      <c r="B679" s="21"/>
      <c r="C679" s="21" t="str">
        <f aca="false">IF(B679="","",IFERROR(INDEX(代理店一覧!$B$5:$B$204,MATCH(B679,代理店一覧!$A$5:$A$204,0)),"※未登録のID"))</f>
        <v/>
      </c>
      <c r="D679" s="21"/>
      <c r="E679" s="21"/>
      <c r="F679" s="21"/>
      <c r="G679" s="18"/>
      <c r="H679" s="21"/>
      <c r="I679" s="26"/>
      <c r="J679" s="15"/>
      <c r="K679" s="27"/>
      <c r="L679" s="25" t="str">
        <f aca="false">IF(B679="","",B679&amp;"|"&amp;J679)</f>
        <v/>
      </c>
    </row>
    <row r="680" customFormat="false" ht="15" hidden="false" customHeight="false" outlineLevel="0" collapsed="false">
      <c r="A680" s="15"/>
      <c r="B680" s="21"/>
      <c r="C680" s="21" t="str">
        <f aca="false">IF(B680="","",IFERROR(INDEX(代理店一覧!$B$5:$B$204,MATCH(B680,代理店一覧!$A$5:$A$204,0)),"※未登録のID"))</f>
        <v/>
      </c>
      <c r="D680" s="21"/>
      <c r="E680" s="21"/>
      <c r="F680" s="21"/>
      <c r="G680" s="18"/>
      <c r="H680" s="21"/>
      <c r="I680" s="26"/>
      <c r="J680" s="15"/>
      <c r="K680" s="27"/>
      <c r="L680" s="25" t="str">
        <f aca="false">IF(B680="","",B680&amp;"|"&amp;J680)</f>
        <v/>
      </c>
    </row>
    <row r="681" customFormat="false" ht="15" hidden="false" customHeight="false" outlineLevel="0" collapsed="false">
      <c r="A681" s="15"/>
      <c r="B681" s="21"/>
      <c r="C681" s="21" t="str">
        <f aca="false">IF(B681="","",IFERROR(INDEX(代理店一覧!$B$5:$B$204,MATCH(B681,代理店一覧!$A$5:$A$204,0)),"※未登録のID"))</f>
        <v/>
      </c>
      <c r="D681" s="21"/>
      <c r="E681" s="21"/>
      <c r="F681" s="21"/>
      <c r="G681" s="18"/>
      <c r="H681" s="21"/>
      <c r="I681" s="26"/>
      <c r="J681" s="15"/>
      <c r="K681" s="27"/>
      <c r="L681" s="25" t="str">
        <f aca="false">IF(B681="","",B681&amp;"|"&amp;J681)</f>
        <v/>
      </c>
    </row>
    <row r="682" customFormat="false" ht="15" hidden="false" customHeight="false" outlineLevel="0" collapsed="false">
      <c r="A682" s="15"/>
      <c r="B682" s="21"/>
      <c r="C682" s="21" t="str">
        <f aca="false">IF(B682="","",IFERROR(INDEX(代理店一覧!$B$5:$B$204,MATCH(B682,代理店一覧!$A$5:$A$204,0)),"※未登録のID"))</f>
        <v/>
      </c>
      <c r="D682" s="21"/>
      <c r="E682" s="21"/>
      <c r="F682" s="21"/>
      <c r="G682" s="18"/>
      <c r="H682" s="21"/>
      <c r="I682" s="26"/>
      <c r="J682" s="15"/>
      <c r="K682" s="27"/>
      <c r="L682" s="25" t="str">
        <f aca="false">IF(B682="","",B682&amp;"|"&amp;J682)</f>
        <v/>
      </c>
    </row>
    <row r="683" customFormat="false" ht="15" hidden="false" customHeight="false" outlineLevel="0" collapsed="false">
      <c r="A683" s="15"/>
      <c r="B683" s="21"/>
      <c r="C683" s="21" t="str">
        <f aca="false">IF(B683="","",IFERROR(INDEX(代理店一覧!$B$5:$B$204,MATCH(B683,代理店一覧!$A$5:$A$204,0)),"※未登録のID"))</f>
        <v/>
      </c>
      <c r="D683" s="21"/>
      <c r="E683" s="21"/>
      <c r="F683" s="21"/>
      <c r="G683" s="18"/>
      <c r="H683" s="21"/>
      <c r="I683" s="26"/>
      <c r="J683" s="15"/>
      <c r="K683" s="27"/>
      <c r="L683" s="25" t="str">
        <f aca="false">IF(B683="","",B683&amp;"|"&amp;J683)</f>
        <v/>
      </c>
    </row>
    <row r="684" customFormat="false" ht="15" hidden="false" customHeight="false" outlineLevel="0" collapsed="false">
      <c r="A684" s="15"/>
      <c r="B684" s="21"/>
      <c r="C684" s="21" t="str">
        <f aca="false">IF(B684="","",IFERROR(INDEX(代理店一覧!$B$5:$B$204,MATCH(B684,代理店一覧!$A$5:$A$204,0)),"※未登録のID"))</f>
        <v/>
      </c>
      <c r="D684" s="21"/>
      <c r="E684" s="21"/>
      <c r="F684" s="21"/>
      <c r="G684" s="18"/>
      <c r="H684" s="21"/>
      <c r="I684" s="26"/>
      <c r="J684" s="15"/>
      <c r="K684" s="27"/>
      <c r="L684" s="25" t="str">
        <f aca="false">IF(B684="","",B684&amp;"|"&amp;J684)</f>
        <v/>
      </c>
    </row>
    <row r="685" customFormat="false" ht="15" hidden="false" customHeight="false" outlineLevel="0" collapsed="false">
      <c r="A685" s="15"/>
      <c r="B685" s="21"/>
      <c r="C685" s="21" t="str">
        <f aca="false">IF(B685="","",IFERROR(INDEX(代理店一覧!$B$5:$B$204,MATCH(B685,代理店一覧!$A$5:$A$204,0)),"※未登録のID"))</f>
        <v/>
      </c>
      <c r="D685" s="21"/>
      <c r="E685" s="21"/>
      <c r="F685" s="21"/>
      <c r="G685" s="18"/>
      <c r="H685" s="21"/>
      <c r="I685" s="26"/>
      <c r="J685" s="15"/>
      <c r="K685" s="27"/>
      <c r="L685" s="25" t="str">
        <f aca="false">IF(B685="","",B685&amp;"|"&amp;J685)</f>
        <v/>
      </c>
    </row>
    <row r="686" customFormat="false" ht="15" hidden="false" customHeight="false" outlineLevel="0" collapsed="false">
      <c r="A686" s="15"/>
      <c r="B686" s="21"/>
      <c r="C686" s="21" t="str">
        <f aca="false">IF(B686="","",IFERROR(INDEX(代理店一覧!$B$5:$B$204,MATCH(B686,代理店一覧!$A$5:$A$204,0)),"※未登録のID"))</f>
        <v/>
      </c>
      <c r="D686" s="21"/>
      <c r="E686" s="21"/>
      <c r="F686" s="21"/>
      <c r="G686" s="18"/>
      <c r="H686" s="21"/>
      <c r="I686" s="26"/>
      <c r="J686" s="15"/>
      <c r="K686" s="27"/>
      <c r="L686" s="25" t="str">
        <f aca="false">IF(B686="","",B686&amp;"|"&amp;J686)</f>
        <v/>
      </c>
    </row>
    <row r="687" customFormat="false" ht="15" hidden="false" customHeight="false" outlineLevel="0" collapsed="false">
      <c r="A687" s="15"/>
      <c r="B687" s="21"/>
      <c r="C687" s="21" t="str">
        <f aca="false">IF(B687="","",IFERROR(INDEX(代理店一覧!$B$5:$B$204,MATCH(B687,代理店一覧!$A$5:$A$204,0)),"※未登録のID"))</f>
        <v/>
      </c>
      <c r="D687" s="21"/>
      <c r="E687" s="21"/>
      <c r="F687" s="21"/>
      <c r="G687" s="18"/>
      <c r="H687" s="21"/>
      <c r="I687" s="26"/>
      <c r="J687" s="15"/>
      <c r="K687" s="27"/>
      <c r="L687" s="25" t="str">
        <f aca="false">IF(B687="","",B687&amp;"|"&amp;J687)</f>
        <v/>
      </c>
    </row>
    <row r="688" customFormat="false" ht="15" hidden="false" customHeight="false" outlineLevel="0" collapsed="false">
      <c r="A688" s="15"/>
      <c r="B688" s="21"/>
      <c r="C688" s="21" t="str">
        <f aca="false">IF(B688="","",IFERROR(INDEX(代理店一覧!$B$5:$B$204,MATCH(B688,代理店一覧!$A$5:$A$204,0)),"※未登録のID"))</f>
        <v/>
      </c>
      <c r="D688" s="21"/>
      <c r="E688" s="21"/>
      <c r="F688" s="21"/>
      <c r="G688" s="18"/>
      <c r="H688" s="21"/>
      <c r="I688" s="26"/>
      <c r="J688" s="15"/>
      <c r="K688" s="27"/>
      <c r="L688" s="25" t="str">
        <f aca="false">IF(B688="","",B688&amp;"|"&amp;J688)</f>
        <v/>
      </c>
    </row>
    <row r="689" customFormat="false" ht="15" hidden="false" customHeight="false" outlineLevel="0" collapsed="false">
      <c r="A689" s="15"/>
      <c r="B689" s="21"/>
      <c r="C689" s="21" t="str">
        <f aca="false">IF(B689="","",IFERROR(INDEX(代理店一覧!$B$5:$B$204,MATCH(B689,代理店一覧!$A$5:$A$204,0)),"※未登録のID"))</f>
        <v/>
      </c>
      <c r="D689" s="21"/>
      <c r="E689" s="21"/>
      <c r="F689" s="21"/>
      <c r="G689" s="18"/>
      <c r="H689" s="21"/>
      <c r="I689" s="26"/>
      <c r="J689" s="15"/>
      <c r="K689" s="27"/>
      <c r="L689" s="25" t="str">
        <f aca="false">IF(B689="","",B689&amp;"|"&amp;J689)</f>
        <v/>
      </c>
    </row>
    <row r="690" customFormat="false" ht="15" hidden="false" customHeight="false" outlineLevel="0" collapsed="false">
      <c r="A690" s="15"/>
      <c r="B690" s="21"/>
      <c r="C690" s="21" t="str">
        <f aca="false">IF(B690="","",IFERROR(INDEX(代理店一覧!$B$5:$B$204,MATCH(B690,代理店一覧!$A$5:$A$204,0)),"※未登録のID"))</f>
        <v/>
      </c>
      <c r="D690" s="21"/>
      <c r="E690" s="21"/>
      <c r="F690" s="21"/>
      <c r="G690" s="18"/>
      <c r="H690" s="21"/>
      <c r="I690" s="26"/>
      <c r="J690" s="15"/>
      <c r="K690" s="27"/>
      <c r="L690" s="25" t="str">
        <f aca="false">IF(B690="","",B690&amp;"|"&amp;J690)</f>
        <v/>
      </c>
    </row>
    <row r="691" customFormat="false" ht="15" hidden="false" customHeight="false" outlineLevel="0" collapsed="false">
      <c r="A691" s="15"/>
      <c r="B691" s="21"/>
      <c r="C691" s="21" t="str">
        <f aca="false">IF(B691="","",IFERROR(INDEX(代理店一覧!$B$5:$B$204,MATCH(B691,代理店一覧!$A$5:$A$204,0)),"※未登録のID"))</f>
        <v/>
      </c>
      <c r="D691" s="21"/>
      <c r="E691" s="21"/>
      <c r="F691" s="21"/>
      <c r="G691" s="18"/>
      <c r="H691" s="21"/>
      <c r="I691" s="26"/>
      <c r="J691" s="15"/>
      <c r="K691" s="27"/>
      <c r="L691" s="25" t="str">
        <f aca="false">IF(B691="","",B691&amp;"|"&amp;J691)</f>
        <v/>
      </c>
    </row>
    <row r="692" customFormat="false" ht="15" hidden="false" customHeight="false" outlineLevel="0" collapsed="false">
      <c r="A692" s="15"/>
      <c r="B692" s="21"/>
      <c r="C692" s="21" t="str">
        <f aca="false">IF(B692="","",IFERROR(INDEX(代理店一覧!$B$5:$B$204,MATCH(B692,代理店一覧!$A$5:$A$204,0)),"※未登録のID"))</f>
        <v/>
      </c>
      <c r="D692" s="21"/>
      <c r="E692" s="21"/>
      <c r="F692" s="21"/>
      <c r="G692" s="18"/>
      <c r="H692" s="21"/>
      <c r="I692" s="26"/>
      <c r="J692" s="15"/>
      <c r="K692" s="27"/>
      <c r="L692" s="25" t="str">
        <f aca="false">IF(B692="","",B692&amp;"|"&amp;J692)</f>
        <v/>
      </c>
    </row>
    <row r="693" customFormat="false" ht="15" hidden="false" customHeight="false" outlineLevel="0" collapsed="false">
      <c r="A693" s="15"/>
      <c r="B693" s="21"/>
      <c r="C693" s="21" t="str">
        <f aca="false">IF(B693="","",IFERROR(INDEX(代理店一覧!$B$5:$B$204,MATCH(B693,代理店一覧!$A$5:$A$204,0)),"※未登録のID"))</f>
        <v/>
      </c>
      <c r="D693" s="21"/>
      <c r="E693" s="21"/>
      <c r="F693" s="21"/>
      <c r="G693" s="18"/>
      <c r="H693" s="21"/>
      <c r="I693" s="26"/>
      <c r="J693" s="15"/>
      <c r="K693" s="27"/>
      <c r="L693" s="25" t="str">
        <f aca="false">IF(B693="","",B693&amp;"|"&amp;J693)</f>
        <v/>
      </c>
    </row>
    <row r="694" customFormat="false" ht="15" hidden="false" customHeight="false" outlineLevel="0" collapsed="false">
      <c r="A694" s="15"/>
      <c r="B694" s="21"/>
      <c r="C694" s="21" t="str">
        <f aca="false">IF(B694="","",IFERROR(INDEX(代理店一覧!$B$5:$B$204,MATCH(B694,代理店一覧!$A$5:$A$204,0)),"※未登録のID"))</f>
        <v/>
      </c>
      <c r="D694" s="21"/>
      <c r="E694" s="21"/>
      <c r="F694" s="21"/>
      <c r="G694" s="18"/>
      <c r="H694" s="21"/>
      <c r="I694" s="26"/>
      <c r="J694" s="15"/>
      <c r="K694" s="27"/>
      <c r="L694" s="25" t="str">
        <f aca="false">IF(B694="","",B694&amp;"|"&amp;J694)</f>
        <v/>
      </c>
    </row>
    <row r="695" customFormat="false" ht="15" hidden="false" customHeight="false" outlineLevel="0" collapsed="false">
      <c r="A695" s="15"/>
      <c r="B695" s="21"/>
      <c r="C695" s="21" t="str">
        <f aca="false">IF(B695="","",IFERROR(INDEX(代理店一覧!$B$5:$B$204,MATCH(B695,代理店一覧!$A$5:$A$204,0)),"※未登録のID"))</f>
        <v/>
      </c>
      <c r="D695" s="21"/>
      <c r="E695" s="21"/>
      <c r="F695" s="21"/>
      <c r="G695" s="18"/>
      <c r="H695" s="21"/>
      <c r="I695" s="26"/>
      <c r="J695" s="15"/>
      <c r="K695" s="27"/>
      <c r="L695" s="25" t="str">
        <f aca="false">IF(B695="","",B695&amp;"|"&amp;J695)</f>
        <v/>
      </c>
    </row>
    <row r="696" customFormat="false" ht="15" hidden="false" customHeight="false" outlineLevel="0" collapsed="false">
      <c r="A696" s="15"/>
      <c r="B696" s="21"/>
      <c r="C696" s="21" t="str">
        <f aca="false">IF(B696="","",IFERROR(INDEX(代理店一覧!$B$5:$B$204,MATCH(B696,代理店一覧!$A$5:$A$204,0)),"※未登録のID"))</f>
        <v/>
      </c>
      <c r="D696" s="21"/>
      <c r="E696" s="21"/>
      <c r="F696" s="21"/>
      <c r="G696" s="18"/>
      <c r="H696" s="21"/>
      <c r="I696" s="26"/>
      <c r="J696" s="15"/>
      <c r="K696" s="27"/>
      <c r="L696" s="25" t="str">
        <f aca="false">IF(B696="","",B696&amp;"|"&amp;J696)</f>
        <v/>
      </c>
    </row>
    <row r="697" customFormat="false" ht="15" hidden="false" customHeight="false" outlineLevel="0" collapsed="false">
      <c r="A697" s="15"/>
      <c r="B697" s="21"/>
      <c r="C697" s="21" t="str">
        <f aca="false">IF(B697="","",IFERROR(INDEX(代理店一覧!$B$5:$B$204,MATCH(B697,代理店一覧!$A$5:$A$204,0)),"※未登録のID"))</f>
        <v/>
      </c>
      <c r="D697" s="21"/>
      <c r="E697" s="21"/>
      <c r="F697" s="21"/>
      <c r="G697" s="18"/>
      <c r="H697" s="21"/>
      <c r="I697" s="26"/>
      <c r="J697" s="15"/>
      <c r="K697" s="27"/>
      <c r="L697" s="25" t="str">
        <f aca="false">IF(B697="","",B697&amp;"|"&amp;J697)</f>
        <v/>
      </c>
    </row>
    <row r="698" customFormat="false" ht="15" hidden="false" customHeight="false" outlineLevel="0" collapsed="false">
      <c r="A698" s="15"/>
      <c r="B698" s="21"/>
      <c r="C698" s="21" t="str">
        <f aca="false">IF(B698="","",IFERROR(INDEX(代理店一覧!$B$5:$B$204,MATCH(B698,代理店一覧!$A$5:$A$204,0)),"※未登録のID"))</f>
        <v/>
      </c>
      <c r="D698" s="21"/>
      <c r="E698" s="21"/>
      <c r="F698" s="21"/>
      <c r="G698" s="18"/>
      <c r="H698" s="21"/>
      <c r="I698" s="26"/>
      <c r="J698" s="15"/>
      <c r="K698" s="27"/>
      <c r="L698" s="25" t="str">
        <f aca="false">IF(B698="","",B698&amp;"|"&amp;J698)</f>
        <v/>
      </c>
    </row>
    <row r="699" customFormat="false" ht="15" hidden="false" customHeight="false" outlineLevel="0" collapsed="false">
      <c r="A699" s="15"/>
      <c r="B699" s="21"/>
      <c r="C699" s="21" t="str">
        <f aca="false">IF(B699="","",IFERROR(INDEX(代理店一覧!$B$5:$B$204,MATCH(B699,代理店一覧!$A$5:$A$204,0)),"※未登録のID"))</f>
        <v/>
      </c>
      <c r="D699" s="21"/>
      <c r="E699" s="21"/>
      <c r="F699" s="21"/>
      <c r="G699" s="18"/>
      <c r="H699" s="21"/>
      <c r="I699" s="26"/>
      <c r="J699" s="15"/>
      <c r="K699" s="27"/>
      <c r="L699" s="25" t="str">
        <f aca="false">IF(B699="","",B699&amp;"|"&amp;J699)</f>
        <v/>
      </c>
    </row>
    <row r="700" customFormat="false" ht="15" hidden="false" customHeight="false" outlineLevel="0" collapsed="false">
      <c r="A700" s="15"/>
      <c r="B700" s="21"/>
      <c r="C700" s="21" t="str">
        <f aca="false">IF(B700="","",IFERROR(INDEX(代理店一覧!$B$5:$B$204,MATCH(B700,代理店一覧!$A$5:$A$204,0)),"※未登録のID"))</f>
        <v/>
      </c>
      <c r="D700" s="21"/>
      <c r="E700" s="21"/>
      <c r="F700" s="21"/>
      <c r="G700" s="18"/>
      <c r="H700" s="21"/>
      <c r="I700" s="26"/>
      <c r="J700" s="15"/>
      <c r="K700" s="27"/>
      <c r="L700" s="25" t="str">
        <f aca="false">IF(B700="","",B700&amp;"|"&amp;J700)</f>
        <v/>
      </c>
    </row>
    <row r="701" customFormat="false" ht="15" hidden="false" customHeight="false" outlineLevel="0" collapsed="false">
      <c r="A701" s="15"/>
      <c r="B701" s="21"/>
      <c r="C701" s="21" t="str">
        <f aca="false">IF(B701="","",IFERROR(INDEX(代理店一覧!$B$5:$B$204,MATCH(B701,代理店一覧!$A$5:$A$204,0)),"※未登録のID"))</f>
        <v/>
      </c>
      <c r="D701" s="21"/>
      <c r="E701" s="21"/>
      <c r="F701" s="21"/>
      <c r="G701" s="18"/>
      <c r="H701" s="21"/>
      <c r="I701" s="26"/>
      <c r="J701" s="15"/>
      <c r="K701" s="27"/>
      <c r="L701" s="25" t="str">
        <f aca="false">IF(B701="","",B701&amp;"|"&amp;J701)</f>
        <v/>
      </c>
    </row>
    <row r="702" customFormat="false" ht="15" hidden="false" customHeight="false" outlineLevel="0" collapsed="false">
      <c r="A702" s="15"/>
      <c r="B702" s="21"/>
      <c r="C702" s="21" t="str">
        <f aca="false">IF(B702="","",IFERROR(INDEX(代理店一覧!$B$5:$B$204,MATCH(B702,代理店一覧!$A$5:$A$204,0)),"※未登録のID"))</f>
        <v/>
      </c>
      <c r="D702" s="21"/>
      <c r="E702" s="21"/>
      <c r="F702" s="21"/>
      <c r="G702" s="18"/>
      <c r="H702" s="21"/>
      <c r="I702" s="26"/>
      <c r="J702" s="15"/>
      <c r="K702" s="27"/>
      <c r="L702" s="25" t="str">
        <f aca="false">IF(B702="","",B702&amp;"|"&amp;J702)</f>
        <v/>
      </c>
    </row>
    <row r="703" customFormat="false" ht="15" hidden="false" customHeight="false" outlineLevel="0" collapsed="false">
      <c r="A703" s="15"/>
      <c r="B703" s="21"/>
      <c r="C703" s="21" t="str">
        <f aca="false">IF(B703="","",IFERROR(INDEX(代理店一覧!$B$5:$B$204,MATCH(B703,代理店一覧!$A$5:$A$204,0)),"※未登録のID"))</f>
        <v/>
      </c>
      <c r="D703" s="21"/>
      <c r="E703" s="21"/>
      <c r="F703" s="21"/>
      <c r="G703" s="18"/>
      <c r="H703" s="21"/>
      <c r="I703" s="26"/>
      <c r="J703" s="15"/>
      <c r="K703" s="27"/>
      <c r="L703" s="25" t="str">
        <f aca="false">IF(B703="","",B703&amp;"|"&amp;J703)</f>
        <v/>
      </c>
    </row>
    <row r="704" customFormat="false" ht="15" hidden="false" customHeight="false" outlineLevel="0" collapsed="false">
      <c r="A704" s="15"/>
      <c r="B704" s="21"/>
      <c r="C704" s="21" t="str">
        <f aca="false">IF(B704="","",IFERROR(INDEX(代理店一覧!$B$5:$B$204,MATCH(B704,代理店一覧!$A$5:$A$204,0)),"※未登録のID"))</f>
        <v/>
      </c>
      <c r="D704" s="21"/>
      <c r="E704" s="21"/>
      <c r="F704" s="21"/>
      <c r="G704" s="18"/>
      <c r="H704" s="21"/>
      <c r="I704" s="26"/>
      <c r="J704" s="15"/>
      <c r="K704" s="27"/>
      <c r="L704" s="25" t="str">
        <f aca="false">IF(B704="","",B704&amp;"|"&amp;J704)</f>
        <v/>
      </c>
    </row>
    <row r="705" customFormat="false" ht="15" hidden="false" customHeight="false" outlineLevel="0" collapsed="false">
      <c r="A705" s="15"/>
      <c r="B705" s="21"/>
      <c r="C705" s="21" t="str">
        <f aca="false">IF(B705="","",IFERROR(INDEX(代理店一覧!$B$5:$B$204,MATCH(B705,代理店一覧!$A$5:$A$204,0)),"※未登録のID"))</f>
        <v/>
      </c>
      <c r="D705" s="21"/>
      <c r="E705" s="21"/>
      <c r="F705" s="21"/>
      <c r="G705" s="18"/>
      <c r="H705" s="21"/>
      <c r="I705" s="26"/>
      <c r="J705" s="15"/>
      <c r="K705" s="27"/>
      <c r="L705" s="25" t="str">
        <f aca="false">IF(B705="","",B705&amp;"|"&amp;J705)</f>
        <v/>
      </c>
    </row>
    <row r="706" customFormat="false" ht="15" hidden="false" customHeight="false" outlineLevel="0" collapsed="false">
      <c r="A706" s="15"/>
      <c r="B706" s="21"/>
      <c r="C706" s="21" t="str">
        <f aca="false">IF(B706="","",IFERROR(INDEX(代理店一覧!$B$5:$B$204,MATCH(B706,代理店一覧!$A$5:$A$204,0)),"※未登録のID"))</f>
        <v/>
      </c>
      <c r="D706" s="21"/>
      <c r="E706" s="21"/>
      <c r="F706" s="21"/>
      <c r="G706" s="18"/>
      <c r="H706" s="21"/>
      <c r="I706" s="26"/>
      <c r="J706" s="15"/>
      <c r="K706" s="27"/>
      <c r="L706" s="25" t="str">
        <f aca="false">IF(B706="","",B706&amp;"|"&amp;J706)</f>
        <v/>
      </c>
    </row>
    <row r="707" customFormat="false" ht="15" hidden="false" customHeight="false" outlineLevel="0" collapsed="false">
      <c r="A707" s="15"/>
      <c r="B707" s="21"/>
      <c r="C707" s="21" t="str">
        <f aca="false">IF(B707="","",IFERROR(INDEX(代理店一覧!$B$5:$B$204,MATCH(B707,代理店一覧!$A$5:$A$204,0)),"※未登録のID"))</f>
        <v/>
      </c>
      <c r="D707" s="21"/>
      <c r="E707" s="21"/>
      <c r="F707" s="21"/>
      <c r="G707" s="18"/>
      <c r="H707" s="21"/>
      <c r="I707" s="26"/>
      <c r="J707" s="15"/>
      <c r="K707" s="27"/>
      <c r="L707" s="25" t="str">
        <f aca="false">IF(B707="","",B707&amp;"|"&amp;J707)</f>
        <v/>
      </c>
    </row>
    <row r="708" customFormat="false" ht="15" hidden="false" customHeight="false" outlineLevel="0" collapsed="false">
      <c r="A708" s="15"/>
      <c r="B708" s="21"/>
      <c r="C708" s="21" t="str">
        <f aca="false">IF(B708="","",IFERROR(INDEX(代理店一覧!$B$5:$B$204,MATCH(B708,代理店一覧!$A$5:$A$204,0)),"※未登録のID"))</f>
        <v/>
      </c>
      <c r="D708" s="21"/>
      <c r="E708" s="21"/>
      <c r="F708" s="21"/>
      <c r="G708" s="18"/>
      <c r="H708" s="21"/>
      <c r="I708" s="26"/>
      <c r="J708" s="15"/>
      <c r="K708" s="27"/>
      <c r="L708" s="25" t="str">
        <f aca="false">IF(B708="","",B708&amp;"|"&amp;J708)</f>
        <v/>
      </c>
    </row>
    <row r="709" customFormat="false" ht="15" hidden="false" customHeight="false" outlineLevel="0" collapsed="false">
      <c r="A709" s="15"/>
      <c r="B709" s="21"/>
      <c r="C709" s="21" t="str">
        <f aca="false">IF(B709="","",IFERROR(INDEX(代理店一覧!$B$5:$B$204,MATCH(B709,代理店一覧!$A$5:$A$204,0)),"※未登録のID"))</f>
        <v/>
      </c>
      <c r="D709" s="21"/>
      <c r="E709" s="21"/>
      <c r="F709" s="21"/>
      <c r="G709" s="18"/>
      <c r="H709" s="21"/>
      <c r="I709" s="26"/>
      <c r="J709" s="15"/>
      <c r="K709" s="27"/>
      <c r="L709" s="25" t="str">
        <f aca="false">IF(B709="","",B709&amp;"|"&amp;J709)</f>
        <v/>
      </c>
    </row>
    <row r="710" customFormat="false" ht="15" hidden="false" customHeight="false" outlineLevel="0" collapsed="false">
      <c r="A710" s="15"/>
      <c r="B710" s="21"/>
      <c r="C710" s="21" t="str">
        <f aca="false">IF(B710="","",IFERROR(INDEX(代理店一覧!$B$5:$B$204,MATCH(B710,代理店一覧!$A$5:$A$204,0)),"※未登録のID"))</f>
        <v/>
      </c>
      <c r="D710" s="21"/>
      <c r="E710" s="21"/>
      <c r="F710" s="21"/>
      <c r="G710" s="18"/>
      <c r="H710" s="21"/>
      <c r="I710" s="26"/>
      <c r="J710" s="15"/>
      <c r="K710" s="27"/>
      <c r="L710" s="25" t="str">
        <f aca="false">IF(B710="","",B710&amp;"|"&amp;J710)</f>
        <v/>
      </c>
    </row>
    <row r="711" customFormat="false" ht="15" hidden="false" customHeight="false" outlineLevel="0" collapsed="false">
      <c r="A711" s="15"/>
      <c r="B711" s="21"/>
      <c r="C711" s="21" t="str">
        <f aca="false">IF(B711="","",IFERROR(INDEX(代理店一覧!$B$5:$B$204,MATCH(B711,代理店一覧!$A$5:$A$204,0)),"※未登録のID"))</f>
        <v/>
      </c>
      <c r="D711" s="21"/>
      <c r="E711" s="21"/>
      <c r="F711" s="21"/>
      <c r="G711" s="18"/>
      <c r="H711" s="21"/>
      <c r="I711" s="26"/>
      <c r="J711" s="15"/>
      <c r="K711" s="27"/>
      <c r="L711" s="25" t="str">
        <f aca="false">IF(B711="","",B711&amp;"|"&amp;J711)</f>
        <v/>
      </c>
    </row>
    <row r="712" customFormat="false" ht="15" hidden="false" customHeight="false" outlineLevel="0" collapsed="false">
      <c r="A712" s="15"/>
      <c r="B712" s="21"/>
      <c r="C712" s="21" t="str">
        <f aca="false">IF(B712="","",IFERROR(INDEX(代理店一覧!$B$5:$B$204,MATCH(B712,代理店一覧!$A$5:$A$204,0)),"※未登録のID"))</f>
        <v/>
      </c>
      <c r="D712" s="21"/>
      <c r="E712" s="21"/>
      <c r="F712" s="21"/>
      <c r="G712" s="18"/>
      <c r="H712" s="21"/>
      <c r="I712" s="26"/>
      <c r="J712" s="15"/>
      <c r="K712" s="27"/>
      <c r="L712" s="25" t="str">
        <f aca="false">IF(B712="","",B712&amp;"|"&amp;J712)</f>
        <v/>
      </c>
    </row>
    <row r="713" customFormat="false" ht="15" hidden="false" customHeight="false" outlineLevel="0" collapsed="false">
      <c r="A713" s="15"/>
      <c r="B713" s="21"/>
      <c r="C713" s="21" t="str">
        <f aca="false">IF(B713="","",IFERROR(INDEX(代理店一覧!$B$5:$B$204,MATCH(B713,代理店一覧!$A$5:$A$204,0)),"※未登録のID"))</f>
        <v/>
      </c>
      <c r="D713" s="21"/>
      <c r="E713" s="21"/>
      <c r="F713" s="21"/>
      <c r="G713" s="18"/>
      <c r="H713" s="21"/>
      <c r="I713" s="26"/>
      <c r="J713" s="15"/>
      <c r="K713" s="27"/>
      <c r="L713" s="25" t="str">
        <f aca="false">IF(B713="","",B713&amp;"|"&amp;J713)</f>
        <v/>
      </c>
    </row>
    <row r="714" customFormat="false" ht="15" hidden="false" customHeight="false" outlineLevel="0" collapsed="false">
      <c r="A714" s="15"/>
      <c r="B714" s="21"/>
      <c r="C714" s="21" t="str">
        <f aca="false">IF(B714="","",IFERROR(INDEX(代理店一覧!$B$5:$B$204,MATCH(B714,代理店一覧!$A$5:$A$204,0)),"※未登録のID"))</f>
        <v/>
      </c>
      <c r="D714" s="21"/>
      <c r="E714" s="21"/>
      <c r="F714" s="21"/>
      <c r="G714" s="18"/>
      <c r="H714" s="21"/>
      <c r="I714" s="26"/>
      <c r="J714" s="15"/>
      <c r="K714" s="27"/>
      <c r="L714" s="25" t="str">
        <f aca="false">IF(B714="","",B714&amp;"|"&amp;J714)</f>
        <v/>
      </c>
    </row>
    <row r="715" customFormat="false" ht="15" hidden="false" customHeight="false" outlineLevel="0" collapsed="false">
      <c r="A715" s="15"/>
      <c r="B715" s="21"/>
      <c r="C715" s="21" t="str">
        <f aca="false">IF(B715="","",IFERROR(INDEX(代理店一覧!$B$5:$B$204,MATCH(B715,代理店一覧!$A$5:$A$204,0)),"※未登録のID"))</f>
        <v/>
      </c>
      <c r="D715" s="21"/>
      <c r="E715" s="21"/>
      <c r="F715" s="21"/>
      <c r="G715" s="18"/>
      <c r="H715" s="21"/>
      <c r="I715" s="26"/>
      <c r="J715" s="15"/>
      <c r="K715" s="27"/>
      <c r="L715" s="25" t="str">
        <f aca="false">IF(B715="","",B715&amp;"|"&amp;J715)</f>
        <v/>
      </c>
    </row>
    <row r="716" customFormat="false" ht="15" hidden="false" customHeight="false" outlineLevel="0" collapsed="false">
      <c r="A716" s="15"/>
      <c r="B716" s="21"/>
      <c r="C716" s="21" t="str">
        <f aca="false">IF(B716="","",IFERROR(INDEX(代理店一覧!$B$5:$B$204,MATCH(B716,代理店一覧!$A$5:$A$204,0)),"※未登録のID"))</f>
        <v/>
      </c>
      <c r="D716" s="21"/>
      <c r="E716" s="21"/>
      <c r="F716" s="21"/>
      <c r="G716" s="18"/>
      <c r="H716" s="21"/>
      <c r="I716" s="26"/>
      <c r="J716" s="15"/>
      <c r="K716" s="27"/>
      <c r="L716" s="25" t="str">
        <f aca="false">IF(B716="","",B716&amp;"|"&amp;J716)</f>
        <v/>
      </c>
    </row>
    <row r="717" customFormat="false" ht="15" hidden="false" customHeight="false" outlineLevel="0" collapsed="false">
      <c r="A717" s="15"/>
      <c r="B717" s="21"/>
      <c r="C717" s="21" t="str">
        <f aca="false">IF(B717="","",IFERROR(INDEX(代理店一覧!$B$5:$B$204,MATCH(B717,代理店一覧!$A$5:$A$204,0)),"※未登録のID"))</f>
        <v/>
      </c>
      <c r="D717" s="21"/>
      <c r="E717" s="21"/>
      <c r="F717" s="21"/>
      <c r="G717" s="18"/>
      <c r="H717" s="21"/>
      <c r="I717" s="26"/>
      <c r="J717" s="15"/>
      <c r="K717" s="27"/>
      <c r="L717" s="25" t="str">
        <f aca="false">IF(B717="","",B717&amp;"|"&amp;J717)</f>
        <v/>
      </c>
    </row>
    <row r="718" customFormat="false" ht="15" hidden="false" customHeight="false" outlineLevel="0" collapsed="false">
      <c r="A718" s="15"/>
      <c r="B718" s="21"/>
      <c r="C718" s="21" t="str">
        <f aca="false">IF(B718="","",IFERROR(INDEX(代理店一覧!$B$5:$B$204,MATCH(B718,代理店一覧!$A$5:$A$204,0)),"※未登録のID"))</f>
        <v/>
      </c>
      <c r="D718" s="21"/>
      <c r="E718" s="21"/>
      <c r="F718" s="21"/>
      <c r="G718" s="18"/>
      <c r="H718" s="21"/>
      <c r="I718" s="26"/>
      <c r="J718" s="15"/>
      <c r="K718" s="27"/>
      <c r="L718" s="25" t="str">
        <f aca="false">IF(B718="","",B718&amp;"|"&amp;J718)</f>
        <v/>
      </c>
    </row>
    <row r="719" customFormat="false" ht="15" hidden="false" customHeight="false" outlineLevel="0" collapsed="false">
      <c r="A719" s="15"/>
      <c r="B719" s="21"/>
      <c r="C719" s="21" t="str">
        <f aca="false">IF(B719="","",IFERROR(INDEX(代理店一覧!$B$5:$B$204,MATCH(B719,代理店一覧!$A$5:$A$204,0)),"※未登録のID"))</f>
        <v/>
      </c>
      <c r="D719" s="21"/>
      <c r="E719" s="21"/>
      <c r="F719" s="21"/>
      <c r="G719" s="18"/>
      <c r="H719" s="21"/>
      <c r="I719" s="26"/>
      <c r="J719" s="15"/>
      <c r="K719" s="27"/>
      <c r="L719" s="25" t="str">
        <f aca="false">IF(B719="","",B719&amp;"|"&amp;J719)</f>
        <v/>
      </c>
    </row>
    <row r="720" customFormat="false" ht="15" hidden="false" customHeight="false" outlineLevel="0" collapsed="false">
      <c r="A720" s="15"/>
      <c r="B720" s="21"/>
      <c r="C720" s="21" t="str">
        <f aca="false">IF(B720="","",IFERROR(INDEX(代理店一覧!$B$5:$B$204,MATCH(B720,代理店一覧!$A$5:$A$204,0)),"※未登録のID"))</f>
        <v/>
      </c>
      <c r="D720" s="21"/>
      <c r="E720" s="21"/>
      <c r="F720" s="21"/>
      <c r="G720" s="18"/>
      <c r="H720" s="21"/>
      <c r="I720" s="26"/>
      <c r="J720" s="15"/>
      <c r="K720" s="27"/>
      <c r="L720" s="25" t="str">
        <f aca="false">IF(B720="","",B720&amp;"|"&amp;J720)</f>
        <v/>
      </c>
    </row>
    <row r="721" customFormat="false" ht="15" hidden="false" customHeight="false" outlineLevel="0" collapsed="false">
      <c r="A721" s="15"/>
      <c r="B721" s="21"/>
      <c r="C721" s="21" t="str">
        <f aca="false">IF(B721="","",IFERROR(INDEX(代理店一覧!$B$5:$B$204,MATCH(B721,代理店一覧!$A$5:$A$204,0)),"※未登録のID"))</f>
        <v/>
      </c>
      <c r="D721" s="21"/>
      <c r="E721" s="21"/>
      <c r="F721" s="21"/>
      <c r="G721" s="18"/>
      <c r="H721" s="21"/>
      <c r="I721" s="26"/>
      <c r="J721" s="15"/>
      <c r="K721" s="27"/>
      <c r="L721" s="25" t="str">
        <f aca="false">IF(B721="","",B721&amp;"|"&amp;J721)</f>
        <v/>
      </c>
    </row>
    <row r="722" customFormat="false" ht="15" hidden="false" customHeight="false" outlineLevel="0" collapsed="false">
      <c r="A722" s="15"/>
      <c r="B722" s="21"/>
      <c r="C722" s="21" t="str">
        <f aca="false">IF(B722="","",IFERROR(INDEX(代理店一覧!$B$5:$B$204,MATCH(B722,代理店一覧!$A$5:$A$204,0)),"※未登録のID"))</f>
        <v/>
      </c>
      <c r="D722" s="21"/>
      <c r="E722" s="21"/>
      <c r="F722" s="21"/>
      <c r="G722" s="18"/>
      <c r="H722" s="21"/>
      <c r="I722" s="26"/>
      <c r="J722" s="15"/>
      <c r="K722" s="27"/>
      <c r="L722" s="25" t="str">
        <f aca="false">IF(B722="","",B722&amp;"|"&amp;J722)</f>
        <v/>
      </c>
    </row>
    <row r="723" customFormat="false" ht="15" hidden="false" customHeight="false" outlineLevel="0" collapsed="false">
      <c r="A723" s="15"/>
      <c r="B723" s="21"/>
      <c r="C723" s="21" t="str">
        <f aca="false">IF(B723="","",IFERROR(INDEX(代理店一覧!$B$5:$B$204,MATCH(B723,代理店一覧!$A$5:$A$204,0)),"※未登録のID"))</f>
        <v/>
      </c>
      <c r="D723" s="21"/>
      <c r="E723" s="21"/>
      <c r="F723" s="21"/>
      <c r="G723" s="18"/>
      <c r="H723" s="21"/>
      <c r="I723" s="26"/>
      <c r="J723" s="15"/>
      <c r="K723" s="27"/>
      <c r="L723" s="25" t="str">
        <f aca="false">IF(B723="","",B723&amp;"|"&amp;J723)</f>
        <v/>
      </c>
    </row>
    <row r="724" customFormat="false" ht="15" hidden="false" customHeight="false" outlineLevel="0" collapsed="false">
      <c r="A724" s="15"/>
      <c r="B724" s="21"/>
      <c r="C724" s="21" t="str">
        <f aca="false">IF(B724="","",IFERROR(INDEX(代理店一覧!$B$5:$B$204,MATCH(B724,代理店一覧!$A$5:$A$204,0)),"※未登録のID"))</f>
        <v/>
      </c>
      <c r="D724" s="21"/>
      <c r="E724" s="21"/>
      <c r="F724" s="21"/>
      <c r="G724" s="18"/>
      <c r="H724" s="21"/>
      <c r="I724" s="26"/>
      <c r="J724" s="15"/>
      <c r="K724" s="27"/>
      <c r="L724" s="25" t="str">
        <f aca="false">IF(B724="","",B724&amp;"|"&amp;J724)</f>
        <v/>
      </c>
    </row>
    <row r="725" customFormat="false" ht="15" hidden="false" customHeight="false" outlineLevel="0" collapsed="false">
      <c r="A725" s="15"/>
      <c r="B725" s="21"/>
      <c r="C725" s="21" t="str">
        <f aca="false">IF(B725="","",IFERROR(INDEX(代理店一覧!$B$5:$B$204,MATCH(B725,代理店一覧!$A$5:$A$204,0)),"※未登録のID"))</f>
        <v/>
      </c>
      <c r="D725" s="21"/>
      <c r="E725" s="21"/>
      <c r="F725" s="21"/>
      <c r="G725" s="18"/>
      <c r="H725" s="21"/>
      <c r="I725" s="26"/>
      <c r="J725" s="15"/>
      <c r="K725" s="27"/>
      <c r="L725" s="25" t="str">
        <f aca="false">IF(B725="","",B725&amp;"|"&amp;J725)</f>
        <v/>
      </c>
    </row>
    <row r="726" customFormat="false" ht="15" hidden="false" customHeight="false" outlineLevel="0" collapsed="false">
      <c r="A726" s="15"/>
      <c r="B726" s="21"/>
      <c r="C726" s="21" t="str">
        <f aca="false">IF(B726="","",IFERROR(INDEX(代理店一覧!$B$5:$B$204,MATCH(B726,代理店一覧!$A$5:$A$204,0)),"※未登録のID"))</f>
        <v/>
      </c>
      <c r="D726" s="21"/>
      <c r="E726" s="21"/>
      <c r="F726" s="21"/>
      <c r="G726" s="18"/>
      <c r="H726" s="21"/>
      <c r="I726" s="26"/>
      <c r="J726" s="15"/>
      <c r="K726" s="27"/>
      <c r="L726" s="25" t="str">
        <f aca="false">IF(B726="","",B726&amp;"|"&amp;J726)</f>
        <v/>
      </c>
    </row>
    <row r="727" customFormat="false" ht="15" hidden="false" customHeight="false" outlineLevel="0" collapsed="false">
      <c r="A727" s="15"/>
      <c r="B727" s="21"/>
      <c r="C727" s="21" t="str">
        <f aca="false">IF(B727="","",IFERROR(INDEX(代理店一覧!$B$5:$B$204,MATCH(B727,代理店一覧!$A$5:$A$204,0)),"※未登録のID"))</f>
        <v/>
      </c>
      <c r="D727" s="21"/>
      <c r="E727" s="21"/>
      <c r="F727" s="21"/>
      <c r="G727" s="18"/>
      <c r="H727" s="21"/>
      <c r="I727" s="26"/>
      <c r="J727" s="15"/>
      <c r="K727" s="27"/>
      <c r="L727" s="25" t="str">
        <f aca="false">IF(B727="","",B727&amp;"|"&amp;J727)</f>
        <v/>
      </c>
    </row>
    <row r="728" customFormat="false" ht="15" hidden="false" customHeight="false" outlineLevel="0" collapsed="false">
      <c r="A728" s="15"/>
      <c r="B728" s="21"/>
      <c r="C728" s="21" t="str">
        <f aca="false">IF(B728="","",IFERROR(INDEX(代理店一覧!$B$5:$B$204,MATCH(B728,代理店一覧!$A$5:$A$204,0)),"※未登録のID"))</f>
        <v/>
      </c>
      <c r="D728" s="21"/>
      <c r="E728" s="21"/>
      <c r="F728" s="21"/>
      <c r="G728" s="18"/>
      <c r="H728" s="21"/>
      <c r="I728" s="26"/>
      <c r="J728" s="15"/>
      <c r="K728" s="27"/>
      <c r="L728" s="25" t="str">
        <f aca="false">IF(B728="","",B728&amp;"|"&amp;J728)</f>
        <v/>
      </c>
    </row>
    <row r="729" customFormat="false" ht="15" hidden="false" customHeight="false" outlineLevel="0" collapsed="false">
      <c r="A729" s="15"/>
      <c r="B729" s="21"/>
      <c r="C729" s="21" t="str">
        <f aca="false">IF(B729="","",IFERROR(INDEX(代理店一覧!$B$5:$B$204,MATCH(B729,代理店一覧!$A$5:$A$204,0)),"※未登録のID"))</f>
        <v/>
      </c>
      <c r="D729" s="21"/>
      <c r="E729" s="21"/>
      <c r="F729" s="21"/>
      <c r="G729" s="18"/>
      <c r="H729" s="21"/>
      <c r="I729" s="26"/>
      <c r="J729" s="15"/>
      <c r="K729" s="27"/>
      <c r="L729" s="25" t="str">
        <f aca="false">IF(B729="","",B729&amp;"|"&amp;J729)</f>
        <v/>
      </c>
    </row>
    <row r="730" customFormat="false" ht="15" hidden="false" customHeight="false" outlineLevel="0" collapsed="false">
      <c r="A730" s="15"/>
      <c r="B730" s="21"/>
      <c r="C730" s="21" t="str">
        <f aca="false">IF(B730="","",IFERROR(INDEX(代理店一覧!$B$5:$B$204,MATCH(B730,代理店一覧!$A$5:$A$204,0)),"※未登録のID"))</f>
        <v/>
      </c>
      <c r="D730" s="21"/>
      <c r="E730" s="21"/>
      <c r="F730" s="21"/>
      <c r="G730" s="18"/>
      <c r="H730" s="21"/>
      <c r="I730" s="26"/>
      <c r="J730" s="15"/>
      <c r="K730" s="27"/>
      <c r="L730" s="25" t="str">
        <f aca="false">IF(B730="","",B730&amp;"|"&amp;J730)</f>
        <v/>
      </c>
    </row>
    <row r="731" customFormat="false" ht="15" hidden="false" customHeight="false" outlineLevel="0" collapsed="false">
      <c r="A731" s="15"/>
      <c r="B731" s="21"/>
      <c r="C731" s="21" t="str">
        <f aca="false">IF(B731="","",IFERROR(INDEX(代理店一覧!$B$5:$B$204,MATCH(B731,代理店一覧!$A$5:$A$204,0)),"※未登録のID"))</f>
        <v/>
      </c>
      <c r="D731" s="21"/>
      <c r="E731" s="21"/>
      <c r="F731" s="21"/>
      <c r="G731" s="18"/>
      <c r="H731" s="21"/>
      <c r="I731" s="26"/>
      <c r="J731" s="15"/>
      <c r="K731" s="27"/>
      <c r="L731" s="25" t="str">
        <f aca="false">IF(B731="","",B731&amp;"|"&amp;J731)</f>
        <v/>
      </c>
    </row>
    <row r="732" customFormat="false" ht="15" hidden="false" customHeight="false" outlineLevel="0" collapsed="false">
      <c r="A732" s="15"/>
      <c r="B732" s="21"/>
      <c r="C732" s="21" t="str">
        <f aca="false">IF(B732="","",IFERROR(INDEX(代理店一覧!$B$5:$B$204,MATCH(B732,代理店一覧!$A$5:$A$204,0)),"※未登録のID"))</f>
        <v/>
      </c>
      <c r="D732" s="21"/>
      <c r="E732" s="21"/>
      <c r="F732" s="21"/>
      <c r="G732" s="18"/>
      <c r="H732" s="21"/>
      <c r="I732" s="26"/>
      <c r="J732" s="15"/>
      <c r="K732" s="27"/>
      <c r="L732" s="25" t="str">
        <f aca="false">IF(B732="","",B732&amp;"|"&amp;J732)</f>
        <v/>
      </c>
    </row>
    <row r="733" customFormat="false" ht="15" hidden="false" customHeight="false" outlineLevel="0" collapsed="false">
      <c r="A733" s="15"/>
      <c r="B733" s="21"/>
      <c r="C733" s="21" t="str">
        <f aca="false">IF(B733="","",IFERROR(INDEX(代理店一覧!$B$5:$B$204,MATCH(B733,代理店一覧!$A$5:$A$204,0)),"※未登録のID"))</f>
        <v/>
      </c>
      <c r="D733" s="21"/>
      <c r="E733" s="21"/>
      <c r="F733" s="21"/>
      <c r="G733" s="18"/>
      <c r="H733" s="21"/>
      <c r="I733" s="26"/>
      <c r="J733" s="15"/>
      <c r="K733" s="27"/>
      <c r="L733" s="25" t="str">
        <f aca="false">IF(B733="","",B733&amp;"|"&amp;J733)</f>
        <v/>
      </c>
    </row>
    <row r="734" customFormat="false" ht="15" hidden="false" customHeight="false" outlineLevel="0" collapsed="false">
      <c r="A734" s="15"/>
      <c r="B734" s="21"/>
      <c r="C734" s="21" t="str">
        <f aca="false">IF(B734="","",IFERROR(INDEX(代理店一覧!$B$5:$B$204,MATCH(B734,代理店一覧!$A$5:$A$204,0)),"※未登録のID"))</f>
        <v/>
      </c>
      <c r="D734" s="21"/>
      <c r="E734" s="21"/>
      <c r="F734" s="21"/>
      <c r="G734" s="18"/>
      <c r="H734" s="21"/>
      <c r="I734" s="26"/>
      <c r="J734" s="15"/>
      <c r="K734" s="27"/>
      <c r="L734" s="25" t="str">
        <f aca="false">IF(B734="","",B734&amp;"|"&amp;J734)</f>
        <v/>
      </c>
    </row>
    <row r="735" customFormat="false" ht="15" hidden="false" customHeight="false" outlineLevel="0" collapsed="false">
      <c r="A735" s="15"/>
      <c r="B735" s="21"/>
      <c r="C735" s="21" t="str">
        <f aca="false">IF(B735="","",IFERROR(INDEX(代理店一覧!$B$5:$B$204,MATCH(B735,代理店一覧!$A$5:$A$204,0)),"※未登録のID"))</f>
        <v/>
      </c>
      <c r="D735" s="21"/>
      <c r="E735" s="21"/>
      <c r="F735" s="21"/>
      <c r="G735" s="18"/>
      <c r="H735" s="21"/>
      <c r="I735" s="26"/>
      <c r="J735" s="15"/>
      <c r="K735" s="27"/>
      <c r="L735" s="25" t="str">
        <f aca="false">IF(B735="","",B735&amp;"|"&amp;J735)</f>
        <v/>
      </c>
    </row>
    <row r="736" customFormat="false" ht="15" hidden="false" customHeight="false" outlineLevel="0" collapsed="false">
      <c r="A736" s="15"/>
      <c r="B736" s="21"/>
      <c r="C736" s="21" t="str">
        <f aca="false">IF(B736="","",IFERROR(INDEX(代理店一覧!$B$5:$B$204,MATCH(B736,代理店一覧!$A$5:$A$204,0)),"※未登録のID"))</f>
        <v/>
      </c>
      <c r="D736" s="21"/>
      <c r="E736" s="21"/>
      <c r="F736" s="21"/>
      <c r="G736" s="18"/>
      <c r="H736" s="21"/>
      <c r="I736" s="26"/>
      <c r="J736" s="15"/>
      <c r="K736" s="27"/>
      <c r="L736" s="25" t="str">
        <f aca="false">IF(B736="","",B736&amp;"|"&amp;J736)</f>
        <v/>
      </c>
    </row>
    <row r="737" customFormat="false" ht="15" hidden="false" customHeight="false" outlineLevel="0" collapsed="false">
      <c r="A737" s="15"/>
      <c r="B737" s="21"/>
      <c r="C737" s="21" t="str">
        <f aca="false">IF(B737="","",IFERROR(INDEX(代理店一覧!$B$5:$B$204,MATCH(B737,代理店一覧!$A$5:$A$204,0)),"※未登録のID"))</f>
        <v/>
      </c>
      <c r="D737" s="21"/>
      <c r="E737" s="21"/>
      <c r="F737" s="21"/>
      <c r="G737" s="18"/>
      <c r="H737" s="21"/>
      <c r="I737" s="26"/>
      <c r="J737" s="15"/>
      <c r="K737" s="27"/>
      <c r="L737" s="25" t="str">
        <f aca="false">IF(B737="","",B737&amp;"|"&amp;J737)</f>
        <v/>
      </c>
    </row>
    <row r="738" customFormat="false" ht="15" hidden="false" customHeight="false" outlineLevel="0" collapsed="false">
      <c r="A738" s="15"/>
      <c r="B738" s="21"/>
      <c r="C738" s="21" t="str">
        <f aca="false">IF(B738="","",IFERROR(INDEX(代理店一覧!$B$5:$B$204,MATCH(B738,代理店一覧!$A$5:$A$204,0)),"※未登録のID"))</f>
        <v/>
      </c>
      <c r="D738" s="21"/>
      <c r="E738" s="21"/>
      <c r="F738" s="21"/>
      <c r="G738" s="18"/>
      <c r="H738" s="21"/>
      <c r="I738" s="26"/>
      <c r="J738" s="15"/>
      <c r="K738" s="27"/>
      <c r="L738" s="25" t="str">
        <f aca="false">IF(B738="","",B738&amp;"|"&amp;J738)</f>
        <v/>
      </c>
    </row>
    <row r="739" customFormat="false" ht="15" hidden="false" customHeight="false" outlineLevel="0" collapsed="false">
      <c r="A739" s="15"/>
      <c r="B739" s="21"/>
      <c r="C739" s="21" t="str">
        <f aca="false">IF(B739="","",IFERROR(INDEX(代理店一覧!$B$5:$B$204,MATCH(B739,代理店一覧!$A$5:$A$204,0)),"※未登録のID"))</f>
        <v/>
      </c>
      <c r="D739" s="21"/>
      <c r="E739" s="21"/>
      <c r="F739" s="21"/>
      <c r="G739" s="18"/>
      <c r="H739" s="21"/>
      <c r="I739" s="26"/>
      <c r="J739" s="15"/>
      <c r="K739" s="27"/>
      <c r="L739" s="25" t="str">
        <f aca="false">IF(B739="","",B739&amp;"|"&amp;J739)</f>
        <v/>
      </c>
    </row>
    <row r="740" customFormat="false" ht="15" hidden="false" customHeight="false" outlineLevel="0" collapsed="false">
      <c r="A740" s="15"/>
      <c r="B740" s="21"/>
      <c r="C740" s="21" t="str">
        <f aca="false">IF(B740="","",IFERROR(INDEX(代理店一覧!$B$5:$B$204,MATCH(B740,代理店一覧!$A$5:$A$204,0)),"※未登録のID"))</f>
        <v/>
      </c>
      <c r="D740" s="21"/>
      <c r="E740" s="21"/>
      <c r="F740" s="21"/>
      <c r="G740" s="18"/>
      <c r="H740" s="21"/>
      <c r="I740" s="26"/>
      <c r="J740" s="15"/>
      <c r="K740" s="27"/>
      <c r="L740" s="25" t="str">
        <f aca="false">IF(B740="","",B740&amp;"|"&amp;J740)</f>
        <v/>
      </c>
    </row>
    <row r="741" customFormat="false" ht="15" hidden="false" customHeight="false" outlineLevel="0" collapsed="false">
      <c r="A741" s="15"/>
      <c r="B741" s="21"/>
      <c r="C741" s="21" t="str">
        <f aca="false">IF(B741="","",IFERROR(INDEX(代理店一覧!$B$5:$B$204,MATCH(B741,代理店一覧!$A$5:$A$204,0)),"※未登録のID"))</f>
        <v/>
      </c>
      <c r="D741" s="21"/>
      <c r="E741" s="21"/>
      <c r="F741" s="21"/>
      <c r="G741" s="18"/>
      <c r="H741" s="21"/>
      <c r="I741" s="26"/>
      <c r="J741" s="15"/>
      <c r="K741" s="27"/>
      <c r="L741" s="25" t="str">
        <f aca="false">IF(B741="","",B741&amp;"|"&amp;J741)</f>
        <v/>
      </c>
    </row>
    <row r="742" customFormat="false" ht="15" hidden="false" customHeight="false" outlineLevel="0" collapsed="false">
      <c r="A742" s="15"/>
      <c r="B742" s="21"/>
      <c r="C742" s="21" t="str">
        <f aca="false">IF(B742="","",IFERROR(INDEX(代理店一覧!$B$5:$B$204,MATCH(B742,代理店一覧!$A$5:$A$204,0)),"※未登録のID"))</f>
        <v/>
      </c>
      <c r="D742" s="21"/>
      <c r="E742" s="21"/>
      <c r="F742" s="21"/>
      <c r="G742" s="18"/>
      <c r="H742" s="21"/>
      <c r="I742" s="26"/>
      <c r="J742" s="15"/>
      <c r="K742" s="27"/>
      <c r="L742" s="25" t="str">
        <f aca="false">IF(B742="","",B742&amp;"|"&amp;J742)</f>
        <v/>
      </c>
    </row>
    <row r="743" customFormat="false" ht="15" hidden="false" customHeight="false" outlineLevel="0" collapsed="false">
      <c r="A743" s="15"/>
      <c r="B743" s="21"/>
      <c r="C743" s="21" t="str">
        <f aca="false">IF(B743="","",IFERROR(INDEX(代理店一覧!$B$5:$B$204,MATCH(B743,代理店一覧!$A$5:$A$204,0)),"※未登録のID"))</f>
        <v/>
      </c>
      <c r="D743" s="21"/>
      <c r="E743" s="21"/>
      <c r="F743" s="21"/>
      <c r="G743" s="18"/>
      <c r="H743" s="21"/>
      <c r="I743" s="26"/>
      <c r="J743" s="15"/>
      <c r="K743" s="27"/>
      <c r="L743" s="25" t="str">
        <f aca="false">IF(B743="","",B743&amp;"|"&amp;J743)</f>
        <v/>
      </c>
    </row>
    <row r="744" customFormat="false" ht="15" hidden="false" customHeight="false" outlineLevel="0" collapsed="false">
      <c r="A744" s="15"/>
      <c r="B744" s="21"/>
      <c r="C744" s="21" t="str">
        <f aca="false">IF(B744="","",IFERROR(INDEX(代理店一覧!$B$5:$B$204,MATCH(B744,代理店一覧!$A$5:$A$204,0)),"※未登録のID"))</f>
        <v/>
      </c>
      <c r="D744" s="21"/>
      <c r="E744" s="21"/>
      <c r="F744" s="21"/>
      <c r="G744" s="18"/>
      <c r="H744" s="21"/>
      <c r="I744" s="26"/>
      <c r="J744" s="15"/>
      <c r="K744" s="27"/>
      <c r="L744" s="25" t="str">
        <f aca="false">IF(B744="","",B744&amp;"|"&amp;J744)</f>
        <v/>
      </c>
    </row>
    <row r="745" customFormat="false" ht="15" hidden="false" customHeight="false" outlineLevel="0" collapsed="false">
      <c r="A745" s="15"/>
      <c r="B745" s="21"/>
      <c r="C745" s="21" t="str">
        <f aca="false">IF(B745="","",IFERROR(INDEX(代理店一覧!$B$5:$B$204,MATCH(B745,代理店一覧!$A$5:$A$204,0)),"※未登録のID"))</f>
        <v/>
      </c>
      <c r="D745" s="21"/>
      <c r="E745" s="21"/>
      <c r="F745" s="21"/>
      <c r="G745" s="18"/>
      <c r="H745" s="21"/>
      <c r="I745" s="26"/>
      <c r="J745" s="15"/>
      <c r="K745" s="27"/>
      <c r="L745" s="25" t="str">
        <f aca="false">IF(B745="","",B745&amp;"|"&amp;J745)</f>
        <v/>
      </c>
    </row>
    <row r="746" customFormat="false" ht="15" hidden="false" customHeight="false" outlineLevel="0" collapsed="false">
      <c r="A746" s="15"/>
      <c r="B746" s="21"/>
      <c r="C746" s="21" t="str">
        <f aca="false">IF(B746="","",IFERROR(INDEX(代理店一覧!$B$5:$B$204,MATCH(B746,代理店一覧!$A$5:$A$204,0)),"※未登録のID"))</f>
        <v/>
      </c>
      <c r="D746" s="21"/>
      <c r="E746" s="21"/>
      <c r="F746" s="21"/>
      <c r="G746" s="18"/>
      <c r="H746" s="21"/>
      <c r="I746" s="26"/>
      <c r="J746" s="15"/>
      <c r="K746" s="27"/>
      <c r="L746" s="25" t="str">
        <f aca="false">IF(B746="","",B746&amp;"|"&amp;J746)</f>
        <v/>
      </c>
    </row>
    <row r="747" customFormat="false" ht="15" hidden="false" customHeight="false" outlineLevel="0" collapsed="false">
      <c r="A747" s="15"/>
      <c r="B747" s="21"/>
      <c r="C747" s="21" t="str">
        <f aca="false">IF(B747="","",IFERROR(INDEX(代理店一覧!$B$5:$B$204,MATCH(B747,代理店一覧!$A$5:$A$204,0)),"※未登録のID"))</f>
        <v/>
      </c>
      <c r="D747" s="21"/>
      <c r="E747" s="21"/>
      <c r="F747" s="21"/>
      <c r="G747" s="18"/>
      <c r="H747" s="21"/>
      <c r="I747" s="26"/>
      <c r="J747" s="15"/>
      <c r="K747" s="27"/>
      <c r="L747" s="25" t="str">
        <f aca="false">IF(B747="","",B747&amp;"|"&amp;J747)</f>
        <v/>
      </c>
    </row>
    <row r="748" customFormat="false" ht="15" hidden="false" customHeight="false" outlineLevel="0" collapsed="false">
      <c r="A748" s="15"/>
      <c r="B748" s="21"/>
      <c r="C748" s="21" t="str">
        <f aca="false">IF(B748="","",IFERROR(INDEX(代理店一覧!$B$5:$B$204,MATCH(B748,代理店一覧!$A$5:$A$204,0)),"※未登録のID"))</f>
        <v/>
      </c>
      <c r="D748" s="21"/>
      <c r="E748" s="21"/>
      <c r="F748" s="21"/>
      <c r="G748" s="18"/>
      <c r="H748" s="21"/>
      <c r="I748" s="26"/>
      <c r="J748" s="15"/>
      <c r="K748" s="27"/>
      <c r="L748" s="25" t="str">
        <f aca="false">IF(B748="","",B748&amp;"|"&amp;J748)</f>
        <v/>
      </c>
    </row>
    <row r="749" customFormat="false" ht="15" hidden="false" customHeight="false" outlineLevel="0" collapsed="false">
      <c r="A749" s="15"/>
      <c r="B749" s="21"/>
      <c r="C749" s="21" t="str">
        <f aca="false">IF(B749="","",IFERROR(INDEX(代理店一覧!$B$5:$B$204,MATCH(B749,代理店一覧!$A$5:$A$204,0)),"※未登録のID"))</f>
        <v/>
      </c>
      <c r="D749" s="21"/>
      <c r="E749" s="21"/>
      <c r="F749" s="21"/>
      <c r="G749" s="18"/>
      <c r="H749" s="21"/>
      <c r="I749" s="26"/>
      <c r="J749" s="15"/>
      <c r="K749" s="27"/>
      <c r="L749" s="25" t="str">
        <f aca="false">IF(B749="","",B749&amp;"|"&amp;J749)</f>
        <v/>
      </c>
    </row>
    <row r="750" customFormat="false" ht="15" hidden="false" customHeight="false" outlineLevel="0" collapsed="false">
      <c r="A750" s="15"/>
      <c r="B750" s="21"/>
      <c r="C750" s="21" t="str">
        <f aca="false">IF(B750="","",IFERROR(INDEX(代理店一覧!$B$5:$B$204,MATCH(B750,代理店一覧!$A$5:$A$204,0)),"※未登録のID"))</f>
        <v/>
      </c>
      <c r="D750" s="21"/>
      <c r="E750" s="21"/>
      <c r="F750" s="21"/>
      <c r="G750" s="18"/>
      <c r="H750" s="21"/>
      <c r="I750" s="26"/>
      <c r="J750" s="15"/>
      <c r="K750" s="27"/>
      <c r="L750" s="25" t="str">
        <f aca="false">IF(B750="","",B750&amp;"|"&amp;J750)</f>
        <v/>
      </c>
    </row>
    <row r="751" customFormat="false" ht="15" hidden="false" customHeight="false" outlineLevel="0" collapsed="false">
      <c r="A751" s="15"/>
      <c r="B751" s="21"/>
      <c r="C751" s="21" t="str">
        <f aca="false">IF(B751="","",IFERROR(INDEX(代理店一覧!$B$5:$B$204,MATCH(B751,代理店一覧!$A$5:$A$204,0)),"※未登録のID"))</f>
        <v/>
      </c>
      <c r="D751" s="21"/>
      <c r="E751" s="21"/>
      <c r="F751" s="21"/>
      <c r="G751" s="18"/>
      <c r="H751" s="21"/>
      <c r="I751" s="26"/>
      <c r="J751" s="15"/>
      <c r="K751" s="27"/>
      <c r="L751" s="25" t="str">
        <f aca="false">IF(B751="","",B751&amp;"|"&amp;J751)</f>
        <v/>
      </c>
    </row>
    <row r="752" customFormat="false" ht="15" hidden="false" customHeight="false" outlineLevel="0" collapsed="false">
      <c r="A752" s="15"/>
      <c r="B752" s="21"/>
      <c r="C752" s="21" t="str">
        <f aca="false">IF(B752="","",IFERROR(INDEX(代理店一覧!$B$5:$B$204,MATCH(B752,代理店一覧!$A$5:$A$204,0)),"※未登録のID"))</f>
        <v/>
      </c>
      <c r="D752" s="21"/>
      <c r="E752" s="21"/>
      <c r="F752" s="21"/>
      <c r="G752" s="18"/>
      <c r="H752" s="21"/>
      <c r="I752" s="26"/>
      <c r="J752" s="15"/>
      <c r="K752" s="27"/>
      <c r="L752" s="25" t="str">
        <f aca="false">IF(B752="","",B752&amp;"|"&amp;J752)</f>
        <v/>
      </c>
    </row>
    <row r="753" customFormat="false" ht="15" hidden="false" customHeight="false" outlineLevel="0" collapsed="false">
      <c r="A753" s="15"/>
      <c r="B753" s="21"/>
      <c r="C753" s="21" t="str">
        <f aca="false">IF(B753="","",IFERROR(INDEX(代理店一覧!$B$5:$B$204,MATCH(B753,代理店一覧!$A$5:$A$204,0)),"※未登録のID"))</f>
        <v/>
      </c>
      <c r="D753" s="21"/>
      <c r="E753" s="21"/>
      <c r="F753" s="21"/>
      <c r="G753" s="18"/>
      <c r="H753" s="21"/>
      <c r="I753" s="26"/>
      <c r="J753" s="15"/>
      <c r="K753" s="27"/>
      <c r="L753" s="25" t="str">
        <f aca="false">IF(B753="","",B753&amp;"|"&amp;J753)</f>
        <v/>
      </c>
    </row>
    <row r="754" customFormat="false" ht="15" hidden="false" customHeight="false" outlineLevel="0" collapsed="false">
      <c r="A754" s="15"/>
      <c r="B754" s="21"/>
      <c r="C754" s="21" t="str">
        <f aca="false">IF(B754="","",IFERROR(INDEX(代理店一覧!$B$5:$B$204,MATCH(B754,代理店一覧!$A$5:$A$204,0)),"※未登録のID"))</f>
        <v/>
      </c>
      <c r="D754" s="21"/>
      <c r="E754" s="21"/>
      <c r="F754" s="21"/>
      <c r="G754" s="18"/>
      <c r="H754" s="21"/>
      <c r="I754" s="26"/>
      <c r="J754" s="15"/>
      <c r="K754" s="27"/>
      <c r="L754" s="25" t="str">
        <f aca="false">IF(B754="","",B754&amp;"|"&amp;J754)</f>
        <v/>
      </c>
    </row>
    <row r="755" customFormat="false" ht="15" hidden="false" customHeight="false" outlineLevel="0" collapsed="false">
      <c r="A755" s="15"/>
      <c r="B755" s="21"/>
      <c r="C755" s="21" t="str">
        <f aca="false">IF(B755="","",IFERROR(INDEX(代理店一覧!$B$5:$B$204,MATCH(B755,代理店一覧!$A$5:$A$204,0)),"※未登録のID"))</f>
        <v/>
      </c>
      <c r="D755" s="21"/>
      <c r="E755" s="21"/>
      <c r="F755" s="21"/>
      <c r="G755" s="18"/>
      <c r="H755" s="21"/>
      <c r="I755" s="26"/>
      <c r="J755" s="15"/>
      <c r="K755" s="27"/>
      <c r="L755" s="25" t="str">
        <f aca="false">IF(B755="","",B755&amp;"|"&amp;J755)</f>
        <v/>
      </c>
    </row>
    <row r="756" customFormat="false" ht="15" hidden="false" customHeight="false" outlineLevel="0" collapsed="false">
      <c r="A756" s="15"/>
      <c r="B756" s="21"/>
      <c r="C756" s="21" t="str">
        <f aca="false">IF(B756="","",IFERROR(INDEX(代理店一覧!$B$5:$B$204,MATCH(B756,代理店一覧!$A$5:$A$204,0)),"※未登録のID"))</f>
        <v/>
      </c>
      <c r="D756" s="21"/>
      <c r="E756" s="21"/>
      <c r="F756" s="21"/>
      <c r="G756" s="18"/>
      <c r="H756" s="21"/>
      <c r="I756" s="26"/>
      <c r="J756" s="15"/>
      <c r="K756" s="27"/>
      <c r="L756" s="25" t="str">
        <f aca="false">IF(B756="","",B756&amp;"|"&amp;J756)</f>
        <v/>
      </c>
    </row>
    <row r="757" customFormat="false" ht="15" hidden="false" customHeight="false" outlineLevel="0" collapsed="false">
      <c r="A757" s="15"/>
      <c r="B757" s="21"/>
      <c r="C757" s="21" t="str">
        <f aca="false">IF(B757="","",IFERROR(INDEX(代理店一覧!$B$5:$B$204,MATCH(B757,代理店一覧!$A$5:$A$204,0)),"※未登録のID"))</f>
        <v/>
      </c>
      <c r="D757" s="21"/>
      <c r="E757" s="21"/>
      <c r="F757" s="21"/>
      <c r="G757" s="18"/>
      <c r="H757" s="21"/>
      <c r="I757" s="26"/>
      <c r="J757" s="15"/>
      <c r="K757" s="27"/>
      <c r="L757" s="25" t="str">
        <f aca="false">IF(B757="","",B757&amp;"|"&amp;J757)</f>
        <v/>
      </c>
    </row>
    <row r="758" customFormat="false" ht="15" hidden="false" customHeight="false" outlineLevel="0" collapsed="false">
      <c r="A758" s="15"/>
      <c r="B758" s="21"/>
      <c r="C758" s="21" t="str">
        <f aca="false">IF(B758="","",IFERROR(INDEX(代理店一覧!$B$5:$B$204,MATCH(B758,代理店一覧!$A$5:$A$204,0)),"※未登録のID"))</f>
        <v/>
      </c>
      <c r="D758" s="21"/>
      <c r="E758" s="21"/>
      <c r="F758" s="21"/>
      <c r="G758" s="18"/>
      <c r="H758" s="21"/>
      <c r="I758" s="26"/>
      <c r="J758" s="15"/>
      <c r="K758" s="27"/>
      <c r="L758" s="25" t="str">
        <f aca="false">IF(B758="","",B758&amp;"|"&amp;J758)</f>
        <v/>
      </c>
    </row>
    <row r="759" customFormat="false" ht="15" hidden="false" customHeight="false" outlineLevel="0" collapsed="false">
      <c r="A759" s="15"/>
      <c r="B759" s="21"/>
      <c r="C759" s="21" t="str">
        <f aca="false">IF(B759="","",IFERROR(INDEX(代理店一覧!$B$5:$B$204,MATCH(B759,代理店一覧!$A$5:$A$204,0)),"※未登録のID"))</f>
        <v/>
      </c>
      <c r="D759" s="21"/>
      <c r="E759" s="21"/>
      <c r="F759" s="21"/>
      <c r="G759" s="18"/>
      <c r="H759" s="21"/>
      <c r="I759" s="26"/>
      <c r="J759" s="15"/>
      <c r="K759" s="27"/>
      <c r="L759" s="25" t="str">
        <f aca="false">IF(B759="","",B759&amp;"|"&amp;J759)</f>
        <v/>
      </c>
    </row>
    <row r="760" customFormat="false" ht="15" hidden="false" customHeight="false" outlineLevel="0" collapsed="false">
      <c r="A760" s="15"/>
      <c r="B760" s="21"/>
      <c r="C760" s="21" t="str">
        <f aca="false">IF(B760="","",IFERROR(INDEX(代理店一覧!$B$5:$B$204,MATCH(B760,代理店一覧!$A$5:$A$204,0)),"※未登録のID"))</f>
        <v/>
      </c>
      <c r="D760" s="21"/>
      <c r="E760" s="21"/>
      <c r="F760" s="21"/>
      <c r="G760" s="18"/>
      <c r="H760" s="21"/>
      <c r="I760" s="26"/>
      <c r="J760" s="15"/>
      <c r="K760" s="27"/>
      <c r="L760" s="25" t="str">
        <f aca="false">IF(B760="","",B760&amp;"|"&amp;J760)</f>
        <v/>
      </c>
    </row>
    <row r="761" customFormat="false" ht="15" hidden="false" customHeight="false" outlineLevel="0" collapsed="false">
      <c r="A761" s="15"/>
      <c r="B761" s="21"/>
      <c r="C761" s="21" t="str">
        <f aca="false">IF(B761="","",IFERROR(INDEX(代理店一覧!$B$5:$B$204,MATCH(B761,代理店一覧!$A$5:$A$204,0)),"※未登録のID"))</f>
        <v/>
      </c>
      <c r="D761" s="21"/>
      <c r="E761" s="21"/>
      <c r="F761" s="21"/>
      <c r="G761" s="18"/>
      <c r="H761" s="21"/>
      <c r="I761" s="26"/>
      <c r="J761" s="15"/>
      <c r="K761" s="27"/>
      <c r="L761" s="25" t="str">
        <f aca="false">IF(B761="","",B761&amp;"|"&amp;J761)</f>
        <v/>
      </c>
    </row>
    <row r="762" customFormat="false" ht="15" hidden="false" customHeight="false" outlineLevel="0" collapsed="false">
      <c r="A762" s="15"/>
      <c r="B762" s="21"/>
      <c r="C762" s="21" t="str">
        <f aca="false">IF(B762="","",IFERROR(INDEX(代理店一覧!$B$5:$B$204,MATCH(B762,代理店一覧!$A$5:$A$204,0)),"※未登録のID"))</f>
        <v/>
      </c>
      <c r="D762" s="21"/>
      <c r="E762" s="21"/>
      <c r="F762" s="21"/>
      <c r="G762" s="18"/>
      <c r="H762" s="21"/>
      <c r="I762" s="26"/>
      <c r="J762" s="15"/>
      <c r="K762" s="27"/>
      <c r="L762" s="25" t="str">
        <f aca="false">IF(B762="","",B762&amp;"|"&amp;J762)</f>
        <v/>
      </c>
    </row>
    <row r="763" customFormat="false" ht="15" hidden="false" customHeight="false" outlineLevel="0" collapsed="false">
      <c r="A763" s="15"/>
      <c r="B763" s="21"/>
      <c r="C763" s="21" t="str">
        <f aca="false">IF(B763="","",IFERROR(INDEX(代理店一覧!$B$5:$B$204,MATCH(B763,代理店一覧!$A$5:$A$204,0)),"※未登録のID"))</f>
        <v/>
      </c>
      <c r="D763" s="21"/>
      <c r="E763" s="21"/>
      <c r="F763" s="21"/>
      <c r="G763" s="18"/>
      <c r="H763" s="21"/>
      <c r="I763" s="26"/>
      <c r="J763" s="15"/>
      <c r="K763" s="27"/>
      <c r="L763" s="25" t="str">
        <f aca="false">IF(B763="","",B763&amp;"|"&amp;J763)</f>
        <v/>
      </c>
    </row>
    <row r="764" customFormat="false" ht="15" hidden="false" customHeight="false" outlineLevel="0" collapsed="false">
      <c r="A764" s="15"/>
      <c r="B764" s="21"/>
      <c r="C764" s="21" t="str">
        <f aca="false">IF(B764="","",IFERROR(INDEX(代理店一覧!$B$5:$B$204,MATCH(B764,代理店一覧!$A$5:$A$204,0)),"※未登録のID"))</f>
        <v/>
      </c>
      <c r="D764" s="21"/>
      <c r="E764" s="21"/>
      <c r="F764" s="21"/>
      <c r="G764" s="18"/>
      <c r="H764" s="21"/>
      <c r="I764" s="26"/>
      <c r="J764" s="15"/>
      <c r="K764" s="27"/>
      <c r="L764" s="25" t="str">
        <f aca="false">IF(B764="","",B764&amp;"|"&amp;J764)</f>
        <v/>
      </c>
    </row>
    <row r="765" customFormat="false" ht="15" hidden="false" customHeight="false" outlineLevel="0" collapsed="false">
      <c r="A765" s="15"/>
      <c r="B765" s="21"/>
      <c r="C765" s="21" t="str">
        <f aca="false">IF(B765="","",IFERROR(INDEX(代理店一覧!$B$5:$B$204,MATCH(B765,代理店一覧!$A$5:$A$204,0)),"※未登録のID"))</f>
        <v/>
      </c>
      <c r="D765" s="21"/>
      <c r="E765" s="21"/>
      <c r="F765" s="21"/>
      <c r="G765" s="18"/>
      <c r="H765" s="21"/>
      <c r="I765" s="26"/>
      <c r="J765" s="15"/>
      <c r="K765" s="27"/>
      <c r="L765" s="25" t="str">
        <f aca="false">IF(B765="","",B765&amp;"|"&amp;J765)</f>
        <v/>
      </c>
    </row>
    <row r="766" customFormat="false" ht="15" hidden="false" customHeight="false" outlineLevel="0" collapsed="false">
      <c r="A766" s="15"/>
      <c r="B766" s="21"/>
      <c r="C766" s="21" t="str">
        <f aca="false">IF(B766="","",IFERROR(INDEX(代理店一覧!$B$5:$B$204,MATCH(B766,代理店一覧!$A$5:$A$204,0)),"※未登録のID"))</f>
        <v/>
      </c>
      <c r="D766" s="21"/>
      <c r="E766" s="21"/>
      <c r="F766" s="21"/>
      <c r="G766" s="18"/>
      <c r="H766" s="21"/>
      <c r="I766" s="26"/>
      <c r="J766" s="15"/>
      <c r="K766" s="27"/>
      <c r="L766" s="25" t="str">
        <f aca="false">IF(B766="","",B766&amp;"|"&amp;J766)</f>
        <v/>
      </c>
    </row>
    <row r="767" customFormat="false" ht="15" hidden="false" customHeight="false" outlineLevel="0" collapsed="false">
      <c r="A767" s="15"/>
      <c r="B767" s="21"/>
      <c r="C767" s="21" t="str">
        <f aca="false">IF(B767="","",IFERROR(INDEX(代理店一覧!$B$5:$B$204,MATCH(B767,代理店一覧!$A$5:$A$204,0)),"※未登録のID"))</f>
        <v/>
      </c>
      <c r="D767" s="21"/>
      <c r="E767" s="21"/>
      <c r="F767" s="21"/>
      <c r="G767" s="18"/>
      <c r="H767" s="21"/>
      <c r="I767" s="26"/>
      <c r="J767" s="15"/>
      <c r="K767" s="27"/>
      <c r="L767" s="25" t="str">
        <f aca="false">IF(B767="","",B767&amp;"|"&amp;J767)</f>
        <v/>
      </c>
    </row>
    <row r="768" customFormat="false" ht="15" hidden="false" customHeight="false" outlineLevel="0" collapsed="false">
      <c r="A768" s="15"/>
      <c r="B768" s="21"/>
      <c r="C768" s="21" t="str">
        <f aca="false">IF(B768="","",IFERROR(INDEX(代理店一覧!$B$5:$B$204,MATCH(B768,代理店一覧!$A$5:$A$204,0)),"※未登録のID"))</f>
        <v/>
      </c>
      <c r="D768" s="21"/>
      <c r="E768" s="21"/>
      <c r="F768" s="21"/>
      <c r="G768" s="18"/>
      <c r="H768" s="21"/>
      <c r="I768" s="26"/>
      <c r="J768" s="15"/>
      <c r="K768" s="27"/>
      <c r="L768" s="25" t="str">
        <f aca="false">IF(B768="","",B768&amp;"|"&amp;J768)</f>
        <v/>
      </c>
    </row>
    <row r="769" customFormat="false" ht="15" hidden="false" customHeight="false" outlineLevel="0" collapsed="false">
      <c r="A769" s="15"/>
      <c r="B769" s="21"/>
      <c r="C769" s="21" t="str">
        <f aca="false">IF(B769="","",IFERROR(INDEX(代理店一覧!$B$5:$B$204,MATCH(B769,代理店一覧!$A$5:$A$204,0)),"※未登録のID"))</f>
        <v/>
      </c>
      <c r="D769" s="21"/>
      <c r="E769" s="21"/>
      <c r="F769" s="21"/>
      <c r="G769" s="18"/>
      <c r="H769" s="21"/>
      <c r="I769" s="26"/>
      <c r="J769" s="15"/>
      <c r="K769" s="27"/>
      <c r="L769" s="25" t="str">
        <f aca="false">IF(B769="","",B769&amp;"|"&amp;J769)</f>
        <v/>
      </c>
    </row>
    <row r="770" customFormat="false" ht="15" hidden="false" customHeight="false" outlineLevel="0" collapsed="false">
      <c r="A770" s="15"/>
      <c r="B770" s="21"/>
      <c r="C770" s="21" t="str">
        <f aca="false">IF(B770="","",IFERROR(INDEX(代理店一覧!$B$5:$B$204,MATCH(B770,代理店一覧!$A$5:$A$204,0)),"※未登録のID"))</f>
        <v/>
      </c>
      <c r="D770" s="21"/>
      <c r="E770" s="21"/>
      <c r="F770" s="21"/>
      <c r="G770" s="18"/>
      <c r="H770" s="21"/>
      <c r="I770" s="26"/>
      <c r="J770" s="15"/>
      <c r="K770" s="27"/>
      <c r="L770" s="25" t="str">
        <f aca="false">IF(B770="","",B770&amp;"|"&amp;J770)</f>
        <v/>
      </c>
    </row>
    <row r="771" customFormat="false" ht="15" hidden="false" customHeight="false" outlineLevel="0" collapsed="false">
      <c r="A771" s="15"/>
      <c r="B771" s="21"/>
      <c r="C771" s="21" t="str">
        <f aca="false">IF(B771="","",IFERROR(INDEX(代理店一覧!$B$5:$B$204,MATCH(B771,代理店一覧!$A$5:$A$204,0)),"※未登録のID"))</f>
        <v/>
      </c>
      <c r="D771" s="21"/>
      <c r="E771" s="21"/>
      <c r="F771" s="21"/>
      <c r="G771" s="18"/>
      <c r="H771" s="21"/>
      <c r="I771" s="26"/>
      <c r="J771" s="15"/>
      <c r="K771" s="27"/>
      <c r="L771" s="25" t="str">
        <f aca="false">IF(B771="","",B771&amp;"|"&amp;J771)</f>
        <v/>
      </c>
    </row>
    <row r="772" customFormat="false" ht="15" hidden="false" customHeight="false" outlineLevel="0" collapsed="false">
      <c r="A772" s="15"/>
      <c r="B772" s="21"/>
      <c r="C772" s="21" t="str">
        <f aca="false">IF(B772="","",IFERROR(INDEX(代理店一覧!$B$5:$B$204,MATCH(B772,代理店一覧!$A$5:$A$204,0)),"※未登録のID"))</f>
        <v/>
      </c>
      <c r="D772" s="21"/>
      <c r="E772" s="21"/>
      <c r="F772" s="21"/>
      <c r="G772" s="18"/>
      <c r="H772" s="21"/>
      <c r="I772" s="26"/>
      <c r="J772" s="15"/>
      <c r="K772" s="27"/>
      <c r="L772" s="25" t="str">
        <f aca="false">IF(B772="","",B772&amp;"|"&amp;J772)</f>
        <v/>
      </c>
    </row>
    <row r="773" customFormat="false" ht="15" hidden="false" customHeight="false" outlineLevel="0" collapsed="false">
      <c r="A773" s="15"/>
      <c r="B773" s="21"/>
      <c r="C773" s="21" t="str">
        <f aca="false">IF(B773="","",IFERROR(INDEX(代理店一覧!$B$5:$B$204,MATCH(B773,代理店一覧!$A$5:$A$204,0)),"※未登録のID"))</f>
        <v/>
      </c>
      <c r="D773" s="21"/>
      <c r="E773" s="21"/>
      <c r="F773" s="21"/>
      <c r="G773" s="18"/>
      <c r="H773" s="21"/>
      <c r="I773" s="26"/>
      <c r="J773" s="15"/>
      <c r="K773" s="27"/>
      <c r="L773" s="25" t="str">
        <f aca="false">IF(B773="","",B773&amp;"|"&amp;J773)</f>
        <v/>
      </c>
    </row>
    <row r="774" customFormat="false" ht="15" hidden="false" customHeight="false" outlineLevel="0" collapsed="false">
      <c r="A774" s="15"/>
      <c r="B774" s="21"/>
      <c r="C774" s="21" t="str">
        <f aca="false">IF(B774="","",IFERROR(INDEX(代理店一覧!$B$5:$B$204,MATCH(B774,代理店一覧!$A$5:$A$204,0)),"※未登録のID"))</f>
        <v/>
      </c>
      <c r="D774" s="21"/>
      <c r="E774" s="21"/>
      <c r="F774" s="21"/>
      <c r="G774" s="18"/>
      <c r="H774" s="21"/>
      <c r="I774" s="26"/>
      <c r="J774" s="15"/>
      <c r="K774" s="27"/>
      <c r="L774" s="25" t="str">
        <f aca="false">IF(B774="","",B774&amp;"|"&amp;J774)</f>
        <v/>
      </c>
    </row>
    <row r="775" customFormat="false" ht="15" hidden="false" customHeight="false" outlineLevel="0" collapsed="false">
      <c r="A775" s="15"/>
      <c r="B775" s="21"/>
      <c r="C775" s="21" t="str">
        <f aca="false">IF(B775="","",IFERROR(INDEX(代理店一覧!$B$5:$B$204,MATCH(B775,代理店一覧!$A$5:$A$204,0)),"※未登録のID"))</f>
        <v/>
      </c>
      <c r="D775" s="21"/>
      <c r="E775" s="21"/>
      <c r="F775" s="21"/>
      <c r="G775" s="18"/>
      <c r="H775" s="21"/>
      <c r="I775" s="26"/>
      <c r="J775" s="15"/>
      <c r="K775" s="27"/>
      <c r="L775" s="25" t="str">
        <f aca="false">IF(B775="","",B775&amp;"|"&amp;J775)</f>
        <v/>
      </c>
    </row>
    <row r="776" customFormat="false" ht="15" hidden="false" customHeight="false" outlineLevel="0" collapsed="false">
      <c r="A776" s="15"/>
      <c r="B776" s="21"/>
      <c r="C776" s="21" t="str">
        <f aca="false">IF(B776="","",IFERROR(INDEX(代理店一覧!$B$5:$B$204,MATCH(B776,代理店一覧!$A$5:$A$204,0)),"※未登録のID"))</f>
        <v/>
      </c>
      <c r="D776" s="21"/>
      <c r="E776" s="21"/>
      <c r="F776" s="21"/>
      <c r="G776" s="18"/>
      <c r="H776" s="21"/>
      <c r="I776" s="26"/>
      <c r="J776" s="15"/>
      <c r="K776" s="27"/>
      <c r="L776" s="25" t="str">
        <f aca="false">IF(B776="","",B776&amp;"|"&amp;J776)</f>
        <v/>
      </c>
    </row>
    <row r="777" customFormat="false" ht="15" hidden="false" customHeight="false" outlineLevel="0" collapsed="false">
      <c r="A777" s="15"/>
      <c r="B777" s="21"/>
      <c r="C777" s="21" t="str">
        <f aca="false">IF(B777="","",IFERROR(INDEX(代理店一覧!$B$5:$B$204,MATCH(B777,代理店一覧!$A$5:$A$204,0)),"※未登録のID"))</f>
        <v/>
      </c>
      <c r="D777" s="21"/>
      <c r="E777" s="21"/>
      <c r="F777" s="21"/>
      <c r="G777" s="18"/>
      <c r="H777" s="21"/>
      <c r="I777" s="26"/>
      <c r="J777" s="15"/>
      <c r="K777" s="27"/>
      <c r="L777" s="25" t="str">
        <f aca="false">IF(B777="","",B777&amp;"|"&amp;J777)</f>
        <v/>
      </c>
    </row>
    <row r="778" customFormat="false" ht="15" hidden="false" customHeight="false" outlineLevel="0" collapsed="false">
      <c r="A778" s="15"/>
      <c r="B778" s="21"/>
      <c r="C778" s="21" t="str">
        <f aca="false">IF(B778="","",IFERROR(INDEX(代理店一覧!$B$5:$B$204,MATCH(B778,代理店一覧!$A$5:$A$204,0)),"※未登録のID"))</f>
        <v/>
      </c>
      <c r="D778" s="21"/>
      <c r="E778" s="21"/>
      <c r="F778" s="21"/>
      <c r="G778" s="18"/>
      <c r="H778" s="21"/>
      <c r="I778" s="26"/>
      <c r="J778" s="15"/>
      <c r="K778" s="27"/>
      <c r="L778" s="25" t="str">
        <f aca="false">IF(B778="","",B778&amp;"|"&amp;J778)</f>
        <v/>
      </c>
    </row>
    <row r="779" customFormat="false" ht="15" hidden="false" customHeight="false" outlineLevel="0" collapsed="false">
      <c r="A779" s="15"/>
      <c r="B779" s="21"/>
      <c r="C779" s="21" t="str">
        <f aca="false">IF(B779="","",IFERROR(INDEX(代理店一覧!$B$5:$B$204,MATCH(B779,代理店一覧!$A$5:$A$204,0)),"※未登録のID"))</f>
        <v/>
      </c>
      <c r="D779" s="21"/>
      <c r="E779" s="21"/>
      <c r="F779" s="21"/>
      <c r="G779" s="18"/>
      <c r="H779" s="21"/>
      <c r="I779" s="26"/>
      <c r="J779" s="15"/>
      <c r="K779" s="27"/>
      <c r="L779" s="25" t="str">
        <f aca="false">IF(B779="","",B779&amp;"|"&amp;J779)</f>
        <v/>
      </c>
    </row>
    <row r="780" customFormat="false" ht="15" hidden="false" customHeight="false" outlineLevel="0" collapsed="false">
      <c r="A780" s="15"/>
      <c r="B780" s="21"/>
      <c r="C780" s="21" t="str">
        <f aca="false">IF(B780="","",IFERROR(INDEX(代理店一覧!$B$5:$B$204,MATCH(B780,代理店一覧!$A$5:$A$204,0)),"※未登録のID"))</f>
        <v/>
      </c>
      <c r="D780" s="21"/>
      <c r="E780" s="21"/>
      <c r="F780" s="21"/>
      <c r="G780" s="18"/>
      <c r="H780" s="21"/>
      <c r="I780" s="26"/>
      <c r="J780" s="15"/>
      <c r="K780" s="27"/>
      <c r="L780" s="25" t="str">
        <f aca="false">IF(B780="","",B780&amp;"|"&amp;J780)</f>
        <v/>
      </c>
    </row>
    <row r="781" customFormat="false" ht="15" hidden="false" customHeight="false" outlineLevel="0" collapsed="false">
      <c r="A781" s="15"/>
      <c r="B781" s="21"/>
      <c r="C781" s="21" t="str">
        <f aca="false">IF(B781="","",IFERROR(INDEX(代理店一覧!$B$5:$B$204,MATCH(B781,代理店一覧!$A$5:$A$204,0)),"※未登録のID"))</f>
        <v/>
      </c>
      <c r="D781" s="21"/>
      <c r="E781" s="21"/>
      <c r="F781" s="21"/>
      <c r="G781" s="18"/>
      <c r="H781" s="21"/>
      <c r="I781" s="26"/>
      <c r="J781" s="15"/>
      <c r="K781" s="27"/>
      <c r="L781" s="25" t="str">
        <f aca="false">IF(B781="","",B781&amp;"|"&amp;J781)</f>
        <v/>
      </c>
    </row>
    <row r="782" customFormat="false" ht="15" hidden="false" customHeight="false" outlineLevel="0" collapsed="false">
      <c r="A782" s="15"/>
      <c r="B782" s="21"/>
      <c r="C782" s="21" t="str">
        <f aca="false">IF(B782="","",IFERROR(INDEX(代理店一覧!$B$5:$B$204,MATCH(B782,代理店一覧!$A$5:$A$204,0)),"※未登録のID"))</f>
        <v/>
      </c>
      <c r="D782" s="21"/>
      <c r="E782" s="21"/>
      <c r="F782" s="21"/>
      <c r="G782" s="18"/>
      <c r="H782" s="21"/>
      <c r="I782" s="26"/>
      <c r="J782" s="15"/>
      <c r="K782" s="27"/>
      <c r="L782" s="25" t="str">
        <f aca="false">IF(B782="","",B782&amp;"|"&amp;J782)</f>
        <v/>
      </c>
    </row>
    <row r="783" customFormat="false" ht="15" hidden="false" customHeight="false" outlineLevel="0" collapsed="false">
      <c r="A783" s="15"/>
      <c r="B783" s="21"/>
      <c r="C783" s="21" t="str">
        <f aca="false">IF(B783="","",IFERROR(INDEX(代理店一覧!$B$5:$B$204,MATCH(B783,代理店一覧!$A$5:$A$204,0)),"※未登録のID"))</f>
        <v/>
      </c>
      <c r="D783" s="21"/>
      <c r="E783" s="21"/>
      <c r="F783" s="21"/>
      <c r="G783" s="18"/>
      <c r="H783" s="21"/>
      <c r="I783" s="26"/>
      <c r="J783" s="15"/>
      <c r="K783" s="27"/>
      <c r="L783" s="25" t="str">
        <f aca="false">IF(B783="","",B783&amp;"|"&amp;J783)</f>
        <v/>
      </c>
    </row>
    <row r="784" customFormat="false" ht="15" hidden="false" customHeight="false" outlineLevel="0" collapsed="false">
      <c r="A784" s="15"/>
      <c r="B784" s="21"/>
      <c r="C784" s="21" t="str">
        <f aca="false">IF(B784="","",IFERROR(INDEX(代理店一覧!$B$5:$B$204,MATCH(B784,代理店一覧!$A$5:$A$204,0)),"※未登録のID"))</f>
        <v/>
      </c>
      <c r="D784" s="21"/>
      <c r="E784" s="21"/>
      <c r="F784" s="21"/>
      <c r="G784" s="18"/>
      <c r="H784" s="21"/>
      <c r="I784" s="26"/>
      <c r="J784" s="15"/>
      <c r="K784" s="27"/>
      <c r="L784" s="25" t="str">
        <f aca="false">IF(B784="","",B784&amp;"|"&amp;J784)</f>
        <v/>
      </c>
    </row>
    <row r="785" customFormat="false" ht="15" hidden="false" customHeight="false" outlineLevel="0" collapsed="false">
      <c r="A785" s="15"/>
      <c r="B785" s="21"/>
      <c r="C785" s="21" t="str">
        <f aca="false">IF(B785="","",IFERROR(INDEX(代理店一覧!$B$5:$B$204,MATCH(B785,代理店一覧!$A$5:$A$204,0)),"※未登録のID"))</f>
        <v/>
      </c>
      <c r="D785" s="21"/>
      <c r="E785" s="21"/>
      <c r="F785" s="21"/>
      <c r="G785" s="18"/>
      <c r="H785" s="21"/>
      <c r="I785" s="26"/>
      <c r="J785" s="15"/>
      <c r="K785" s="27"/>
      <c r="L785" s="25" t="str">
        <f aca="false">IF(B785="","",B785&amp;"|"&amp;J785)</f>
        <v/>
      </c>
    </row>
    <row r="786" customFormat="false" ht="15" hidden="false" customHeight="false" outlineLevel="0" collapsed="false">
      <c r="A786" s="15"/>
      <c r="B786" s="21"/>
      <c r="C786" s="21" t="str">
        <f aca="false">IF(B786="","",IFERROR(INDEX(代理店一覧!$B$5:$B$204,MATCH(B786,代理店一覧!$A$5:$A$204,0)),"※未登録のID"))</f>
        <v/>
      </c>
      <c r="D786" s="21"/>
      <c r="E786" s="21"/>
      <c r="F786" s="21"/>
      <c r="G786" s="18"/>
      <c r="H786" s="21"/>
      <c r="I786" s="26"/>
      <c r="J786" s="15"/>
      <c r="K786" s="27"/>
      <c r="L786" s="25" t="str">
        <f aca="false">IF(B786="","",B786&amp;"|"&amp;J786)</f>
        <v/>
      </c>
    </row>
    <row r="787" customFormat="false" ht="15" hidden="false" customHeight="false" outlineLevel="0" collapsed="false">
      <c r="A787" s="15"/>
      <c r="B787" s="21"/>
      <c r="C787" s="21" t="str">
        <f aca="false">IF(B787="","",IFERROR(INDEX(代理店一覧!$B$5:$B$204,MATCH(B787,代理店一覧!$A$5:$A$204,0)),"※未登録のID"))</f>
        <v/>
      </c>
      <c r="D787" s="21"/>
      <c r="E787" s="21"/>
      <c r="F787" s="21"/>
      <c r="G787" s="18"/>
      <c r="H787" s="21"/>
      <c r="I787" s="26"/>
      <c r="J787" s="15"/>
      <c r="K787" s="27"/>
      <c r="L787" s="25" t="str">
        <f aca="false">IF(B787="","",B787&amp;"|"&amp;J787)</f>
        <v/>
      </c>
    </row>
    <row r="788" customFormat="false" ht="15" hidden="false" customHeight="false" outlineLevel="0" collapsed="false">
      <c r="A788" s="15"/>
      <c r="B788" s="21"/>
      <c r="C788" s="21" t="str">
        <f aca="false">IF(B788="","",IFERROR(INDEX(代理店一覧!$B$5:$B$204,MATCH(B788,代理店一覧!$A$5:$A$204,0)),"※未登録のID"))</f>
        <v/>
      </c>
      <c r="D788" s="21"/>
      <c r="E788" s="21"/>
      <c r="F788" s="21"/>
      <c r="G788" s="18"/>
      <c r="H788" s="21"/>
      <c r="I788" s="26"/>
      <c r="J788" s="15"/>
      <c r="K788" s="27"/>
      <c r="L788" s="25" t="str">
        <f aca="false">IF(B788="","",B788&amp;"|"&amp;J788)</f>
        <v/>
      </c>
    </row>
    <row r="789" customFormat="false" ht="15" hidden="false" customHeight="false" outlineLevel="0" collapsed="false">
      <c r="A789" s="15"/>
      <c r="B789" s="21"/>
      <c r="C789" s="21" t="str">
        <f aca="false">IF(B789="","",IFERROR(INDEX(代理店一覧!$B$5:$B$204,MATCH(B789,代理店一覧!$A$5:$A$204,0)),"※未登録のID"))</f>
        <v/>
      </c>
      <c r="D789" s="21"/>
      <c r="E789" s="21"/>
      <c r="F789" s="21"/>
      <c r="G789" s="18"/>
      <c r="H789" s="21"/>
      <c r="I789" s="26"/>
      <c r="J789" s="15"/>
      <c r="K789" s="27"/>
      <c r="L789" s="25" t="str">
        <f aca="false">IF(B789="","",B789&amp;"|"&amp;J789)</f>
        <v/>
      </c>
    </row>
    <row r="790" customFormat="false" ht="15" hidden="false" customHeight="false" outlineLevel="0" collapsed="false">
      <c r="A790" s="15"/>
      <c r="B790" s="21"/>
      <c r="C790" s="21" t="str">
        <f aca="false">IF(B790="","",IFERROR(INDEX(代理店一覧!$B$5:$B$204,MATCH(B790,代理店一覧!$A$5:$A$204,0)),"※未登録のID"))</f>
        <v/>
      </c>
      <c r="D790" s="21"/>
      <c r="E790" s="21"/>
      <c r="F790" s="21"/>
      <c r="G790" s="18"/>
      <c r="H790" s="21"/>
      <c r="I790" s="26"/>
      <c r="J790" s="15"/>
      <c r="K790" s="27"/>
      <c r="L790" s="25" t="str">
        <f aca="false">IF(B790="","",B790&amp;"|"&amp;J790)</f>
        <v/>
      </c>
    </row>
    <row r="791" customFormat="false" ht="15" hidden="false" customHeight="false" outlineLevel="0" collapsed="false">
      <c r="A791" s="15"/>
      <c r="B791" s="21"/>
      <c r="C791" s="21" t="str">
        <f aca="false">IF(B791="","",IFERROR(INDEX(代理店一覧!$B$5:$B$204,MATCH(B791,代理店一覧!$A$5:$A$204,0)),"※未登録のID"))</f>
        <v/>
      </c>
      <c r="D791" s="21"/>
      <c r="E791" s="21"/>
      <c r="F791" s="21"/>
      <c r="G791" s="18"/>
      <c r="H791" s="21"/>
      <c r="I791" s="26"/>
      <c r="J791" s="15"/>
      <c r="K791" s="27"/>
      <c r="L791" s="25" t="str">
        <f aca="false">IF(B791="","",B791&amp;"|"&amp;J791)</f>
        <v/>
      </c>
    </row>
    <row r="792" customFormat="false" ht="15" hidden="false" customHeight="false" outlineLevel="0" collapsed="false">
      <c r="A792" s="15"/>
      <c r="B792" s="21"/>
      <c r="C792" s="21" t="str">
        <f aca="false">IF(B792="","",IFERROR(INDEX(代理店一覧!$B$5:$B$204,MATCH(B792,代理店一覧!$A$5:$A$204,0)),"※未登録のID"))</f>
        <v/>
      </c>
      <c r="D792" s="21"/>
      <c r="E792" s="21"/>
      <c r="F792" s="21"/>
      <c r="G792" s="18"/>
      <c r="H792" s="21"/>
      <c r="I792" s="26"/>
      <c r="J792" s="15"/>
      <c r="K792" s="27"/>
      <c r="L792" s="25" t="str">
        <f aca="false">IF(B792="","",B792&amp;"|"&amp;J792)</f>
        <v/>
      </c>
    </row>
    <row r="793" customFormat="false" ht="15" hidden="false" customHeight="false" outlineLevel="0" collapsed="false">
      <c r="A793" s="15"/>
      <c r="B793" s="21"/>
      <c r="C793" s="21" t="str">
        <f aca="false">IF(B793="","",IFERROR(INDEX(代理店一覧!$B$5:$B$204,MATCH(B793,代理店一覧!$A$5:$A$204,0)),"※未登録のID"))</f>
        <v/>
      </c>
      <c r="D793" s="21"/>
      <c r="E793" s="21"/>
      <c r="F793" s="21"/>
      <c r="G793" s="18"/>
      <c r="H793" s="21"/>
      <c r="I793" s="26"/>
      <c r="J793" s="15"/>
      <c r="K793" s="27"/>
      <c r="L793" s="25" t="str">
        <f aca="false">IF(B793="","",B793&amp;"|"&amp;J793)</f>
        <v/>
      </c>
    </row>
    <row r="794" customFormat="false" ht="15" hidden="false" customHeight="false" outlineLevel="0" collapsed="false">
      <c r="A794" s="15"/>
      <c r="B794" s="21"/>
      <c r="C794" s="21" t="str">
        <f aca="false">IF(B794="","",IFERROR(INDEX(代理店一覧!$B$5:$B$204,MATCH(B794,代理店一覧!$A$5:$A$204,0)),"※未登録のID"))</f>
        <v/>
      </c>
      <c r="D794" s="21"/>
      <c r="E794" s="21"/>
      <c r="F794" s="21"/>
      <c r="G794" s="18"/>
      <c r="H794" s="21"/>
      <c r="I794" s="26"/>
      <c r="J794" s="15"/>
      <c r="K794" s="27"/>
      <c r="L794" s="25" t="str">
        <f aca="false">IF(B794="","",B794&amp;"|"&amp;J794)</f>
        <v/>
      </c>
    </row>
    <row r="795" customFormat="false" ht="15" hidden="false" customHeight="false" outlineLevel="0" collapsed="false">
      <c r="A795" s="15"/>
      <c r="B795" s="21"/>
      <c r="C795" s="21" t="str">
        <f aca="false">IF(B795="","",IFERROR(INDEX(代理店一覧!$B$5:$B$204,MATCH(B795,代理店一覧!$A$5:$A$204,0)),"※未登録のID"))</f>
        <v/>
      </c>
      <c r="D795" s="21"/>
      <c r="E795" s="21"/>
      <c r="F795" s="21"/>
      <c r="G795" s="18"/>
      <c r="H795" s="21"/>
      <c r="I795" s="26"/>
      <c r="J795" s="15"/>
      <c r="K795" s="27"/>
      <c r="L795" s="25" t="str">
        <f aca="false">IF(B795="","",B795&amp;"|"&amp;J795)</f>
        <v/>
      </c>
    </row>
    <row r="796" customFormat="false" ht="15" hidden="false" customHeight="false" outlineLevel="0" collapsed="false">
      <c r="A796" s="15"/>
      <c r="B796" s="21"/>
      <c r="C796" s="21" t="str">
        <f aca="false">IF(B796="","",IFERROR(INDEX(代理店一覧!$B$5:$B$204,MATCH(B796,代理店一覧!$A$5:$A$204,0)),"※未登録のID"))</f>
        <v/>
      </c>
      <c r="D796" s="21"/>
      <c r="E796" s="21"/>
      <c r="F796" s="21"/>
      <c r="G796" s="18"/>
      <c r="H796" s="21"/>
      <c r="I796" s="26"/>
      <c r="J796" s="15"/>
      <c r="K796" s="27"/>
      <c r="L796" s="25" t="str">
        <f aca="false">IF(B796="","",B796&amp;"|"&amp;J796)</f>
        <v/>
      </c>
    </row>
    <row r="797" customFormat="false" ht="15" hidden="false" customHeight="false" outlineLevel="0" collapsed="false">
      <c r="A797" s="15"/>
      <c r="B797" s="21"/>
      <c r="C797" s="21" t="str">
        <f aca="false">IF(B797="","",IFERROR(INDEX(代理店一覧!$B$5:$B$204,MATCH(B797,代理店一覧!$A$5:$A$204,0)),"※未登録のID"))</f>
        <v/>
      </c>
      <c r="D797" s="21"/>
      <c r="E797" s="21"/>
      <c r="F797" s="21"/>
      <c r="G797" s="18"/>
      <c r="H797" s="21"/>
      <c r="I797" s="26"/>
      <c r="J797" s="15"/>
      <c r="K797" s="27"/>
      <c r="L797" s="25" t="str">
        <f aca="false">IF(B797="","",B797&amp;"|"&amp;J797)</f>
        <v/>
      </c>
    </row>
    <row r="798" customFormat="false" ht="15" hidden="false" customHeight="false" outlineLevel="0" collapsed="false">
      <c r="A798" s="15"/>
      <c r="B798" s="21"/>
      <c r="C798" s="21" t="str">
        <f aca="false">IF(B798="","",IFERROR(INDEX(代理店一覧!$B$5:$B$204,MATCH(B798,代理店一覧!$A$5:$A$204,0)),"※未登録のID"))</f>
        <v/>
      </c>
      <c r="D798" s="21"/>
      <c r="E798" s="21"/>
      <c r="F798" s="21"/>
      <c r="G798" s="18"/>
      <c r="H798" s="21"/>
      <c r="I798" s="26"/>
      <c r="J798" s="15"/>
      <c r="K798" s="27"/>
      <c r="L798" s="25" t="str">
        <f aca="false">IF(B798="","",B798&amp;"|"&amp;J798)</f>
        <v/>
      </c>
    </row>
    <row r="799" customFormat="false" ht="15" hidden="false" customHeight="false" outlineLevel="0" collapsed="false">
      <c r="A799" s="15"/>
      <c r="B799" s="21"/>
      <c r="C799" s="21" t="str">
        <f aca="false">IF(B799="","",IFERROR(INDEX(代理店一覧!$B$5:$B$204,MATCH(B799,代理店一覧!$A$5:$A$204,0)),"※未登録のID"))</f>
        <v/>
      </c>
      <c r="D799" s="21"/>
      <c r="E799" s="21"/>
      <c r="F799" s="21"/>
      <c r="G799" s="18"/>
      <c r="H799" s="21"/>
      <c r="I799" s="26"/>
      <c r="J799" s="15"/>
      <c r="K799" s="27"/>
      <c r="L799" s="25" t="str">
        <f aca="false">IF(B799="","",B799&amp;"|"&amp;J799)</f>
        <v/>
      </c>
    </row>
    <row r="800" customFormat="false" ht="15" hidden="false" customHeight="false" outlineLevel="0" collapsed="false">
      <c r="A800" s="15"/>
      <c r="B800" s="21"/>
      <c r="C800" s="21" t="str">
        <f aca="false">IF(B800="","",IFERROR(INDEX(代理店一覧!$B$5:$B$204,MATCH(B800,代理店一覧!$A$5:$A$204,0)),"※未登録のID"))</f>
        <v/>
      </c>
      <c r="D800" s="21"/>
      <c r="E800" s="21"/>
      <c r="F800" s="21"/>
      <c r="G800" s="18"/>
      <c r="H800" s="21"/>
      <c r="I800" s="26"/>
      <c r="J800" s="15"/>
      <c r="K800" s="27"/>
      <c r="L800" s="25" t="str">
        <f aca="false">IF(B800="","",B800&amp;"|"&amp;J800)</f>
        <v/>
      </c>
    </row>
    <row r="801" customFormat="false" ht="15" hidden="false" customHeight="false" outlineLevel="0" collapsed="false">
      <c r="A801" s="15"/>
      <c r="B801" s="21"/>
      <c r="C801" s="21" t="str">
        <f aca="false">IF(B801="","",IFERROR(INDEX(代理店一覧!$B$5:$B$204,MATCH(B801,代理店一覧!$A$5:$A$204,0)),"※未登録のID"))</f>
        <v/>
      </c>
      <c r="D801" s="21"/>
      <c r="E801" s="21"/>
      <c r="F801" s="21"/>
      <c r="G801" s="18"/>
      <c r="H801" s="21"/>
      <c r="I801" s="26"/>
      <c r="J801" s="15"/>
      <c r="K801" s="27"/>
      <c r="L801" s="25" t="str">
        <f aca="false">IF(B801="","",B801&amp;"|"&amp;J801)</f>
        <v/>
      </c>
    </row>
    <row r="802" customFormat="false" ht="15" hidden="false" customHeight="false" outlineLevel="0" collapsed="false">
      <c r="A802" s="15"/>
      <c r="B802" s="21"/>
      <c r="C802" s="21" t="str">
        <f aca="false">IF(B802="","",IFERROR(INDEX(代理店一覧!$B$5:$B$204,MATCH(B802,代理店一覧!$A$5:$A$204,0)),"※未登録のID"))</f>
        <v/>
      </c>
      <c r="D802" s="21"/>
      <c r="E802" s="21"/>
      <c r="F802" s="21"/>
      <c r="G802" s="18"/>
      <c r="H802" s="21"/>
      <c r="I802" s="26"/>
      <c r="J802" s="15"/>
      <c r="K802" s="27"/>
      <c r="L802" s="25" t="str">
        <f aca="false">IF(B802="","",B802&amp;"|"&amp;J802)</f>
        <v/>
      </c>
    </row>
    <row r="803" customFormat="false" ht="15" hidden="false" customHeight="false" outlineLevel="0" collapsed="false">
      <c r="A803" s="15"/>
      <c r="B803" s="21"/>
      <c r="C803" s="21" t="str">
        <f aca="false">IF(B803="","",IFERROR(INDEX(代理店一覧!$B$5:$B$204,MATCH(B803,代理店一覧!$A$5:$A$204,0)),"※未登録のID"))</f>
        <v/>
      </c>
      <c r="D803" s="21"/>
      <c r="E803" s="21"/>
      <c r="F803" s="21"/>
      <c r="G803" s="18"/>
      <c r="H803" s="21"/>
      <c r="I803" s="26"/>
      <c r="J803" s="15"/>
      <c r="K803" s="27"/>
      <c r="L803" s="25" t="str">
        <f aca="false">IF(B803="","",B803&amp;"|"&amp;J803)</f>
        <v/>
      </c>
    </row>
    <row r="804" customFormat="false" ht="15" hidden="false" customHeight="false" outlineLevel="0" collapsed="false">
      <c r="A804" s="15"/>
      <c r="B804" s="21"/>
      <c r="C804" s="21" t="str">
        <f aca="false">IF(B804="","",IFERROR(INDEX(代理店一覧!$B$5:$B$204,MATCH(B804,代理店一覧!$A$5:$A$204,0)),"※未登録のID"))</f>
        <v/>
      </c>
      <c r="D804" s="21"/>
      <c r="E804" s="21"/>
      <c r="F804" s="21"/>
      <c r="G804" s="18"/>
      <c r="H804" s="21"/>
      <c r="I804" s="26"/>
      <c r="J804" s="15"/>
      <c r="K804" s="27"/>
      <c r="L804" s="25" t="str">
        <f aca="false">IF(B804="","",B804&amp;"|"&amp;J804)</f>
        <v/>
      </c>
    </row>
    <row r="805" customFormat="false" ht="15" hidden="false" customHeight="false" outlineLevel="0" collapsed="false">
      <c r="A805" s="15"/>
      <c r="B805" s="21"/>
      <c r="C805" s="21" t="str">
        <f aca="false">IF(B805="","",IFERROR(INDEX(代理店一覧!$B$5:$B$204,MATCH(B805,代理店一覧!$A$5:$A$204,0)),"※未登録のID"))</f>
        <v/>
      </c>
      <c r="D805" s="21"/>
      <c r="E805" s="21"/>
      <c r="F805" s="21"/>
      <c r="G805" s="18"/>
      <c r="H805" s="21"/>
      <c r="I805" s="26"/>
      <c r="J805" s="15"/>
      <c r="K805" s="27"/>
      <c r="L805" s="25" t="str">
        <f aca="false">IF(B805="","",B805&amp;"|"&amp;J805)</f>
        <v/>
      </c>
    </row>
    <row r="806" customFormat="false" ht="15" hidden="false" customHeight="false" outlineLevel="0" collapsed="false">
      <c r="A806" s="15"/>
      <c r="B806" s="21"/>
      <c r="C806" s="21" t="str">
        <f aca="false">IF(B806="","",IFERROR(INDEX(代理店一覧!$B$5:$B$204,MATCH(B806,代理店一覧!$A$5:$A$204,0)),"※未登録のID"))</f>
        <v/>
      </c>
      <c r="D806" s="21"/>
      <c r="E806" s="21"/>
      <c r="F806" s="21"/>
      <c r="G806" s="18"/>
      <c r="H806" s="21"/>
      <c r="I806" s="26"/>
      <c r="J806" s="15"/>
      <c r="K806" s="27"/>
      <c r="L806" s="25" t="str">
        <f aca="false">IF(B806="","",B806&amp;"|"&amp;J806)</f>
        <v/>
      </c>
    </row>
    <row r="807" customFormat="false" ht="15" hidden="false" customHeight="false" outlineLevel="0" collapsed="false">
      <c r="A807" s="15"/>
      <c r="B807" s="21"/>
      <c r="C807" s="21" t="str">
        <f aca="false">IF(B807="","",IFERROR(INDEX(代理店一覧!$B$5:$B$204,MATCH(B807,代理店一覧!$A$5:$A$204,0)),"※未登録のID"))</f>
        <v/>
      </c>
      <c r="D807" s="21"/>
      <c r="E807" s="21"/>
      <c r="F807" s="21"/>
      <c r="G807" s="18"/>
      <c r="H807" s="21"/>
      <c r="I807" s="26"/>
      <c r="J807" s="15"/>
      <c r="K807" s="27"/>
      <c r="L807" s="25" t="str">
        <f aca="false">IF(B807="","",B807&amp;"|"&amp;J807)</f>
        <v/>
      </c>
    </row>
    <row r="808" customFormat="false" ht="15" hidden="false" customHeight="false" outlineLevel="0" collapsed="false">
      <c r="A808" s="15"/>
      <c r="B808" s="21"/>
      <c r="C808" s="21" t="str">
        <f aca="false">IF(B808="","",IFERROR(INDEX(代理店一覧!$B$5:$B$204,MATCH(B808,代理店一覧!$A$5:$A$204,0)),"※未登録のID"))</f>
        <v/>
      </c>
      <c r="D808" s="21"/>
      <c r="E808" s="21"/>
      <c r="F808" s="21"/>
      <c r="G808" s="18"/>
      <c r="H808" s="21"/>
      <c r="I808" s="26"/>
      <c r="J808" s="15"/>
      <c r="K808" s="27"/>
      <c r="L808" s="25" t="str">
        <f aca="false">IF(B808="","",B808&amp;"|"&amp;J808)</f>
        <v/>
      </c>
    </row>
    <row r="809" customFormat="false" ht="15" hidden="false" customHeight="false" outlineLevel="0" collapsed="false">
      <c r="A809" s="15"/>
      <c r="B809" s="21"/>
      <c r="C809" s="21" t="str">
        <f aca="false">IF(B809="","",IFERROR(INDEX(代理店一覧!$B$5:$B$204,MATCH(B809,代理店一覧!$A$5:$A$204,0)),"※未登録のID"))</f>
        <v/>
      </c>
      <c r="D809" s="21"/>
      <c r="E809" s="21"/>
      <c r="F809" s="21"/>
      <c r="G809" s="18"/>
      <c r="H809" s="21"/>
      <c r="I809" s="26"/>
      <c r="J809" s="15"/>
      <c r="K809" s="27"/>
      <c r="L809" s="25" t="str">
        <f aca="false">IF(B809="","",B809&amp;"|"&amp;J809)</f>
        <v/>
      </c>
    </row>
    <row r="810" customFormat="false" ht="15" hidden="false" customHeight="false" outlineLevel="0" collapsed="false">
      <c r="A810" s="15"/>
      <c r="B810" s="21"/>
      <c r="C810" s="21" t="str">
        <f aca="false">IF(B810="","",IFERROR(INDEX(代理店一覧!$B$5:$B$204,MATCH(B810,代理店一覧!$A$5:$A$204,0)),"※未登録のID"))</f>
        <v/>
      </c>
      <c r="D810" s="21"/>
      <c r="E810" s="21"/>
      <c r="F810" s="21"/>
      <c r="G810" s="18"/>
      <c r="H810" s="21"/>
      <c r="I810" s="26"/>
      <c r="J810" s="15"/>
      <c r="K810" s="27"/>
      <c r="L810" s="25" t="str">
        <f aca="false">IF(B810="","",B810&amp;"|"&amp;J810)</f>
        <v/>
      </c>
    </row>
    <row r="811" customFormat="false" ht="15" hidden="false" customHeight="false" outlineLevel="0" collapsed="false">
      <c r="A811" s="15"/>
      <c r="B811" s="21"/>
      <c r="C811" s="21" t="str">
        <f aca="false">IF(B811="","",IFERROR(INDEX(代理店一覧!$B$5:$B$204,MATCH(B811,代理店一覧!$A$5:$A$204,0)),"※未登録のID"))</f>
        <v/>
      </c>
      <c r="D811" s="21"/>
      <c r="E811" s="21"/>
      <c r="F811" s="21"/>
      <c r="G811" s="18"/>
      <c r="H811" s="21"/>
      <c r="I811" s="26"/>
      <c r="J811" s="15"/>
      <c r="K811" s="27"/>
      <c r="L811" s="25" t="str">
        <f aca="false">IF(B811="","",B811&amp;"|"&amp;J811)</f>
        <v/>
      </c>
    </row>
    <row r="812" customFormat="false" ht="15" hidden="false" customHeight="false" outlineLevel="0" collapsed="false">
      <c r="A812" s="15"/>
      <c r="B812" s="21"/>
      <c r="C812" s="21" t="str">
        <f aca="false">IF(B812="","",IFERROR(INDEX(代理店一覧!$B$5:$B$204,MATCH(B812,代理店一覧!$A$5:$A$204,0)),"※未登録のID"))</f>
        <v/>
      </c>
      <c r="D812" s="21"/>
      <c r="E812" s="21"/>
      <c r="F812" s="21"/>
      <c r="G812" s="18"/>
      <c r="H812" s="21"/>
      <c r="I812" s="26"/>
      <c r="J812" s="15"/>
      <c r="K812" s="27"/>
      <c r="L812" s="25" t="str">
        <f aca="false">IF(B812="","",B812&amp;"|"&amp;J812)</f>
        <v/>
      </c>
    </row>
    <row r="813" customFormat="false" ht="15" hidden="false" customHeight="false" outlineLevel="0" collapsed="false">
      <c r="A813" s="15"/>
      <c r="B813" s="21"/>
      <c r="C813" s="21" t="str">
        <f aca="false">IF(B813="","",IFERROR(INDEX(代理店一覧!$B$5:$B$204,MATCH(B813,代理店一覧!$A$5:$A$204,0)),"※未登録のID"))</f>
        <v/>
      </c>
      <c r="D813" s="21"/>
      <c r="E813" s="21"/>
      <c r="F813" s="21"/>
      <c r="G813" s="18"/>
      <c r="H813" s="21"/>
      <c r="I813" s="26"/>
      <c r="J813" s="15"/>
      <c r="K813" s="27"/>
      <c r="L813" s="25" t="str">
        <f aca="false">IF(B813="","",B813&amp;"|"&amp;J813)</f>
        <v/>
      </c>
    </row>
    <row r="814" customFormat="false" ht="15" hidden="false" customHeight="false" outlineLevel="0" collapsed="false">
      <c r="A814" s="15"/>
      <c r="B814" s="21"/>
      <c r="C814" s="21" t="str">
        <f aca="false">IF(B814="","",IFERROR(INDEX(代理店一覧!$B$5:$B$204,MATCH(B814,代理店一覧!$A$5:$A$204,0)),"※未登録のID"))</f>
        <v/>
      </c>
      <c r="D814" s="21"/>
      <c r="E814" s="21"/>
      <c r="F814" s="21"/>
      <c r="G814" s="18"/>
      <c r="H814" s="21"/>
      <c r="I814" s="26"/>
      <c r="J814" s="15"/>
      <c r="K814" s="27"/>
      <c r="L814" s="25" t="str">
        <f aca="false">IF(B814="","",B814&amp;"|"&amp;J814)</f>
        <v/>
      </c>
    </row>
    <row r="815" customFormat="false" ht="15" hidden="false" customHeight="false" outlineLevel="0" collapsed="false">
      <c r="A815" s="15"/>
      <c r="B815" s="21"/>
      <c r="C815" s="21" t="str">
        <f aca="false">IF(B815="","",IFERROR(INDEX(代理店一覧!$B$5:$B$204,MATCH(B815,代理店一覧!$A$5:$A$204,0)),"※未登録のID"))</f>
        <v/>
      </c>
      <c r="D815" s="21"/>
      <c r="E815" s="21"/>
      <c r="F815" s="21"/>
      <c r="G815" s="18"/>
      <c r="H815" s="21"/>
      <c r="I815" s="26"/>
      <c r="J815" s="15"/>
      <c r="K815" s="27"/>
      <c r="L815" s="25" t="str">
        <f aca="false">IF(B815="","",B815&amp;"|"&amp;J815)</f>
        <v/>
      </c>
    </row>
    <row r="816" customFormat="false" ht="15" hidden="false" customHeight="false" outlineLevel="0" collapsed="false">
      <c r="A816" s="15"/>
      <c r="B816" s="21"/>
      <c r="C816" s="21" t="str">
        <f aca="false">IF(B816="","",IFERROR(INDEX(代理店一覧!$B$5:$B$204,MATCH(B816,代理店一覧!$A$5:$A$204,0)),"※未登録のID"))</f>
        <v/>
      </c>
      <c r="D816" s="21"/>
      <c r="E816" s="21"/>
      <c r="F816" s="21"/>
      <c r="G816" s="18"/>
      <c r="H816" s="21"/>
      <c r="I816" s="26"/>
      <c r="J816" s="15"/>
      <c r="K816" s="27"/>
      <c r="L816" s="25" t="str">
        <f aca="false">IF(B816="","",B816&amp;"|"&amp;J816)</f>
        <v/>
      </c>
    </row>
    <row r="817" customFormat="false" ht="15" hidden="false" customHeight="false" outlineLevel="0" collapsed="false">
      <c r="A817" s="15"/>
      <c r="B817" s="21"/>
      <c r="C817" s="21" t="str">
        <f aca="false">IF(B817="","",IFERROR(INDEX(代理店一覧!$B$5:$B$204,MATCH(B817,代理店一覧!$A$5:$A$204,0)),"※未登録のID"))</f>
        <v/>
      </c>
      <c r="D817" s="21"/>
      <c r="E817" s="21"/>
      <c r="F817" s="21"/>
      <c r="G817" s="18"/>
      <c r="H817" s="21"/>
      <c r="I817" s="26"/>
      <c r="J817" s="15"/>
      <c r="K817" s="27"/>
      <c r="L817" s="25" t="str">
        <f aca="false">IF(B817="","",B817&amp;"|"&amp;J817)</f>
        <v/>
      </c>
    </row>
    <row r="818" customFormat="false" ht="15" hidden="false" customHeight="false" outlineLevel="0" collapsed="false">
      <c r="A818" s="15"/>
      <c r="B818" s="21"/>
      <c r="C818" s="21" t="str">
        <f aca="false">IF(B818="","",IFERROR(INDEX(代理店一覧!$B$5:$B$204,MATCH(B818,代理店一覧!$A$5:$A$204,0)),"※未登録のID"))</f>
        <v/>
      </c>
      <c r="D818" s="21"/>
      <c r="E818" s="21"/>
      <c r="F818" s="21"/>
      <c r="G818" s="18"/>
      <c r="H818" s="21"/>
      <c r="I818" s="26"/>
      <c r="J818" s="15"/>
      <c r="K818" s="27"/>
      <c r="L818" s="25" t="str">
        <f aca="false">IF(B818="","",B818&amp;"|"&amp;J818)</f>
        <v/>
      </c>
    </row>
    <row r="819" customFormat="false" ht="15" hidden="false" customHeight="false" outlineLevel="0" collapsed="false">
      <c r="A819" s="15"/>
      <c r="B819" s="21"/>
      <c r="C819" s="21" t="str">
        <f aca="false">IF(B819="","",IFERROR(INDEX(代理店一覧!$B$5:$B$204,MATCH(B819,代理店一覧!$A$5:$A$204,0)),"※未登録のID"))</f>
        <v/>
      </c>
      <c r="D819" s="21"/>
      <c r="E819" s="21"/>
      <c r="F819" s="21"/>
      <c r="G819" s="18"/>
      <c r="H819" s="21"/>
      <c r="I819" s="26"/>
      <c r="J819" s="15"/>
      <c r="K819" s="27"/>
      <c r="L819" s="25" t="str">
        <f aca="false">IF(B819="","",B819&amp;"|"&amp;J819)</f>
        <v/>
      </c>
    </row>
    <row r="820" customFormat="false" ht="15" hidden="false" customHeight="false" outlineLevel="0" collapsed="false">
      <c r="A820" s="15"/>
      <c r="B820" s="21"/>
      <c r="C820" s="21" t="str">
        <f aca="false">IF(B820="","",IFERROR(INDEX(代理店一覧!$B$5:$B$204,MATCH(B820,代理店一覧!$A$5:$A$204,0)),"※未登録のID"))</f>
        <v/>
      </c>
      <c r="D820" s="21"/>
      <c r="E820" s="21"/>
      <c r="F820" s="21"/>
      <c r="G820" s="18"/>
      <c r="H820" s="21"/>
      <c r="I820" s="26"/>
      <c r="J820" s="15"/>
      <c r="K820" s="27"/>
      <c r="L820" s="25" t="str">
        <f aca="false">IF(B820="","",B820&amp;"|"&amp;J820)</f>
        <v/>
      </c>
    </row>
    <row r="821" customFormat="false" ht="15" hidden="false" customHeight="false" outlineLevel="0" collapsed="false">
      <c r="A821" s="15"/>
      <c r="B821" s="21"/>
      <c r="C821" s="21" t="str">
        <f aca="false">IF(B821="","",IFERROR(INDEX(代理店一覧!$B$5:$B$204,MATCH(B821,代理店一覧!$A$5:$A$204,0)),"※未登録のID"))</f>
        <v/>
      </c>
      <c r="D821" s="21"/>
      <c r="E821" s="21"/>
      <c r="F821" s="21"/>
      <c r="G821" s="18"/>
      <c r="H821" s="21"/>
      <c r="I821" s="26"/>
      <c r="J821" s="15"/>
      <c r="K821" s="27"/>
      <c r="L821" s="25" t="str">
        <f aca="false">IF(B821="","",B821&amp;"|"&amp;J821)</f>
        <v/>
      </c>
    </row>
    <row r="822" customFormat="false" ht="15" hidden="false" customHeight="false" outlineLevel="0" collapsed="false">
      <c r="A822" s="15"/>
      <c r="B822" s="21"/>
      <c r="C822" s="21" t="str">
        <f aca="false">IF(B822="","",IFERROR(INDEX(代理店一覧!$B$5:$B$204,MATCH(B822,代理店一覧!$A$5:$A$204,0)),"※未登録のID"))</f>
        <v/>
      </c>
      <c r="D822" s="21"/>
      <c r="E822" s="21"/>
      <c r="F822" s="21"/>
      <c r="G822" s="18"/>
      <c r="H822" s="21"/>
      <c r="I822" s="26"/>
      <c r="J822" s="15"/>
      <c r="K822" s="27"/>
      <c r="L822" s="25" t="str">
        <f aca="false">IF(B822="","",B822&amp;"|"&amp;J822)</f>
        <v/>
      </c>
    </row>
    <row r="823" customFormat="false" ht="15" hidden="false" customHeight="false" outlineLevel="0" collapsed="false">
      <c r="A823" s="15"/>
      <c r="B823" s="21"/>
      <c r="C823" s="21" t="str">
        <f aca="false">IF(B823="","",IFERROR(INDEX(代理店一覧!$B$5:$B$204,MATCH(B823,代理店一覧!$A$5:$A$204,0)),"※未登録のID"))</f>
        <v/>
      </c>
      <c r="D823" s="21"/>
      <c r="E823" s="21"/>
      <c r="F823" s="21"/>
      <c r="G823" s="18"/>
      <c r="H823" s="21"/>
      <c r="I823" s="26"/>
      <c r="J823" s="15"/>
      <c r="K823" s="27"/>
      <c r="L823" s="25" t="str">
        <f aca="false">IF(B823="","",B823&amp;"|"&amp;J823)</f>
        <v/>
      </c>
    </row>
    <row r="824" customFormat="false" ht="15" hidden="false" customHeight="false" outlineLevel="0" collapsed="false">
      <c r="A824" s="15"/>
      <c r="B824" s="21"/>
      <c r="C824" s="21" t="str">
        <f aca="false">IF(B824="","",IFERROR(INDEX(代理店一覧!$B$5:$B$204,MATCH(B824,代理店一覧!$A$5:$A$204,0)),"※未登録のID"))</f>
        <v/>
      </c>
      <c r="D824" s="21"/>
      <c r="E824" s="21"/>
      <c r="F824" s="21"/>
      <c r="G824" s="18"/>
      <c r="H824" s="21"/>
      <c r="I824" s="26"/>
      <c r="J824" s="15"/>
      <c r="K824" s="27"/>
      <c r="L824" s="25" t="str">
        <f aca="false">IF(B824="","",B824&amp;"|"&amp;J824)</f>
        <v/>
      </c>
    </row>
    <row r="825" customFormat="false" ht="15" hidden="false" customHeight="false" outlineLevel="0" collapsed="false">
      <c r="A825" s="15"/>
      <c r="B825" s="21"/>
      <c r="C825" s="21" t="str">
        <f aca="false">IF(B825="","",IFERROR(INDEX(代理店一覧!$B$5:$B$204,MATCH(B825,代理店一覧!$A$5:$A$204,0)),"※未登録のID"))</f>
        <v/>
      </c>
      <c r="D825" s="21"/>
      <c r="E825" s="21"/>
      <c r="F825" s="21"/>
      <c r="G825" s="18"/>
      <c r="H825" s="21"/>
      <c r="I825" s="26"/>
      <c r="J825" s="15"/>
      <c r="K825" s="27"/>
      <c r="L825" s="25" t="str">
        <f aca="false">IF(B825="","",B825&amp;"|"&amp;J825)</f>
        <v/>
      </c>
    </row>
    <row r="826" customFormat="false" ht="15" hidden="false" customHeight="false" outlineLevel="0" collapsed="false">
      <c r="A826" s="15"/>
      <c r="B826" s="21"/>
      <c r="C826" s="21" t="str">
        <f aca="false">IF(B826="","",IFERROR(INDEX(代理店一覧!$B$5:$B$204,MATCH(B826,代理店一覧!$A$5:$A$204,0)),"※未登録のID"))</f>
        <v/>
      </c>
      <c r="D826" s="21"/>
      <c r="E826" s="21"/>
      <c r="F826" s="21"/>
      <c r="G826" s="18"/>
      <c r="H826" s="21"/>
      <c r="I826" s="26"/>
      <c r="J826" s="15"/>
      <c r="K826" s="27"/>
      <c r="L826" s="25" t="str">
        <f aca="false">IF(B826="","",B826&amp;"|"&amp;J826)</f>
        <v/>
      </c>
    </row>
    <row r="827" customFormat="false" ht="15" hidden="false" customHeight="false" outlineLevel="0" collapsed="false">
      <c r="A827" s="15"/>
      <c r="B827" s="21"/>
      <c r="C827" s="21" t="str">
        <f aca="false">IF(B827="","",IFERROR(INDEX(代理店一覧!$B$5:$B$204,MATCH(B827,代理店一覧!$A$5:$A$204,0)),"※未登録のID"))</f>
        <v/>
      </c>
      <c r="D827" s="21"/>
      <c r="E827" s="21"/>
      <c r="F827" s="21"/>
      <c r="G827" s="18"/>
      <c r="H827" s="21"/>
      <c r="I827" s="26"/>
      <c r="J827" s="15"/>
      <c r="K827" s="27"/>
      <c r="L827" s="25" t="str">
        <f aca="false">IF(B827="","",B827&amp;"|"&amp;J827)</f>
        <v/>
      </c>
    </row>
    <row r="828" customFormat="false" ht="15" hidden="false" customHeight="false" outlineLevel="0" collapsed="false">
      <c r="A828" s="15"/>
      <c r="B828" s="21"/>
      <c r="C828" s="21" t="str">
        <f aca="false">IF(B828="","",IFERROR(INDEX(代理店一覧!$B$5:$B$204,MATCH(B828,代理店一覧!$A$5:$A$204,0)),"※未登録のID"))</f>
        <v/>
      </c>
      <c r="D828" s="21"/>
      <c r="E828" s="21"/>
      <c r="F828" s="21"/>
      <c r="G828" s="18"/>
      <c r="H828" s="21"/>
      <c r="I828" s="26"/>
      <c r="J828" s="15"/>
      <c r="K828" s="27"/>
      <c r="L828" s="25" t="str">
        <f aca="false">IF(B828="","",B828&amp;"|"&amp;J828)</f>
        <v/>
      </c>
    </row>
    <row r="829" customFormat="false" ht="15" hidden="false" customHeight="false" outlineLevel="0" collapsed="false">
      <c r="A829" s="15"/>
      <c r="B829" s="21"/>
      <c r="C829" s="21" t="str">
        <f aca="false">IF(B829="","",IFERROR(INDEX(代理店一覧!$B$5:$B$204,MATCH(B829,代理店一覧!$A$5:$A$204,0)),"※未登録のID"))</f>
        <v/>
      </c>
      <c r="D829" s="21"/>
      <c r="E829" s="21"/>
      <c r="F829" s="21"/>
      <c r="G829" s="18"/>
      <c r="H829" s="21"/>
      <c r="I829" s="26"/>
      <c r="J829" s="15"/>
      <c r="K829" s="27"/>
      <c r="L829" s="25" t="str">
        <f aca="false">IF(B829="","",B829&amp;"|"&amp;J829)</f>
        <v/>
      </c>
    </row>
    <row r="830" customFormat="false" ht="15" hidden="false" customHeight="false" outlineLevel="0" collapsed="false">
      <c r="A830" s="15"/>
      <c r="B830" s="21"/>
      <c r="C830" s="21" t="str">
        <f aca="false">IF(B830="","",IFERROR(INDEX(代理店一覧!$B$5:$B$204,MATCH(B830,代理店一覧!$A$5:$A$204,0)),"※未登録のID"))</f>
        <v/>
      </c>
      <c r="D830" s="21"/>
      <c r="E830" s="21"/>
      <c r="F830" s="21"/>
      <c r="G830" s="18"/>
      <c r="H830" s="21"/>
      <c r="I830" s="26"/>
      <c r="J830" s="15"/>
      <c r="K830" s="27"/>
      <c r="L830" s="25" t="str">
        <f aca="false">IF(B830="","",B830&amp;"|"&amp;J830)</f>
        <v/>
      </c>
    </row>
    <row r="831" customFormat="false" ht="15" hidden="false" customHeight="false" outlineLevel="0" collapsed="false">
      <c r="A831" s="15"/>
      <c r="B831" s="21"/>
      <c r="C831" s="21" t="str">
        <f aca="false">IF(B831="","",IFERROR(INDEX(代理店一覧!$B$5:$B$204,MATCH(B831,代理店一覧!$A$5:$A$204,0)),"※未登録のID"))</f>
        <v/>
      </c>
      <c r="D831" s="21"/>
      <c r="E831" s="21"/>
      <c r="F831" s="21"/>
      <c r="G831" s="18"/>
      <c r="H831" s="21"/>
      <c r="I831" s="26"/>
      <c r="J831" s="15"/>
      <c r="K831" s="27"/>
      <c r="L831" s="25" t="str">
        <f aca="false">IF(B831="","",B831&amp;"|"&amp;J831)</f>
        <v/>
      </c>
    </row>
    <row r="832" customFormat="false" ht="15" hidden="false" customHeight="false" outlineLevel="0" collapsed="false">
      <c r="A832" s="15"/>
      <c r="B832" s="21"/>
      <c r="C832" s="21" t="str">
        <f aca="false">IF(B832="","",IFERROR(INDEX(代理店一覧!$B$5:$B$204,MATCH(B832,代理店一覧!$A$5:$A$204,0)),"※未登録のID"))</f>
        <v/>
      </c>
      <c r="D832" s="21"/>
      <c r="E832" s="21"/>
      <c r="F832" s="21"/>
      <c r="G832" s="18"/>
      <c r="H832" s="21"/>
      <c r="I832" s="26"/>
      <c r="J832" s="15"/>
      <c r="K832" s="27"/>
      <c r="L832" s="25" t="str">
        <f aca="false">IF(B832="","",B832&amp;"|"&amp;J832)</f>
        <v/>
      </c>
    </row>
    <row r="833" customFormat="false" ht="15" hidden="false" customHeight="false" outlineLevel="0" collapsed="false">
      <c r="A833" s="15"/>
      <c r="B833" s="21"/>
      <c r="C833" s="21" t="str">
        <f aca="false">IF(B833="","",IFERROR(INDEX(代理店一覧!$B$5:$B$204,MATCH(B833,代理店一覧!$A$5:$A$204,0)),"※未登録のID"))</f>
        <v/>
      </c>
      <c r="D833" s="21"/>
      <c r="E833" s="21"/>
      <c r="F833" s="21"/>
      <c r="G833" s="18"/>
      <c r="H833" s="21"/>
      <c r="I833" s="26"/>
      <c r="J833" s="15"/>
      <c r="K833" s="27"/>
      <c r="L833" s="25" t="str">
        <f aca="false">IF(B833="","",B833&amp;"|"&amp;J833)</f>
        <v/>
      </c>
    </row>
    <row r="834" customFormat="false" ht="15" hidden="false" customHeight="false" outlineLevel="0" collapsed="false">
      <c r="A834" s="15"/>
      <c r="B834" s="21"/>
      <c r="C834" s="21" t="str">
        <f aca="false">IF(B834="","",IFERROR(INDEX(代理店一覧!$B$5:$B$204,MATCH(B834,代理店一覧!$A$5:$A$204,0)),"※未登録のID"))</f>
        <v/>
      </c>
      <c r="D834" s="21"/>
      <c r="E834" s="21"/>
      <c r="F834" s="21"/>
      <c r="G834" s="18"/>
      <c r="H834" s="21"/>
      <c r="I834" s="26"/>
      <c r="J834" s="15"/>
      <c r="K834" s="27"/>
      <c r="L834" s="25" t="str">
        <f aca="false">IF(B834="","",B834&amp;"|"&amp;J834)</f>
        <v/>
      </c>
    </row>
    <row r="835" customFormat="false" ht="15" hidden="false" customHeight="false" outlineLevel="0" collapsed="false">
      <c r="A835" s="15"/>
      <c r="B835" s="21"/>
      <c r="C835" s="21" t="str">
        <f aca="false">IF(B835="","",IFERROR(INDEX(代理店一覧!$B$5:$B$204,MATCH(B835,代理店一覧!$A$5:$A$204,0)),"※未登録のID"))</f>
        <v/>
      </c>
      <c r="D835" s="21"/>
      <c r="E835" s="21"/>
      <c r="F835" s="21"/>
      <c r="G835" s="18"/>
      <c r="H835" s="21"/>
      <c r="I835" s="26"/>
      <c r="J835" s="15"/>
      <c r="K835" s="27"/>
      <c r="L835" s="25" t="str">
        <f aca="false">IF(B835="","",B835&amp;"|"&amp;J835)</f>
        <v/>
      </c>
    </row>
    <row r="836" customFormat="false" ht="15" hidden="false" customHeight="false" outlineLevel="0" collapsed="false">
      <c r="A836" s="15"/>
      <c r="B836" s="21"/>
      <c r="C836" s="21" t="str">
        <f aca="false">IF(B836="","",IFERROR(INDEX(代理店一覧!$B$5:$B$204,MATCH(B836,代理店一覧!$A$5:$A$204,0)),"※未登録のID"))</f>
        <v/>
      </c>
      <c r="D836" s="21"/>
      <c r="E836" s="21"/>
      <c r="F836" s="21"/>
      <c r="G836" s="18"/>
      <c r="H836" s="21"/>
      <c r="I836" s="26"/>
      <c r="J836" s="15"/>
      <c r="K836" s="27"/>
      <c r="L836" s="25" t="str">
        <f aca="false">IF(B836="","",B836&amp;"|"&amp;J836)</f>
        <v/>
      </c>
    </row>
    <row r="837" customFormat="false" ht="15" hidden="false" customHeight="false" outlineLevel="0" collapsed="false">
      <c r="A837" s="15"/>
      <c r="B837" s="21"/>
      <c r="C837" s="21" t="str">
        <f aca="false">IF(B837="","",IFERROR(INDEX(代理店一覧!$B$5:$B$204,MATCH(B837,代理店一覧!$A$5:$A$204,0)),"※未登録のID"))</f>
        <v/>
      </c>
      <c r="D837" s="21"/>
      <c r="E837" s="21"/>
      <c r="F837" s="21"/>
      <c r="G837" s="18"/>
      <c r="H837" s="21"/>
      <c r="I837" s="26"/>
      <c r="J837" s="15"/>
      <c r="K837" s="27"/>
      <c r="L837" s="25" t="str">
        <f aca="false">IF(B837="","",B837&amp;"|"&amp;J837)</f>
        <v/>
      </c>
    </row>
    <row r="838" customFormat="false" ht="15" hidden="false" customHeight="false" outlineLevel="0" collapsed="false">
      <c r="A838" s="15"/>
      <c r="B838" s="21"/>
      <c r="C838" s="21" t="str">
        <f aca="false">IF(B838="","",IFERROR(INDEX(代理店一覧!$B$5:$B$204,MATCH(B838,代理店一覧!$A$5:$A$204,0)),"※未登録のID"))</f>
        <v/>
      </c>
      <c r="D838" s="21"/>
      <c r="E838" s="21"/>
      <c r="F838" s="21"/>
      <c r="G838" s="18"/>
      <c r="H838" s="21"/>
      <c r="I838" s="26"/>
      <c r="J838" s="15"/>
      <c r="K838" s="27"/>
      <c r="L838" s="25" t="str">
        <f aca="false">IF(B838="","",B838&amp;"|"&amp;J838)</f>
        <v/>
      </c>
    </row>
    <row r="839" customFormat="false" ht="15" hidden="false" customHeight="false" outlineLevel="0" collapsed="false">
      <c r="A839" s="15"/>
      <c r="B839" s="21"/>
      <c r="C839" s="21" t="str">
        <f aca="false">IF(B839="","",IFERROR(INDEX(代理店一覧!$B$5:$B$204,MATCH(B839,代理店一覧!$A$5:$A$204,0)),"※未登録のID"))</f>
        <v/>
      </c>
      <c r="D839" s="21"/>
      <c r="E839" s="21"/>
      <c r="F839" s="21"/>
      <c r="G839" s="18"/>
      <c r="H839" s="21"/>
      <c r="I839" s="26"/>
      <c r="J839" s="15"/>
      <c r="K839" s="27"/>
      <c r="L839" s="25" t="str">
        <f aca="false">IF(B839="","",B839&amp;"|"&amp;J839)</f>
        <v/>
      </c>
    </row>
    <row r="840" customFormat="false" ht="15" hidden="false" customHeight="false" outlineLevel="0" collapsed="false">
      <c r="A840" s="15"/>
      <c r="B840" s="21"/>
      <c r="C840" s="21" t="str">
        <f aca="false">IF(B840="","",IFERROR(INDEX(代理店一覧!$B$5:$B$204,MATCH(B840,代理店一覧!$A$5:$A$204,0)),"※未登録のID"))</f>
        <v/>
      </c>
      <c r="D840" s="21"/>
      <c r="E840" s="21"/>
      <c r="F840" s="21"/>
      <c r="G840" s="18"/>
      <c r="H840" s="21"/>
      <c r="I840" s="26"/>
      <c r="J840" s="15"/>
      <c r="K840" s="27"/>
      <c r="L840" s="25" t="str">
        <f aca="false">IF(B840="","",B840&amp;"|"&amp;J840)</f>
        <v/>
      </c>
    </row>
    <row r="841" customFormat="false" ht="15" hidden="false" customHeight="false" outlineLevel="0" collapsed="false">
      <c r="A841" s="15"/>
      <c r="B841" s="21"/>
      <c r="C841" s="21" t="str">
        <f aca="false">IF(B841="","",IFERROR(INDEX(代理店一覧!$B$5:$B$204,MATCH(B841,代理店一覧!$A$5:$A$204,0)),"※未登録のID"))</f>
        <v/>
      </c>
      <c r="D841" s="21"/>
      <c r="E841" s="21"/>
      <c r="F841" s="21"/>
      <c r="G841" s="18"/>
      <c r="H841" s="21"/>
      <c r="I841" s="26"/>
      <c r="J841" s="15"/>
      <c r="K841" s="27"/>
      <c r="L841" s="25" t="str">
        <f aca="false">IF(B841="","",B841&amp;"|"&amp;J841)</f>
        <v/>
      </c>
    </row>
    <row r="842" customFormat="false" ht="15" hidden="false" customHeight="false" outlineLevel="0" collapsed="false">
      <c r="A842" s="15"/>
      <c r="B842" s="21"/>
      <c r="C842" s="21" t="str">
        <f aca="false">IF(B842="","",IFERROR(INDEX(代理店一覧!$B$5:$B$204,MATCH(B842,代理店一覧!$A$5:$A$204,0)),"※未登録のID"))</f>
        <v/>
      </c>
      <c r="D842" s="21"/>
      <c r="E842" s="21"/>
      <c r="F842" s="21"/>
      <c r="G842" s="18"/>
      <c r="H842" s="21"/>
      <c r="I842" s="26"/>
      <c r="J842" s="15"/>
      <c r="K842" s="27"/>
      <c r="L842" s="25" t="str">
        <f aca="false">IF(B842="","",B842&amp;"|"&amp;J842)</f>
        <v/>
      </c>
    </row>
    <row r="843" customFormat="false" ht="15" hidden="false" customHeight="false" outlineLevel="0" collapsed="false">
      <c r="A843" s="15"/>
      <c r="B843" s="21"/>
      <c r="C843" s="21" t="str">
        <f aca="false">IF(B843="","",IFERROR(INDEX(代理店一覧!$B$5:$B$204,MATCH(B843,代理店一覧!$A$5:$A$204,0)),"※未登録のID"))</f>
        <v/>
      </c>
      <c r="D843" s="21"/>
      <c r="E843" s="21"/>
      <c r="F843" s="21"/>
      <c r="G843" s="18"/>
      <c r="H843" s="21"/>
      <c r="I843" s="26"/>
      <c r="J843" s="15"/>
      <c r="K843" s="27"/>
      <c r="L843" s="25" t="str">
        <f aca="false">IF(B843="","",B843&amp;"|"&amp;J843)</f>
        <v/>
      </c>
    </row>
    <row r="844" customFormat="false" ht="15" hidden="false" customHeight="false" outlineLevel="0" collapsed="false">
      <c r="A844" s="15"/>
      <c r="B844" s="21"/>
      <c r="C844" s="21" t="str">
        <f aca="false">IF(B844="","",IFERROR(INDEX(代理店一覧!$B$5:$B$204,MATCH(B844,代理店一覧!$A$5:$A$204,0)),"※未登録のID"))</f>
        <v/>
      </c>
      <c r="D844" s="21"/>
      <c r="E844" s="21"/>
      <c r="F844" s="21"/>
      <c r="G844" s="18"/>
      <c r="H844" s="21"/>
      <c r="I844" s="26"/>
      <c r="J844" s="15"/>
      <c r="K844" s="27"/>
      <c r="L844" s="25" t="str">
        <f aca="false">IF(B844="","",B844&amp;"|"&amp;J844)</f>
        <v/>
      </c>
    </row>
    <row r="845" customFormat="false" ht="15" hidden="false" customHeight="false" outlineLevel="0" collapsed="false">
      <c r="A845" s="15"/>
      <c r="B845" s="21"/>
      <c r="C845" s="21" t="str">
        <f aca="false">IF(B845="","",IFERROR(INDEX(代理店一覧!$B$5:$B$204,MATCH(B845,代理店一覧!$A$5:$A$204,0)),"※未登録のID"))</f>
        <v/>
      </c>
      <c r="D845" s="21"/>
      <c r="E845" s="21"/>
      <c r="F845" s="21"/>
      <c r="G845" s="18"/>
      <c r="H845" s="21"/>
      <c r="I845" s="26"/>
      <c r="J845" s="15"/>
      <c r="K845" s="27"/>
      <c r="L845" s="25" t="str">
        <f aca="false">IF(B845="","",B845&amp;"|"&amp;J845)</f>
        <v/>
      </c>
    </row>
    <row r="846" customFormat="false" ht="15" hidden="false" customHeight="false" outlineLevel="0" collapsed="false">
      <c r="A846" s="15"/>
      <c r="B846" s="21"/>
      <c r="C846" s="21" t="str">
        <f aca="false">IF(B846="","",IFERROR(INDEX(代理店一覧!$B$5:$B$204,MATCH(B846,代理店一覧!$A$5:$A$204,0)),"※未登録のID"))</f>
        <v/>
      </c>
      <c r="D846" s="21"/>
      <c r="E846" s="21"/>
      <c r="F846" s="21"/>
      <c r="G846" s="18"/>
      <c r="H846" s="21"/>
      <c r="I846" s="26"/>
      <c r="J846" s="15"/>
      <c r="K846" s="27"/>
      <c r="L846" s="25" t="str">
        <f aca="false">IF(B846="","",B846&amp;"|"&amp;J846)</f>
        <v/>
      </c>
    </row>
    <row r="847" customFormat="false" ht="15" hidden="false" customHeight="false" outlineLevel="0" collapsed="false">
      <c r="A847" s="15"/>
      <c r="B847" s="21"/>
      <c r="C847" s="21" t="str">
        <f aca="false">IF(B847="","",IFERROR(INDEX(代理店一覧!$B$5:$B$204,MATCH(B847,代理店一覧!$A$5:$A$204,0)),"※未登録のID"))</f>
        <v/>
      </c>
      <c r="D847" s="21"/>
      <c r="E847" s="21"/>
      <c r="F847" s="21"/>
      <c r="G847" s="18"/>
      <c r="H847" s="21"/>
      <c r="I847" s="26"/>
      <c r="J847" s="15"/>
      <c r="K847" s="27"/>
      <c r="L847" s="25" t="str">
        <f aca="false">IF(B847="","",B847&amp;"|"&amp;J847)</f>
        <v/>
      </c>
    </row>
    <row r="848" customFormat="false" ht="15" hidden="false" customHeight="false" outlineLevel="0" collapsed="false">
      <c r="A848" s="15"/>
      <c r="B848" s="21"/>
      <c r="C848" s="21" t="str">
        <f aca="false">IF(B848="","",IFERROR(INDEX(代理店一覧!$B$5:$B$204,MATCH(B848,代理店一覧!$A$5:$A$204,0)),"※未登録のID"))</f>
        <v/>
      </c>
      <c r="D848" s="21"/>
      <c r="E848" s="21"/>
      <c r="F848" s="21"/>
      <c r="G848" s="18"/>
      <c r="H848" s="21"/>
      <c r="I848" s="26"/>
      <c r="J848" s="15"/>
      <c r="K848" s="27"/>
      <c r="L848" s="25" t="str">
        <f aca="false">IF(B848="","",B848&amp;"|"&amp;J848)</f>
        <v/>
      </c>
    </row>
    <row r="849" customFormat="false" ht="15" hidden="false" customHeight="false" outlineLevel="0" collapsed="false">
      <c r="A849" s="15"/>
      <c r="B849" s="21"/>
      <c r="C849" s="21" t="str">
        <f aca="false">IF(B849="","",IFERROR(INDEX(代理店一覧!$B$5:$B$204,MATCH(B849,代理店一覧!$A$5:$A$204,0)),"※未登録のID"))</f>
        <v/>
      </c>
      <c r="D849" s="21"/>
      <c r="E849" s="21"/>
      <c r="F849" s="21"/>
      <c r="G849" s="18"/>
      <c r="H849" s="21"/>
      <c r="I849" s="26"/>
      <c r="J849" s="15"/>
      <c r="K849" s="27"/>
      <c r="L849" s="25" t="str">
        <f aca="false">IF(B849="","",B849&amp;"|"&amp;J849)</f>
        <v/>
      </c>
    </row>
    <row r="850" customFormat="false" ht="15" hidden="false" customHeight="false" outlineLevel="0" collapsed="false">
      <c r="A850" s="15"/>
      <c r="B850" s="21"/>
      <c r="C850" s="21" t="str">
        <f aca="false">IF(B850="","",IFERROR(INDEX(代理店一覧!$B$5:$B$204,MATCH(B850,代理店一覧!$A$5:$A$204,0)),"※未登録のID"))</f>
        <v/>
      </c>
      <c r="D850" s="21"/>
      <c r="E850" s="21"/>
      <c r="F850" s="21"/>
      <c r="G850" s="18"/>
      <c r="H850" s="21"/>
      <c r="I850" s="26"/>
      <c r="J850" s="15"/>
      <c r="K850" s="27"/>
      <c r="L850" s="25" t="str">
        <f aca="false">IF(B850="","",B850&amp;"|"&amp;J850)</f>
        <v/>
      </c>
    </row>
    <row r="851" customFormat="false" ht="15" hidden="false" customHeight="false" outlineLevel="0" collapsed="false">
      <c r="A851" s="15"/>
      <c r="B851" s="21"/>
      <c r="C851" s="21" t="str">
        <f aca="false">IF(B851="","",IFERROR(INDEX(代理店一覧!$B$5:$B$204,MATCH(B851,代理店一覧!$A$5:$A$204,0)),"※未登録のID"))</f>
        <v/>
      </c>
      <c r="D851" s="21"/>
      <c r="E851" s="21"/>
      <c r="F851" s="21"/>
      <c r="G851" s="18"/>
      <c r="H851" s="21"/>
      <c r="I851" s="26"/>
      <c r="J851" s="15"/>
      <c r="K851" s="27"/>
      <c r="L851" s="25" t="str">
        <f aca="false">IF(B851="","",B851&amp;"|"&amp;J851)</f>
        <v/>
      </c>
    </row>
    <row r="852" customFormat="false" ht="15" hidden="false" customHeight="false" outlineLevel="0" collapsed="false">
      <c r="A852" s="15"/>
      <c r="B852" s="21"/>
      <c r="C852" s="21" t="str">
        <f aca="false">IF(B852="","",IFERROR(INDEX(代理店一覧!$B$5:$B$204,MATCH(B852,代理店一覧!$A$5:$A$204,0)),"※未登録のID"))</f>
        <v/>
      </c>
      <c r="D852" s="21"/>
      <c r="E852" s="21"/>
      <c r="F852" s="21"/>
      <c r="G852" s="18"/>
      <c r="H852" s="21"/>
      <c r="I852" s="26"/>
      <c r="J852" s="15"/>
      <c r="K852" s="27"/>
      <c r="L852" s="25" t="str">
        <f aca="false">IF(B852="","",B852&amp;"|"&amp;J852)</f>
        <v/>
      </c>
    </row>
    <row r="853" customFormat="false" ht="15" hidden="false" customHeight="false" outlineLevel="0" collapsed="false">
      <c r="A853" s="15"/>
      <c r="B853" s="21"/>
      <c r="C853" s="21" t="str">
        <f aca="false">IF(B853="","",IFERROR(INDEX(代理店一覧!$B$5:$B$204,MATCH(B853,代理店一覧!$A$5:$A$204,0)),"※未登録のID"))</f>
        <v/>
      </c>
      <c r="D853" s="21"/>
      <c r="E853" s="21"/>
      <c r="F853" s="21"/>
      <c r="G853" s="18"/>
      <c r="H853" s="21"/>
      <c r="I853" s="26"/>
      <c r="J853" s="15"/>
      <c r="K853" s="27"/>
      <c r="L853" s="25" t="str">
        <f aca="false">IF(B853="","",B853&amp;"|"&amp;J853)</f>
        <v/>
      </c>
    </row>
    <row r="854" customFormat="false" ht="15" hidden="false" customHeight="false" outlineLevel="0" collapsed="false">
      <c r="A854" s="15"/>
      <c r="B854" s="21"/>
      <c r="C854" s="21" t="str">
        <f aca="false">IF(B854="","",IFERROR(INDEX(代理店一覧!$B$5:$B$204,MATCH(B854,代理店一覧!$A$5:$A$204,0)),"※未登録のID"))</f>
        <v/>
      </c>
      <c r="D854" s="21"/>
      <c r="E854" s="21"/>
      <c r="F854" s="21"/>
      <c r="G854" s="18"/>
      <c r="H854" s="21"/>
      <c r="I854" s="26"/>
      <c r="J854" s="15"/>
      <c r="K854" s="27"/>
      <c r="L854" s="25" t="str">
        <f aca="false">IF(B854="","",B854&amp;"|"&amp;J854)</f>
        <v/>
      </c>
    </row>
    <row r="855" customFormat="false" ht="15" hidden="false" customHeight="false" outlineLevel="0" collapsed="false">
      <c r="A855" s="15"/>
      <c r="B855" s="21"/>
      <c r="C855" s="21" t="str">
        <f aca="false">IF(B855="","",IFERROR(INDEX(代理店一覧!$B$5:$B$204,MATCH(B855,代理店一覧!$A$5:$A$204,0)),"※未登録のID"))</f>
        <v/>
      </c>
      <c r="D855" s="21"/>
      <c r="E855" s="21"/>
      <c r="F855" s="21"/>
      <c r="G855" s="18"/>
      <c r="H855" s="21"/>
      <c r="I855" s="26"/>
      <c r="J855" s="15"/>
      <c r="K855" s="27"/>
      <c r="L855" s="25" t="str">
        <f aca="false">IF(B855="","",B855&amp;"|"&amp;J855)</f>
        <v/>
      </c>
    </row>
    <row r="856" customFormat="false" ht="15" hidden="false" customHeight="false" outlineLevel="0" collapsed="false">
      <c r="A856" s="15"/>
      <c r="B856" s="21"/>
      <c r="C856" s="21" t="str">
        <f aca="false">IF(B856="","",IFERROR(INDEX(代理店一覧!$B$5:$B$204,MATCH(B856,代理店一覧!$A$5:$A$204,0)),"※未登録のID"))</f>
        <v/>
      </c>
      <c r="D856" s="21"/>
      <c r="E856" s="21"/>
      <c r="F856" s="21"/>
      <c r="G856" s="18"/>
      <c r="H856" s="21"/>
      <c r="I856" s="26"/>
      <c r="J856" s="15"/>
      <c r="K856" s="27"/>
      <c r="L856" s="25" t="str">
        <f aca="false">IF(B856="","",B856&amp;"|"&amp;J856)</f>
        <v/>
      </c>
    </row>
    <row r="857" customFormat="false" ht="15" hidden="false" customHeight="false" outlineLevel="0" collapsed="false">
      <c r="A857" s="15"/>
      <c r="B857" s="21"/>
      <c r="C857" s="21" t="str">
        <f aca="false">IF(B857="","",IFERROR(INDEX(代理店一覧!$B$5:$B$204,MATCH(B857,代理店一覧!$A$5:$A$204,0)),"※未登録のID"))</f>
        <v/>
      </c>
      <c r="D857" s="21"/>
      <c r="E857" s="21"/>
      <c r="F857" s="21"/>
      <c r="G857" s="18"/>
      <c r="H857" s="21"/>
      <c r="I857" s="26"/>
      <c r="J857" s="15"/>
      <c r="K857" s="27"/>
      <c r="L857" s="25" t="str">
        <f aca="false">IF(B857="","",B857&amp;"|"&amp;J857)</f>
        <v/>
      </c>
    </row>
    <row r="858" customFormat="false" ht="15" hidden="false" customHeight="false" outlineLevel="0" collapsed="false">
      <c r="A858" s="15"/>
      <c r="B858" s="21"/>
      <c r="C858" s="21" t="str">
        <f aca="false">IF(B858="","",IFERROR(INDEX(代理店一覧!$B$5:$B$204,MATCH(B858,代理店一覧!$A$5:$A$204,0)),"※未登録のID"))</f>
        <v/>
      </c>
      <c r="D858" s="21"/>
      <c r="E858" s="21"/>
      <c r="F858" s="21"/>
      <c r="G858" s="18"/>
      <c r="H858" s="21"/>
      <c r="I858" s="26"/>
      <c r="J858" s="15"/>
      <c r="K858" s="27"/>
      <c r="L858" s="25" t="str">
        <f aca="false">IF(B858="","",B858&amp;"|"&amp;J858)</f>
        <v/>
      </c>
    </row>
    <row r="859" customFormat="false" ht="15" hidden="false" customHeight="false" outlineLevel="0" collapsed="false">
      <c r="A859" s="15"/>
      <c r="B859" s="21"/>
      <c r="C859" s="21" t="str">
        <f aca="false">IF(B859="","",IFERROR(INDEX(代理店一覧!$B$5:$B$204,MATCH(B859,代理店一覧!$A$5:$A$204,0)),"※未登録のID"))</f>
        <v/>
      </c>
      <c r="D859" s="21"/>
      <c r="E859" s="21"/>
      <c r="F859" s="21"/>
      <c r="G859" s="18"/>
      <c r="H859" s="21"/>
      <c r="I859" s="26"/>
      <c r="J859" s="15"/>
      <c r="K859" s="27"/>
      <c r="L859" s="25" t="str">
        <f aca="false">IF(B859="","",B859&amp;"|"&amp;J859)</f>
        <v/>
      </c>
    </row>
    <row r="860" customFormat="false" ht="15" hidden="false" customHeight="false" outlineLevel="0" collapsed="false">
      <c r="A860" s="15"/>
      <c r="B860" s="21"/>
      <c r="C860" s="21" t="str">
        <f aca="false">IF(B860="","",IFERROR(INDEX(代理店一覧!$B$5:$B$204,MATCH(B860,代理店一覧!$A$5:$A$204,0)),"※未登録のID"))</f>
        <v/>
      </c>
      <c r="D860" s="21"/>
      <c r="E860" s="21"/>
      <c r="F860" s="21"/>
      <c r="G860" s="18"/>
      <c r="H860" s="21"/>
      <c r="I860" s="26"/>
      <c r="J860" s="15"/>
      <c r="K860" s="27"/>
      <c r="L860" s="25" t="str">
        <f aca="false">IF(B860="","",B860&amp;"|"&amp;J860)</f>
        <v/>
      </c>
    </row>
    <row r="861" customFormat="false" ht="15" hidden="false" customHeight="false" outlineLevel="0" collapsed="false">
      <c r="A861" s="15"/>
      <c r="B861" s="21"/>
      <c r="C861" s="21" t="str">
        <f aca="false">IF(B861="","",IFERROR(INDEX(代理店一覧!$B$5:$B$204,MATCH(B861,代理店一覧!$A$5:$A$204,0)),"※未登録のID"))</f>
        <v/>
      </c>
      <c r="D861" s="21"/>
      <c r="E861" s="21"/>
      <c r="F861" s="21"/>
      <c r="G861" s="18"/>
      <c r="H861" s="21"/>
      <c r="I861" s="26"/>
      <c r="J861" s="15"/>
      <c r="K861" s="27"/>
      <c r="L861" s="25" t="str">
        <f aca="false">IF(B861="","",B861&amp;"|"&amp;J861)</f>
        <v/>
      </c>
    </row>
    <row r="862" customFormat="false" ht="15" hidden="false" customHeight="false" outlineLevel="0" collapsed="false">
      <c r="A862" s="15"/>
      <c r="B862" s="21"/>
      <c r="C862" s="21" t="str">
        <f aca="false">IF(B862="","",IFERROR(INDEX(代理店一覧!$B$5:$B$204,MATCH(B862,代理店一覧!$A$5:$A$204,0)),"※未登録のID"))</f>
        <v/>
      </c>
      <c r="D862" s="21"/>
      <c r="E862" s="21"/>
      <c r="F862" s="21"/>
      <c r="G862" s="18"/>
      <c r="H862" s="21"/>
      <c r="I862" s="26"/>
      <c r="J862" s="15"/>
      <c r="K862" s="27"/>
      <c r="L862" s="25" t="str">
        <f aca="false">IF(B862="","",B862&amp;"|"&amp;J862)</f>
        <v/>
      </c>
    </row>
    <row r="863" customFormat="false" ht="15" hidden="false" customHeight="false" outlineLevel="0" collapsed="false">
      <c r="A863" s="15"/>
      <c r="B863" s="21"/>
      <c r="C863" s="21" t="str">
        <f aca="false">IF(B863="","",IFERROR(INDEX(代理店一覧!$B$5:$B$204,MATCH(B863,代理店一覧!$A$5:$A$204,0)),"※未登録のID"))</f>
        <v/>
      </c>
      <c r="D863" s="21"/>
      <c r="E863" s="21"/>
      <c r="F863" s="21"/>
      <c r="G863" s="18"/>
      <c r="H863" s="21"/>
      <c r="I863" s="26"/>
      <c r="J863" s="15"/>
      <c r="K863" s="27"/>
      <c r="L863" s="25" t="str">
        <f aca="false">IF(B863="","",B863&amp;"|"&amp;J863)</f>
        <v/>
      </c>
    </row>
    <row r="864" customFormat="false" ht="15" hidden="false" customHeight="false" outlineLevel="0" collapsed="false">
      <c r="A864" s="15"/>
      <c r="B864" s="21"/>
      <c r="C864" s="21" t="str">
        <f aca="false">IF(B864="","",IFERROR(INDEX(代理店一覧!$B$5:$B$204,MATCH(B864,代理店一覧!$A$5:$A$204,0)),"※未登録のID"))</f>
        <v/>
      </c>
      <c r="D864" s="21"/>
      <c r="E864" s="21"/>
      <c r="F864" s="21"/>
      <c r="G864" s="18"/>
      <c r="H864" s="21"/>
      <c r="I864" s="26"/>
      <c r="J864" s="15"/>
      <c r="K864" s="27"/>
      <c r="L864" s="25" t="str">
        <f aca="false">IF(B864="","",B864&amp;"|"&amp;J864)</f>
        <v/>
      </c>
    </row>
    <row r="865" customFormat="false" ht="15" hidden="false" customHeight="false" outlineLevel="0" collapsed="false">
      <c r="A865" s="15"/>
      <c r="B865" s="21"/>
      <c r="C865" s="21" t="str">
        <f aca="false">IF(B865="","",IFERROR(INDEX(代理店一覧!$B$5:$B$204,MATCH(B865,代理店一覧!$A$5:$A$204,0)),"※未登録のID"))</f>
        <v/>
      </c>
      <c r="D865" s="21"/>
      <c r="E865" s="21"/>
      <c r="F865" s="21"/>
      <c r="G865" s="18"/>
      <c r="H865" s="21"/>
      <c r="I865" s="26"/>
      <c r="J865" s="15"/>
      <c r="K865" s="27"/>
      <c r="L865" s="25" t="str">
        <f aca="false">IF(B865="","",B865&amp;"|"&amp;J865)</f>
        <v/>
      </c>
    </row>
    <row r="866" customFormat="false" ht="15" hidden="false" customHeight="false" outlineLevel="0" collapsed="false">
      <c r="A866" s="15"/>
      <c r="B866" s="21"/>
      <c r="C866" s="21" t="str">
        <f aca="false">IF(B866="","",IFERROR(INDEX(代理店一覧!$B$5:$B$204,MATCH(B866,代理店一覧!$A$5:$A$204,0)),"※未登録のID"))</f>
        <v/>
      </c>
      <c r="D866" s="21"/>
      <c r="E866" s="21"/>
      <c r="F866" s="21"/>
      <c r="G866" s="18"/>
      <c r="H866" s="21"/>
      <c r="I866" s="26"/>
      <c r="J866" s="15"/>
      <c r="K866" s="27"/>
      <c r="L866" s="25" t="str">
        <f aca="false">IF(B866="","",B866&amp;"|"&amp;J866)</f>
        <v/>
      </c>
    </row>
    <row r="867" customFormat="false" ht="15" hidden="false" customHeight="false" outlineLevel="0" collapsed="false">
      <c r="A867" s="15"/>
      <c r="B867" s="21"/>
      <c r="C867" s="21" t="str">
        <f aca="false">IF(B867="","",IFERROR(INDEX(代理店一覧!$B$5:$B$204,MATCH(B867,代理店一覧!$A$5:$A$204,0)),"※未登録のID"))</f>
        <v/>
      </c>
      <c r="D867" s="21"/>
      <c r="E867" s="21"/>
      <c r="F867" s="21"/>
      <c r="G867" s="18"/>
      <c r="H867" s="21"/>
      <c r="I867" s="26"/>
      <c r="J867" s="15"/>
      <c r="K867" s="27"/>
      <c r="L867" s="25" t="str">
        <f aca="false">IF(B867="","",B867&amp;"|"&amp;J867)</f>
        <v/>
      </c>
    </row>
    <row r="868" customFormat="false" ht="15" hidden="false" customHeight="false" outlineLevel="0" collapsed="false">
      <c r="A868" s="15"/>
      <c r="B868" s="21"/>
      <c r="C868" s="21" t="str">
        <f aca="false">IF(B868="","",IFERROR(INDEX(代理店一覧!$B$5:$B$204,MATCH(B868,代理店一覧!$A$5:$A$204,0)),"※未登録のID"))</f>
        <v/>
      </c>
      <c r="D868" s="21"/>
      <c r="E868" s="21"/>
      <c r="F868" s="21"/>
      <c r="G868" s="18"/>
      <c r="H868" s="21"/>
      <c r="I868" s="26"/>
      <c r="J868" s="15"/>
      <c r="K868" s="27"/>
      <c r="L868" s="25" t="str">
        <f aca="false">IF(B868="","",B868&amp;"|"&amp;J868)</f>
        <v/>
      </c>
    </row>
    <row r="869" customFormat="false" ht="15" hidden="false" customHeight="false" outlineLevel="0" collapsed="false">
      <c r="A869" s="15"/>
      <c r="B869" s="21"/>
      <c r="C869" s="21" t="str">
        <f aca="false">IF(B869="","",IFERROR(INDEX(代理店一覧!$B$5:$B$204,MATCH(B869,代理店一覧!$A$5:$A$204,0)),"※未登録のID"))</f>
        <v/>
      </c>
      <c r="D869" s="21"/>
      <c r="E869" s="21"/>
      <c r="F869" s="21"/>
      <c r="G869" s="18"/>
      <c r="H869" s="21"/>
      <c r="I869" s="26"/>
      <c r="J869" s="15"/>
      <c r="K869" s="27"/>
      <c r="L869" s="25" t="str">
        <f aca="false">IF(B869="","",B869&amp;"|"&amp;J869)</f>
        <v/>
      </c>
    </row>
    <row r="870" customFormat="false" ht="15" hidden="false" customHeight="false" outlineLevel="0" collapsed="false">
      <c r="A870" s="15"/>
      <c r="B870" s="21"/>
      <c r="C870" s="21" t="str">
        <f aca="false">IF(B870="","",IFERROR(INDEX(代理店一覧!$B$5:$B$204,MATCH(B870,代理店一覧!$A$5:$A$204,0)),"※未登録のID"))</f>
        <v/>
      </c>
      <c r="D870" s="21"/>
      <c r="E870" s="21"/>
      <c r="F870" s="21"/>
      <c r="G870" s="18"/>
      <c r="H870" s="21"/>
      <c r="I870" s="26"/>
      <c r="J870" s="15"/>
      <c r="K870" s="27"/>
      <c r="L870" s="25" t="str">
        <f aca="false">IF(B870="","",B870&amp;"|"&amp;J870)</f>
        <v/>
      </c>
    </row>
    <row r="871" customFormat="false" ht="15" hidden="false" customHeight="false" outlineLevel="0" collapsed="false">
      <c r="A871" s="15"/>
      <c r="B871" s="21"/>
      <c r="C871" s="21" t="str">
        <f aca="false">IF(B871="","",IFERROR(INDEX(代理店一覧!$B$5:$B$204,MATCH(B871,代理店一覧!$A$5:$A$204,0)),"※未登録のID"))</f>
        <v/>
      </c>
      <c r="D871" s="21"/>
      <c r="E871" s="21"/>
      <c r="F871" s="21"/>
      <c r="G871" s="18"/>
      <c r="H871" s="21"/>
      <c r="I871" s="26"/>
      <c r="J871" s="15"/>
      <c r="K871" s="27"/>
      <c r="L871" s="25" t="str">
        <f aca="false">IF(B871="","",B871&amp;"|"&amp;J871)</f>
        <v/>
      </c>
    </row>
    <row r="872" customFormat="false" ht="15" hidden="false" customHeight="false" outlineLevel="0" collapsed="false">
      <c r="A872" s="15"/>
      <c r="B872" s="21"/>
      <c r="C872" s="21" t="str">
        <f aca="false">IF(B872="","",IFERROR(INDEX(代理店一覧!$B$5:$B$204,MATCH(B872,代理店一覧!$A$5:$A$204,0)),"※未登録のID"))</f>
        <v/>
      </c>
      <c r="D872" s="21"/>
      <c r="E872" s="21"/>
      <c r="F872" s="21"/>
      <c r="G872" s="18"/>
      <c r="H872" s="21"/>
      <c r="I872" s="26"/>
      <c r="J872" s="15"/>
      <c r="K872" s="27"/>
      <c r="L872" s="25" t="str">
        <f aca="false">IF(B872="","",B872&amp;"|"&amp;J872)</f>
        <v/>
      </c>
    </row>
    <row r="873" customFormat="false" ht="15" hidden="false" customHeight="false" outlineLevel="0" collapsed="false">
      <c r="A873" s="15"/>
      <c r="B873" s="21"/>
      <c r="C873" s="21" t="str">
        <f aca="false">IF(B873="","",IFERROR(INDEX(代理店一覧!$B$5:$B$204,MATCH(B873,代理店一覧!$A$5:$A$204,0)),"※未登録のID"))</f>
        <v/>
      </c>
      <c r="D873" s="21"/>
      <c r="E873" s="21"/>
      <c r="F873" s="21"/>
      <c r="G873" s="18"/>
      <c r="H873" s="21"/>
      <c r="I873" s="26"/>
      <c r="J873" s="15"/>
      <c r="K873" s="27"/>
      <c r="L873" s="25" t="str">
        <f aca="false">IF(B873="","",B873&amp;"|"&amp;J873)</f>
        <v/>
      </c>
    </row>
    <row r="874" customFormat="false" ht="15" hidden="false" customHeight="false" outlineLevel="0" collapsed="false">
      <c r="A874" s="15"/>
      <c r="B874" s="21"/>
      <c r="C874" s="21" t="str">
        <f aca="false">IF(B874="","",IFERROR(INDEX(代理店一覧!$B$5:$B$204,MATCH(B874,代理店一覧!$A$5:$A$204,0)),"※未登録のID"))</f>
        <v/>
      </c>
      <c r="D874" s="21"/>
      <c r="E874" s="21"/>
      <c r="F874" s="21"/>
      <c r="G874" s="18"/>
      <c r="H874" s="21"/>
      <c r="I874" s="26"/>
      <c r="J874" s="15"/>
      <c r="K874" s="27"/>
      <c r="L874" s="25" t="str">
        <f aca="false">IF(B874="","",B874&amp;"|"&amp;J874)</f>
        <v/>
      </c>
    </row>
    <row r="875" customFormat="false" ht="15" hidden="false" customHeight="false" outlineLevel="0" collapsed="false">
      <c r="A875" s="15"/>
      <c r="B875" s="21"/>
      <c r="C875" s="21" t="str">
        <f aca="false">IF(B875="","",IFERROR(INDEX(代理店一覧!$B$5:$B$204,MATCH(B875,代理店一覧!$A$5:$A$204,0)),"※未登録のID"))</f>
        <v/>
      </c>
      <c r="D875" s="21"/>
      <c r="E875" s="21"/>
      <c r="F875" s="21"/>
      <c r="G875" s="18"/>
      <c r="H875" s="21"/>
      <c r="I875" s="26"/>
      <c r="J875" s="15"/>
      <c r="K875" s="27"/>
      <c r="L875" s="25" t="str">
        <f aca="false">IF(B875="","",B875&amp;"|"&amp;J875)</f>
        <v/>
      </c>
    </row>
    <row r="876" customFormat="false" ht="15" hidden="false" customHeight="false" outlineLevel="0" collapsed="false">
      <c r="A876" s="15"/>
      <c r="B876" s="21"/>
      <c r="C876" s="21" t="str">
        <f aca="false">IF(B876="","",IFERROR(INDEX(代理店一覧!$B$5:$B$204,MATCH(B876,代理店一覧!$A$5:$A$204,0)),"※未登録のID"))</f>
        <v/>
      </c>
      <c r="D876" s="21"/>
      <c r="E876" s="21"/>
      <c r="F876" s="21"/>
      <c r="G876" s="18"/>
      <c r="H876" s="21"/>
      <c r="I876" s="26"/>
      <c r="J876" s="15"/>
      <c r="K876" s="27"/>
      <c r="L876" s="25" t="str">
        <f aca="false">IF(B876="","",B876&amp;"|"&amp;J876)</f>
        <v/>
      </c>
    </row>
    <row r="877" customFormat="false" ht="15" hidden="false" customHeight="false" outlineLevel="0" collapsed="false">
      <c r="A877" s="15"/>
      <c r="B877" s="21"/>
      <c r="C877" s="21" t="str">
        <f aca="false">IF(B877="","",IFERROR(INDEX(代理店一覧!$B$5:$B$204,MATCH(B877,代理店一覧!$A$5:$A$204,0)),"※未登録のID"))</f>
        <v/>
      </c>
      <c r="D877" s="21"/>
      <c r="E877" s="21"/>
      <c r="F877" s="21"/>
      <c r="G877" s="18"/>
      <c r="H877" s="21"/>
      <c r="I877" s="26"/>
      <c r="J877" s="15"/>
      <c r="K877" s="27"/>
      <c r="L877" s="25" t="str">
        <f aca="false">IF(B877="","",B877&amp;"|"&amp;J877)</f>
        <v/>
      </c>
    </row>
    <row r="878" customFormat="false" ht="15" hidden="false" customHeight="false" outlineLevel="0" collapsed="false">
      <c r="A878" s="15"/>
      <c r="B878" s="21"/>
      <c r="C878" s="21" t="str">
        <f aca="false">IF(B878="","",IFERROR(INDEX(代理店一覧!$B$5:$B$204,MATCH(B878,代理店一覧!$A$5:$A$204,0)),"※未登録のID"))</f>
        <v/>
      </c>
      <c r="D878" s="21"/>
      <c r="E878" s="21"/>
      <c r="F878" s="21"/>
      <c r="G878" s="18"/>
      <c r="H878" s="21"/>
      <c r="I878" s="26"/>
      <c r="J878" s="15"/>
      <c r="K878" s="27"/>
      <c r="L878" s="25" t="str">
        <f aca="false">IF(B878="","",B878&amp;"|"&amp;J878)</f>
        <v/>
      </c>
    </row>
    <row r="879" customFormat="false" ht="15" hidden="false" customHeight="false" outlineLevel="0" collapsed="false">
      <c r="A879" s="15"/>
      <c r="B879" s="21"/>
      <c r="C879" s="21" t="str">
        <f aca="false">IF(B879="","",IFERROR(INDEX(代理店一覧!$B$5:$B$204,MATCH(B879,代理店一覧!$A$5:$A$204,0)),"※未登録のID"))</f>
        <v/>
      </c>
      <c r="D879" s="21"/>
      <c r="E879" s="21"/>
      <c r="F879" s="21"/>
      <c r="G879" s="18"/>
      <c r="H879" s="21"/>
      <c r="I879" s="26"/>
      <c r="J879" s="15"/>
      <c r="K879" s="27"/>
      <c r="L879" s="25" t="str">
        <f aca="false">IF(B879="","",B879&amp;"|"&amp;J879)</f>
        <v/>
      </c>
    </row>
    <row r="880" customFormat="false" ht="15" hidden="false" customHeight="false" outlineLevel="0" collapsed="false">
      <c r="A880" s="15"/>
      <c r="B880" s="21"/>
      <c r="C880" s="21" t="str">
        <f aca="false">IF(B880="","",IFERROR(INDEX(代理店一覧!$B$5:$B$204,MATCH(B880,代理店一覧!$A$5:$A$204,0)),"※未登録のID"))</f>
        <v/>
      </c>
      <c r="D880" s="21"/>
      <c r="E880" s="21"/>
      <c r="F880" s="21"/>
      <c r="G880" s="18"/>
      <c r="H880" s="21"/>
      <c r="I880" s="26"/>
      <c r="J880" s="15"/>
      <c r="K880" s="27"/>
      <c r="L880" s="25" t="str">
        <f aca="false">IF(B880="","",B880&amp;"|"&amp;J880)</f>
        <v/>
      </c>
    </row>
    <row r="881" customFormat="false" ht="15" hidden="false" customHeight="false" outlineLevel="0" collapsed="false">
      <c r="A881" s="15"/>
      <c r="B881" s="21"/>
      <c r="C881" s="21" t="str">
        <f aca="false">IF(B881="","",IFERROR(INDEX(代理店一覧!$B$5:$B$204,MATCH(B881,代理店一覧!$A$5:$A$204,0)),"※未登録のID"))</f>
        <v/>
      </c>
      <c r="D881" s="21"/>
      <c r="E881" s="21"/>
      <c r="F881" s="21"/>
      <c r="G881" s="18"/>
      <c r="H881" s="21"/>
      <c r="I881" s="26"/>
      <c r="J881" s="15"/>
      <c r="K881" s="27"/>
      <c r="L881" s="25" t="str">
        <f aca="false">IF(B881="","",B881&amp;"|"&amp;J881)</f>
        <v/>
      </c>
    </row>
    <row r="882" customFormat="false" ht="15" hidden="false" customHeight="false" outlineLevel="0" collapsed="false">
      <c r="A882" s="15"/>
      <c r="B882" s="21"/>
      <c r="C882" s="21" t="str">
        <f aca="false">IF(B882="","",IFERROR(INDEX(代理店一覧!$B$5:$B$204,MATCH(B882,代理店一覧!$A$5:$A$204,0)),"※未登録のID"))</f>
        <v/>
      </c>
      <c r="D882" s="21"/>
      <c r="E882" s="21"/>
      <c r="F882" s="21"/>
      <c r="G882" s="18"/>
      <c r="H882" s="21"/>
      <c r="I882" s="26"/>
      <c r="J882" s="15"/>
      <c r="K882" s="27"/>
      <c r="L882" s="25" t="str">
        <f aca="false">IF(B882="","",B882&amp;"|"&amp;J882)</f>
        <v/>
      </c>
    </row>
    <row r="883" customFormat="false" ht="15" hidden="false" customHeight="false" outlineLevel="0" collapsed="false">
      <c r="A883" s="15"/>
      <c r="B883" s="21"/>
      <c r="C883" s="21" t="str">
        <f aca="false">IF(B883="","",IFERROR(INDEX(代理店一覧!$B$5:$B$204,MATCH(B883,代理店一覧!$A$5:$A$204,0)),"※未登録のID"))</f>
        <v/>
      </c>
      <c r="D883" s="21"/>
      <c r="E883" s="21"/>
      <c r="F883" s="21"/>
      <c r="G883" s="18"/>
      <c r="H883" s="21"/>
      <c r="I883" s="26"/>
      <c r="J883" s="15"/>
      <c r="K883" s="27"/>
      <c r="L883" s="25" t="str">
        <f aca="false">IF(B883="","",B883&amp;"|"&amp;J883)</f>
        <v/>
      </c>
    </row>
    <row r="884" customFormat="false" ht="15" hidden="false" customHeight="false" outlineLevel="0" collapsed="false">
      <c r="A884" s="15"/>
      <c r="B884" s="21"/>
      <c r="C884" s="21" t="str">
        <f aca="false">IF(B884="","",IFERROR(INDEX(代理店一覧!$B$5:$B$204,MATCH(B884,代理店一覧!$A$5:$A$204,0)),"※未登録のID"))</f>
        <v/>
      </c>
      <c r="D884" s="21"/>
      <c r="E884" s="21"/>
      <c r="F884" s="21"/>
      <c r="G884" s="18"/>
      <c r="H884" s="21"/>
      <c r="I884" s="26"/>
      <c r="J884" s="15"/>
      <c r="K884" s="27"/>
      <c r="L884" s="25" t="str">
        <f aca="false">IF(B884="","",B884&amp;"|"&amp;J884)</f>
        <v/>
      </c>
    </row>
    <row r="885" customFormat="false" ht="15" hidden="false" customHeight="false" outlineLevel="0" collapsed="false">
      <c r="A885" s="15"/>
      <c r="B885" s="21"/>
      <c r="C885" s="21" t="str">
        <f aca="false">IF(B885="","",IFERROR(INDEX(代理店一覧!$B$5:$B$204,MATCH(B885,代理店一覧!$A$5:$A$204,0)),"※未登録のID"))</f>
        <v/>
      </c>
      <c r="D885" s="21"/>
      <c r="E885" s="21"/>
      <c r="F885" s="21"/>
      <c r="G885" s="18"/>
      <c r="H885" s="21"/>
      <c r="I885" s="26"/>
      <c r="J885" s="15"/>
      <c r="K885" s="27"/>
      <c r="L885" s="25" t="str">
        <f aca="false">IF(B885="","",B885&amp;"|"&amp;J885)</f>
        <v/>
      </c>
    </row>
    <row r="886" customFormat="false" ht="15" hidden="false" customHeight="false" outlineLevel="0" collapsed="false">
      <c r="A886" s="15"/>
      <c r="B886" s="21"/>
      <c r="C886" s="21" t="str">
        <f aca="false">IF(B886="","",IFERROR(INDEX(代理店一覧!$B$5:$B$204,MATCH(B886,代理店一覧!$A$5:$A$204,0)),"※未登録のID"))</f>
        <v/>
      </c>
      <c r="D886" s="21"/>
      <c r="E886" s="21"/>
      <c r="F886" s="21"/>
      <c r="G886" s="18"/>
      <c r="H886" s="21"/>
      <c r="I886" s="26"/>
      <c r="J886" s="15"/>
      <c r="K886" s="27"/>
      <c r="L886" s="25" t="str">
        <f aca="false">IF(B886="","",B886&amp;"|"&amp;J886)</f>
        <v/>
      </c>
    </row>
    <row r="887" customFormat="false" ht="15" hidden="false" customHeight="false" outlineLevel="0" collapsed="false">
      <c r="A887" s="15"/>
      <c r="B887" s="21"/>
      <c r="C887" s="21" t="str">
        <f aca="false">IF(B887="","",IFERROR(INDEX(代理店一覧!$B$5:$B$204,MATCH(B887,代理店一覧!$A$5:$A$204,0)),"※未登録のID"))</f>
        <v/>
      </c>
      <c r="D887" s="21"/>
      <c r="E887" s="21"/>
      <c r="F887" s="21"/>
      <c r="G887" s="18"/>
      <c r="H887" s="21"/>
      <c r="I887" s="26"/>
      <c r="J887" s="15"/>
      <c r="K887" s="27"/>
      <c r="L887" s="25" t="str">
        <f aca="false">IF(B887="","",B887&amp;"|"&amp;J887)</f>
        <v/>
      </c>
    </row>
    <row r="888" customFormat="false" ht="15" hidden="false" customHeight="false" outlineLevel="0" collapsed="false">
      <c r="A888" s="15"/>
      <c r="B888" s="21"/>
      <c r="C888" s="21" t="str">
        <f aca="false">IF(B888="","",IFERROR(INDEX(代理店一覧!$B$5:$B$204,MATCH(B888,代理店一覧!$A$5:$A$204,0)),"※未登録のID"))</f>
        <v/>
      </c>
      <c r="D888" s="21"/>
      <c r="E888" s="21"/>
      <c r="F888" s="21"/>
      <c r="G888" s="18"/>
      <c r="H888" s="21"/>
      <c r="I888" s="26"/>
      <c r="J888" s="15"/>
      <c r="K888" s="27"/>
      <c r="L888" s="25" t="str">
        <f aca="false">IF(B888="","",B888&amp;"|"&amp;J888)</f>
        <v/>
      </c>
    </row>
    <row r="889" customFormat="false" ht="15" hidden="false" customHeight="false" outlineLevel="0" collapsed="false">
      <c r="A889" s="15"/>
      <c r="B889" s="21"/>
      <c r="C889" s="21" t="str">
        <f aca="false">IF(B889="","",IFERROR(INDEX(代理店一覧!$B$5:$B$204,MATCH(B889,代理店一覧!$A$5:$A$204,0)),"※未登録のID"))</f>
        <v/>
      </c>
      <c r="D889" s="21"/>
      <c r="E889" s="21"/>
      <c r="F889" s="21"/>
      <c r="G889" s="18"/>
      <c r="H889" s="21"/>
      <c r="I889" s="26"/>
      <c r="J889" s="15"/>
      <c r="K889" s="27"/>
      <c r="L889" s="25" t="str">
        <f aca="false">IF(B889="","",B889&amp;"|"&amp;J889)</f>
        <v/>
      </c>
    </row>
    <row r="890" customFormat="false" ht="15" hidden="false" customHeight="false" outlineLevel="0" collapsed="false">
      <c r="A890" s="15"/>
      <c r="B890" s="21"/>
      <c r="C890" s="21" t="str">
        <f aca="false">IF(B890="","",IFERROR(INDEX(代理店一覧!$B$5:$B$204,MATCH(B890,代理店一覧!$A$5:$A$204,0)),"※未登録のID"))</f>
        <v/>
      </c>
      <c r="D890" s="21"/>
      <c r="E890" s="21"/>
      <c r="F890" s="21"/>
      <c r="G890" s="18"/>
      <c r="H890" s="21"/>
      <c r="I890" s="26"/>
      <c r="J890" s="15"/>
      <c r="K890" s="27"/>
      <c r="L890" s="25" t="str">
        <f aca="false">IF(B890="","",B890&amp;"|"&amp;J890)</f>
        <v/>
      </c>
    </row>
    <row r="891" customFormat="false" ht="15" hidden="false" customHeight="false" outlineLevel="0" collapsed="false">
      <c r="A891" s="15"/>
      <c r="B891" s="21"/>
      <c r="C891" s="21" t="str">
        <f aca="false">IF(B891="","",IFERROR(INDEX(代理店一覧!$B$5:$B$204,MATCH(B891,代理店一覧!$A$5:$A$204,0)),"※未登録のID"))</f>
        <v/>
      </c>
      <c r="D891" s="21"/>
      <c r="E891" s="21"/>
      <c r="F891" s="21"/>
      <c r="G891" s="18"/>
      <c r="H891" s="21"/>
      <c r="I891" s="26"/>
      <c r="J891" s="15"/>
      <c r="K891" s="27"/>
      <c r="L891" s="25" t="str">
        <f aca="false">IF(B891="","",B891&amp;"|"&amp;J891)</f>
        <v/>
      </c>
    </row>
    <row r="892" customFormat="false" ht="15" hidden="false" customHeight="false" outlineLevel="0" collapsed="false">
      <c r="A892" s="15"/>
      <c r="B892" s="21"/>
      <c r="C892" s="21" t="str">
        <f aca="false">IF(B892="","",IFERROR(INDEX(代理店一覧!$B$5:$B$204,MATCH(B892,代理店一覧!$A$5:$A$204,0)),"※未登録のID"))</f>
        <v/>
      </c>
      <c r="D892" s="21"/>
      <c r="E892" s="21"/>
      <c r="F892" s="21"/>
      <c r="G892" s="18"/>
      <c r="H892" s="21"/>
      <c r="I892" s="26"/>
      <c r="J892" s="15"/>
      <c r="K892" s="27"/>
      <c r="L892" s="25" t="str">
        <f aca="false">IF(B892="","",B892&amp;"|"&amp;J892)</f>
        <v/>
      </c>
    </row>
    <row r="893" customFormat="false" ht="15" hidden="false" customHeight="false" outlineLevel="0" collapsed="false">
      <c r="A893" s="15"/>
      <c r="B893" s="21"/>
      <c r="C893" s="21" t="str">
        <f aca="false">IF(B893="","",IFERROR(INDEX(代理店一覧!$B$5:$B$204,MATCH(B893,代理店一覧!$A$5:$A$204,0)),"※未登録のID"))</f>
        <v/>
      </c>
      <c r="D893" s="21"/>
      <c r="E893" s="21"/>
      <c r="F893" s="21"/>
      <c r="G893" s="18"/>
      <c r="H893" s="21"/>
      <c r="I893" s="26"/>
      <c r="J893" s="15"/>
      <c r="K893" s="27"/>
      <c r="L893" s="25" t="str">
        <f aca="false">IF(B893="","",B893&amp;"|"&amp;J893)</f>
        <v/>
      </c>
    </row>
    <row r="894" customFormat="false" ht="15" hidden="false" customHeight="false" outlineLevel="0" collapsed="false">
      <c r="A894" s="15"/>
      <c r="B894" s="21"/>
      <c r="C894" s="21" t="str">
        <f aca="false">IF(B894="","",IFERROR(INDEX(代理店一覧!$B$5:$B$204,MATCH(B894,代理店一覧!$A$5:$A$204,0)),"※未登録のID"))</f>
        <v/>
      </c>
      <c r="D894" s="21"/>
      <c r="E894" s="21"/>
      <c r="F894" s="21"/>
      <c r="G894" s="18"/>
      <c r="H894" s="21"/>
      <c r="I894" s="26"/>
      <c r="J894" s="15"/>
      <c r="K894" s="27"/>
      <c r="L894" s="25" t="str">
        <f aca="false">IF(B894="","",B894&amp;"|"&amp;J894)</f>
        <v/>
      </c>
    </row>
    <row r="895" customFormat="false" ht="15" hidden="false" customHeight="false" outlineLevel="0" collapsed="false">
      <c r="A895" s="15"/>
      <c r="B895" s="21"/>
      <c r="C895" s="21" t="str">
        <f aca="false">IF(B895="","",IFERROR(INDEX(代理店一覧!$B$5:$B$204,MATCH(B895,代理店一覧!$A$5:$A$204,0)),"※未登録のID"))</f>
        <v/>
      </c>
      <c r="D895" s="21"/>
      <c r="E895" s="21"/>
      <c r="F895" s="21"/>
      <c r="G895" s="18"/>
      <c r="H895" s="21"/>
      <c r="I895" s="26"/>
      <c r="J895" s="15"/>
      <c r="K895" s="27"/>
      <c r="L895" s="25" t="str">
        <f aca="false">IF(B895="","",B895&amp;"|"&amp;J895)</f>
        <v/>
      </c>
    </row>
    <row r="896" customFormat="false" ht="15" hidden="false" customHeight="false" outlineLevel="0" collapsed="false">
      <c r="A896" s="15"/>
      <c r="B896" s="21"/>
      <c r="C896" s="21" t="str">
        <f aca="false">IF(B896="","",IFERROR(INDEX(代理店一覧!$B$5:$B$204,MATCH(B896,代理店一覧!$A$5:$A$204,0)),"※未登録のID"))</f>
        <v/>
      </c>
      <c r="D896" s="21"/>
      <c r="E896" s="21"/>
      <c r="F896" s="21"/>
      <c r="G896" s="18"/>
      <c r="H896" s="21"/>
      <c r="I896" s="26"/>
      <c r="J896" s="15"/>
      <c r="K896" s="27"/>
      <c r="L896" s="25" t="str">
        <f aca="false">IF(B896="","",B896&amp;"|"&amp;J896)</f>
        <v/>
      </c>
    </row>
    <row r="897" customFormat="false" ht="15" hidden="false" customHeight="false" outlineLevel="0" collapsed="false">
      <c r="A897" s="15"/>
      <c r="B897" s="21"/>
      <c r="C897" s="21" t="str">
        <f aca="false">IF(B897="","",IFERROR(INDEX(代理店一覧!$B$5:$B$204,MATCH(B897,代理店一覧!$A$5:$A$204,0)),"※未登録のID"))</f>
        <v/>
      </c>
      <c r="D897" s="21"/>
      <c r="E897" s="21"/>
      <c r="F897" s="21"/>
      <c r="G897" s="18"/>
      <c r="H897" s="21"/>
      <c r="I897" s="26"/>
      <c r="J897" s="15"/>
      <c r="K897" s="27"/>
      <c r="L897" s="25" t="str">
        <f aca="false">IF(B897="","",B897&amp;"|"&amp;J897)</f>
        <v/>
      </c>
    </row>
    <row r="898" customFormat="false" ht="15" hidden="false" customHeight="false" outlineLevel="0" collapsed="false">
      <c r="A898" s="15"/>
      <c r="B898" s="21"/>
      <c r="C898" s="21" t="str">
        <f aca="false">IF(B898="","",IFERROR(INDEX(代理店一覧!$B$5:$B$204,MATCH(B898,代理店一覧!$A$5:$A$204,0)),"※未登録のID"))</f>
        <v/>
      </c>
      <c r="D898" s="21"/>
      <c r="E898" s="21"/>
      <c r="F898" s="21"/>
      <c r="G898" s="18"/>
      <c r="H898" s="21"/>
      <c r="I898" s="26"/>
      <c r="J898" s="15"/>
      <c r="K898" s="27"/>
      <c r="L898" s="25" t="str">
        <f aca="false">IF(B898="","",B898&amp;"|"&amp;J898)</f>
        <v/>
      </c>
    </row>
    <row r="899" customFormat="false" ht="15" hidden="false" customHeight="false" outlineLevel="0" collapsed="false">
      <c r="A899" s="15"/>
      <c r="B899" s="21"/>
      <c r="C899" s="21" t="str">
        <f aca="false">IF(B899="","",IFERROR(INDEX(代理店一覧!$B$5:$B$204,MATCH(B899,代理店一覧!$A$5:$A$204,0)),"※未登録のID"))</f>
        <v/>
      </c>
      <c r="D899" s="21"/>
      <c r="E899" s="21"/>
      <c r="F899" s="21"/>
      <c r="G899" s="18"/>
      <c r="H899" s="21"/>
      <c r="I899" s="26"/>
      <c r="J899" s="15"/>
      <c r="K899" s="27"/>
      <c r="L899" s="25" t="str">
        <f aca="false">IF(B899="","",B899&amp;"|"&amp;J899)</f>
        <v/>
      </c>
    </row>
    <row r="900" customFormat="false" ht="15" hidden="false" customHeight="false" outlineLevel="0" collapsed="false">
      <c r="A900" s="15"/>
      <c r="B900" s="21"/>
      <c r="C900" s="21" t="str">
        <f aca="false">IF(B900="","",IFERROR(INDEX(代理店一覧!$B$5:$B$204,MATCH(B900,代理店一覧!$A$5:$A$204,0)),"※未登録のID"))</f>
        <v/>
      </c>
      <c r="D900" s="21"/>
      <c r="E900" s="21"/>
      <c r="F900" s="21"/>
      <c r="G900" s="18"/>
      <c r="H900" s="21"/>
      <c r="I900" s="26"/>
      <c r="J900" s="15"/>
      <c r="K900" s="27"/>
      <c r="L900" s="25" t="str">
        <f aca="false">IF(B900="","",B900&amp;"|"&amp;J900)</f>
        <v/>
      </c>
    </row>
    <row r="901" customFormat="false" ht="15" hidden="false" customHeight="false" outlineLevel="0" collapsed="false">
      <c r="A901" s="15"/>
      <c r="B901" s="21"/>
      <c r="C901" s="21" t="str">
        <f aca="false">IF(B901="","",IFERROR(INDEX(代理店一覧!$B$5:$B$204,MATCH(B901,代理店一覧!$A$5:$A$204,0)),"※未登録のID"))</f>
        <v/>
      </c>
      <c r="D901" s="21"/>
      <c r="E901" s="21"/>
      <c r="F901" s="21"/>
      <c r="G901" s="18"/>
      <c r="H901" s="21"/>
      <c r="I901" s="26"/>
      <c r="J901" s="15"/>
      <c r="K901" s="27"/>
      <c r="L901" s="25" t="str">
        <f aca="false">IF(B901="","",B901&amp;"|"&amp;J901)</f>
        <v/>
      </c>
    </row>
    <row r="902" customFormat="false" ht="15" hidden="false" customHeight="false" outlineLevel="0" collapsed="false">
      <c r="A902" s="15"/>
      <c r="B902" s="21"/>
      <c r="C902" s="21" t="str">
        <f aca="false">IF(B902="","",IFERROR(INDEX(代理店一覧!$B$5:$B$204,MATCH(B902,代理店一覧!$A$5:$A$204,0)),"※未登録のID"))</f>
        <v/>
      </c>
      <c r="D902" s="21"/>
      <c r="E902" s="21"/>
      <c r="F902" s="21"/>
      <c r="G902" s="18"/>
      <c r="H902" s="21"/>
      <c r="I902" s="26"/>
      <c r="J902" s="15"/>
      <c r="K902" s="27"/>
      <c r="L902" s="25" t="str">
        <f aca="false">IF(B902="","",B902&amp;"|"&amp;J902)</f>
        <v/>
      </c>
    </row>
    <row r="903" customFormat="false" ht="15" hidden="false" customHeight="false" outlineLevel="0" collapsed="false">
      <c r="A903" s="15"/>
      <c r="B903" s="21"/>
      <c r="C903" s="21" t="str">
        <f aca="false">IF(B903="","",IFERROR(INDEX(代理店一覧!$B$5:$B$204,MATCH(B903,代理店一覧!$A$5:$A$204,0)),"※未登録のID"))</f>
        <v/>
      </c>
      <c r="D903" s="21"/>
      <c r="E903" s="21"/>
      <c r="F903" s="21"/>
      <c r="G903" s="18"/>
      <c r="H903" s="21"/>
      <c r="I903" s="26"/>
      <c r="J903" s="15"/>
      <c r="K903" s="27"/>
      <c r="L903" s="25" t="str">
        <f aca="false">IF(B903="","",B903&amp;"|"&amp;J903)</f>
        <v/>
      </c>
    </row>
    <row r="904" customFormat="false" ht="15" hidden="false" customHeight="false" outlineLevel="0" collapsed="false">
      <c r="A904" s="15"/>
      <c r="B904" s="21"/>
      <c r="C904" s="21" t="str">
        <f aca="false">IF(B904="","",IFERROR(INDEX(代理店一覧!$B$5:$B$204,MATCH(B904,代理店一覧!$A$5:$A$204,0)),"※未登録のID"))</f>
        <v/>
      </c>
      <c r="D904" s="21"/>
      <c r="E904" s="21"/>
      <c r="F904" s="21"/>
      <c r="G904" s="18"/>
      <c r="H904" s="21"/>
      <c r="I904" s="26"/>
      <c r="J904" s="15"/>
      <c r="K904" s="27"/>
      <c r="L904" s="25" t="str">
        <f aca="false">IF(B904="","",B904&amp;"|"&amp;J904)</f>
        <v/>
      </c>
    </row>
    <row r="905" customFormat="false" ht="15" hidden="false" customHeight="false" outlineLevel="0" collapsed="false">
      <c r="A905" s="15"/>
      <c r="B905" s="21"/>
      <c r="C905" s="21" t="str">
        <f aca="false">IF(B905="","",IFERROR(INDEX(代理店一覧!$B$5:$B$204,MATCH(B905,代理店一覧!$A$5:$A$204,0)),"※未登録のID"))</f>
        <v/>
      </c>
      <c r="D905" s="21"/>
      <c r="E905" s="21"/>
      <c r="F905" s="21"/>
      <c r="G905" s="18"/>
      <c r="H905" s="21"/>
      <c r="I905" s="26"/>
      <c r="J905" s="15"/>
      <c r="K905" s="27"/>
      <c r="L905" s="25" t="str">
        <f aca="false">IF(B905="","",B905&amp;"|"&amp;J905)</f>
        <v/>
      </c>
    </row>
    <row r="906" customFormat="false" ht="15" hidden="false" customHeight="false" outlineLevel="0" collapsed="false">
      <c r="A906" s="15"/>
      <c r="B906" s="21"/>
      <c r="C906" s="21" t="str">
        <f aca="false">IF(B906="","",IFERROR(INDEX(代理店一覧!$B$5:$B$204,MATCH(B906,代理店一覧!$A$5:$A$204,0)),"※未登録のID"))</f>
        <v/>
      </c>
      <c r="D906" s="21"/>
      <c r="E906" s="21"/>
      <c r="F906" s="21"/>
      <c r="G906" s="18"/>
      <c r="H906" s="21"/>
      <c r="I906" s="26"/>
      <c r="J906" s="15"/>
      <c r="K906" s="27"/>
      <c r="L906" s="25" t="str">
        <f aca="false">IF(B906="","",B906&amp;"|"&amp;J906)</f>
        <v/>
      </c>
    </row>
    <row r="907" customFormat="false" ht="15" hidden="false" customHeight="false" outlineLevel="0" collapsed="false">
      <c r="A907" s="15"/>
      <c r="B907" s="21"/>
      <c r="C907" s="21" t="str">
        <f aca="false">IF(B907="","",IFERROR(INDEX(代理店一覧!$B$5:$B$204,MATCH(B907,代理店一覧!$A$5:$A$204,0)),"※未登録のID"))</f>
        <v/>
      </c>
      <c r="D907" s="21"/>
      <c r="E907" s="21"/>
      <c r="F907" s="21"/>
      <c r="G907" s="18"/>
      <c r="H907" s="21"/>
      <c r="I907" s="26"/>
      <c r="J907" s="15"/>
      <c r="K907" s="27"/>
      <c r="L907" s="25" t="str">
        <f aca="false">IF(B907="","",B907&amp;"|"&amp;J907)</f>
        <v/>
      </c>
    </row>
    <row r="908" customFormat="false" ht="15" hidden="false" customHeight="false" outlineLevel="0" collapsed="false">
      <c r="A908" s="15"/>
      <c r="B908" s="21"/>
      <c r="C908" s="21" t="str">
        <f aca="false">IF(B908="","",IFERROR(INDEX(代理店一覧!$B$5:$B$204,MATCH(B908,代理店一覧!$A$5:$A$204,0)),"※未登録のID"))</f>
        <v/>
      </c>
      <c r="D908" s="21"/>
      <c r="E908" s="21"/>
      <c r="F908" s="21"/>
      <c r="G908" s="18"/>
      <c r="H908" s="21"/>
      <c r="I908" s="26"/>
      <c r="J908" s="15"/>
      <c r="K908" s="27"/>
      <c r="L908" s="25" t="str">
        <f aca="false">IF(B908="","",B908&amp;"|"&amp;J908)</f>
        <v/>
      </c>
    </row>
    <row r="909" customFormat="false" ht="15" hidden="false" customHeight="false" outlineLevel="0" collapsed="false">
      <c r="A909" s="15"/>
      <c r="B909" s="21"/>
      <c r="C909" s="21" t="str">
        <f aca="false">IF(B909="","",IFERROR(INDEX(代理店一覧!$B$5:$B$204,MATCH(B909,代理店一覧!$A$5:$A$204,0)),"※未登録のID"))</f>
        <v/>
      </c>
      <c r="D909" s="21"/>
      <c r="E909" s="21"/>
      <c r="F909" s="21"/>
      <c r="G909" s="18"/>
      <c r="H909" s="21"/>
      <c r="I909" s="26"/>
      <c r="J909" s="15"/>
      <c r="K909" s="27"/>
      <c r="L909" s="25" t="str">
        <f aca="false">IF(B909="","",B909&amp;"|"&amp;J909)</f>
        <v/>
      </c>
    </row>
    <row r="910" customFormat="false" ht="15" hidden="false" customHeight="false" outlineLevel="0" collapsed="false">
      <c r="A910" s="15"/>
      <c r="B910" s="21"/>
      <c r="C910" s="21" t="str">
        <f aca="false">IF(B910="","",IFERROR(INDEX(代理店一覧!$B$5:$B$204,MATCH(B910,代理店一覧!$A$5:$A$204,0)),"※未登録のID"))</f>
        <v/>
      </c>
      <c r="D910" s="21"/>
      <c r="E910" s="21"/>
      <c r="F910" s="21"/>
      <c r="G910" s="18"/>
      <c r="H910" s="21"/>
      <c r="I910" s="26"/>
      <c r="J910" s="15"/>
      <c r="K910" s="27"/>
      <c r="L910" s="25" t="str">
        <f aca="false">IF(B910="","",B910&amp;"|"&amp;J910)</f>
        <v/>
      </c>
    </row>
    <row r="911" customFormat="false" ht="15" hidden="false" customHeight="false" outlineLevel="0" collapsed="false">
      <c r="A911" s="15"/>
      <c r="B911" s="21"/>
      <c r="C911" s="21" t="str">
        <f aca="false">IF(B911="","",IFERROR(INDEX(代理店一覧!$B$5:$B$204,MATCH(B911,代理店一覧!$A$5:$A$204,0)),"※未登録のID"))</f>
        <v/>
      </c>
      <c r="D911" s="21"/>
      <c r="E911" s="21"/>
      <c r="F911" s="21"/>
      <c r="G911" s="18"/>
      <c r="H911" s="21"/>
      <c r="I911" s="26"/>
      <c r="J911" s="15"/>
      <c r="K911" s="27"/>
      <c r="L911" s="25" t="str">
        <f aca="false">IF(B911="","",B911&amp;"|"&amp;J911)</f>
        <v/>
      </c>
    </row>
    <row r="912" customFormat="false" ht="15" hidden="false" customHeight="false" outlineLevel="0" collapsed="false">
      <c r="A912" s="15"/>
      <c r="B912" s="21"/>
      <c r="C912" s="21" t="str">
        <f aca="false">IF(B912="","",IFERROR(INDEX(代理店一覧!$B$5:$B$204,MATCH(B912,代理店一覧!$A$5:$A$204,0)),"※未登録のID"))</f>
        <v/>
      </c>
      <c r="D912" s="21"/>
      <c r="E912" s="21"/>
      <c r="F912" s="21"/>
      <c r="G912" s="18"/>
      <c r="H912" s="21"/>
      <c r="I912" s="26"/>
      <c r="J912" s="15"/>
      <c r="K912" s="27"/>
      <c r="L912" s="25" t="str">
        <f aca="false">IF(B912="","",B912&amp;"|"&amp;J912)</f>
        <v/>
      </c>
    </row>
    <row r="913" customFormat="false" ht="15" hidden="false" customHeight="false" outlineLevel="0" collapsed="false">
      <c r="A913" s="15"/>
      <c r="B913" s="21"/>
      <c r="C913" s="21" t="str">
        <f aca="false">IF(B913="","",IFERROR(INDEX(代理店一覧!$B$5:$B$204,MATCH(B913,代理店一覧!$A$5:$A$204,0)),"※未登録のID"))</f>
        <v/>
      </c>
      <c r="D913" s="21"/>
      <c r="E913" s="21"/>
      <c r="F913" s="21"/>
      <c r="G913" s="18"/>
      <c r="H913" s="21"/>
      <c r="I913" s="26"/>
      <c r="J913" s="15"/>
      <c r="K913" s="27"/>
      <c r="L913" s="25" t="str">
        <f aca="false">IF(B913="","",B913&amp;"|"&amp;J913)</f>
        <v/>
      </c>
    </row>
    <row r="914" customFormat="false" ht="15" hidden="false" customHeight="false" outlineLevel="0" collapsed="false">
      <c r="A914" s="15"/>
      <c r="B914" s="21"/>
      <c r="C914" s="21" t="str">
        <f aca="false">IF(B914="","",IFERROR(INDEX(代理店一覧!$B$5:$B$204,MATCH(B914,代理店一覧!$A$5:$A$204,0)),"※未登録のID"))</f>
        <v/>
      </c>
      <c r="D914" s="21"/>
      <c r="E914" s="21"/>
      <c r="F914" s="21"/>
      <c r="G914" s="18"/>
      <c r="H914" s="21"/>
      <c r="I914" s="26"/>
      <c r="J914" s="15"/>
      <c r="K914" s="27"/>
      <c r="L914" s="25" t="str">
        <f aca="false">IF(B914="","",B914&amp;"|"&amp;J914)</f>
        <v/>
      </c>
    </row>
    <row r="915" customFormat="false" ht="15" hidden="false" customHeight="false" outlineLevel="0" collapsed="false">
      <c r="A915" s="15"/>
      <c r="B915" s="21"/>
      <c r="C915" s="21" t="str">
        <f aca="false">IF(B915="","",IFERROR(INDEX(代理店一覧!$B$5:$B$204,MATCH(B915,代理店一覧!$A$5:$A$204,0)),"※未登録のID"))</f>
        <v/>
      </c>
      <c r="D915" s="21"/>
      <c r="E915" s="21"/>
      <c r="F915" s="21"/>
      <c r="G915" s="18"/>
      <c r="H915" s="21"/>
      <c r="I915" s="26"/>
      <c r="J915" s="15"/>
      <c r="K915" s="27"/>
      <c r="L915" s="25" t="str">
        <f aca="false">IF(B915="","",B915&amp;"|"&amp;J915)</f>
        <v/>
      </c>
    </row>
    <row r="916" customFormat="false" ht="15" hidden="false" customHeight="false" outlineLevel="0" collapsed="false">
      <c r="A916" s="15"/>
      <c r="B916" s="21"/>
      <c r="C916" s="21" t="str">
        <f aca="false">IF(B916="","",IFERROR(INDEX(代理店一覧!$B$5:$B$204,MATCH(B916,代理店一覧!$A$5:$A$204,0)),"※未登録のID"))</f>
        <v/>
      </c>
      <c r="D916" s="21"/>
      <c r="E916" s="21"/>
      <c r="F916" s="21"/>
      <c r="G916" s="18"/>
      <c r="H916" s="21"/>
      <c r="I916" s="26"/>
      <c r="J916" s="15"/>
      <c r="K916" s="27"/>
      <c r="L916" s="25" t="str">
        <f aca="false">IF(B916="","",B916&amp;"|"&amp;J916)</f>
        <v/>
      </c>
    </row>
    <row r="917" customFormat="false" ht="15" hidden="false" customHeight="false" outlineLevel="0" collapsed="false">
      <c r="A917" s="15"/>
      <c r="B917" s="21"/>
      <c r="C917" s="21" t="str">
        <f aca="false">IF(B917="","",IFERROR(INDEX(代理店一覧!$B$5:$B$204,MATCH(B917,代理店一覧!$A$5:$A$204,0)),"※未登録のID"))</f>
        <v/>
      </c>
      <c r="D917" s="21"/>
      <c r="E917" s="21"/>
      <c r="F917" s="21"/>
      <c r="G917" s="18"/>
      <c r="H917" s="21"/>
      <c r="I917" s="26"/>
      <c r="J917" s="15"/>
      <c r="K917" s="27"/>
      <c r="L917" s="25" t="str">
        <f aca="false">IF(B917="","",B917&amp;"|"&amp;J917)</f>
        <v/>
      </c>
    </row>
    <row r="918" customFormat="false" ht="15" hidden="false" customHeight="false" outlineLevel="0" collapsed="false">
      <c r="A918" s="15"/>
      <c r="B918" s="21"/>
      <c r="C918" s="21" t="str">
        <f aca="false">IF(B918="","",IFERROR(INDEX(代理店一覧!$B$5:$B$204,MATCH(B918,代理店一覧!$A$5:$A$204,0)),"※未登録のID"))</f>
        <v/>
      </c>
      <c r="D918" s="21"/>
      <c r="E918" s="21"/>
      <c r="F918" s="21"/>
      <c r="G918" s="18"/>
      <c r="H918" s="21"/>
      <c r="I918" s="26"/>
      <c r="J918" s="15"/>
      <c r="K918" s="27"/>
      <c r="L918" s="25" t="str">
        <f aca="false">IF(B918="","",B918&amp;"|"&amp;J918)</f>
        <v/>
      </c>
    </row>
    <row r="919" customFormat="false" ht="15" hidden="false" customHeight="false" outlineLevel="0" collapsed="false">
      <c r="A919" s="15"/>
      <c r="B919" s="21"/>
      <c r="C919" s="21" t="str">
        <f aca="false">IF(B919="","",IFERROR(INDEX(代理店一覧!$B$5:$B$204,MATCH(B919,代理店一覧!$A$5:$A$204,0)),"※未登録のID"))</f>
        <v/>
      </c>
      <c r="D919" s="21"/>
      <c r="E919" s="21"/>
      <c r="F919" s="21"/>
      <c r="G919" s="18"/>
      <c r="H919" s="21"/>
      <c r="I919" s="26"/>
      <c r="J919" s="15"/>
      <c r="K919" s="27"/>
      <c r="L919" s="25" t="str">
        <f aca="false">IF(B919="","",B919&amp;"|"&amp;J919)</f>
        <v/>
      </c>
    </row>
    <row r="920" customFormat="false" ht="15" hidden="false" customHeight="false" outlineLevel="0" collapsed="false">
      <c r="A920" s="15"/>
      <c r="B920" s="21"/>
      <c r="C920" s="21" t="str">
        <f aca="false">IF(B920="","",IFERROR(INDEX(代理店一覧!$B$5:$B$204,MATCH(B920,代理店一覧!$A$5:$A$204,0)),"※未登録のID"))</f>
        <v/>
      </c>
      <c r="D920" s="21"/>
      <c r="E920" s="21"/>
      <c r="F920" s="21"/>
      <c r="G920" s="18"/>
      <c r="H920" s="21"/>
      <c r="I920" s="26"/>
      <c r="J920" s="15"/>
      <c r="K920" s="27"/>
      <c r="L920" s="25" t="str">
        <f aca="false">IF(B920="","",B920&amp;"|"&amp;J920)</f>
        <v/>
      </c>
    </row>
    <row r="921" customFormat="false" ht="15" hidden="false" customHeight="false" outlineLevel="0" collapsed="false">
      <c r="A921" s="15"/>
      <c r="B921" s="21"/>
      <c r="C921" s="21" t="str">
        <f aca="false">IF(B921="","",IFERROR(INDEX(代理店一覧!$B$5:$B$204,MATCH(B921,代理店一覧!$A$5:$A$204,0)),"※未登録のID"))</f>
        <v/>
      </c>
      <c r="D921" s="21"/>
      <c r="E921" s="21"/>
      <c r="F921" s="21"/>
      <c r="G921" s="18"/>
      <c r="H921" s="21"/>
      <c r="I921" s="26"/>
      <c r="J921" s="15"/>
      <c r="K921" s="27"/>
      <c r="L921" s="25" t="str">
        <f aca="false">IF(B921="","",B921&amp;"|"&amp;J921)</f>
        <v/>
      </c>
    </row>
    <row r="922" customFormat="false" ht="15" hidden="false" customHeight="false" outlineLevel="0" collapsed="false">
      <c r="A922" s="15"/>
      <c r="B922" s="21"/>
      <c r="C922" s="21" t="str">
        <f aca="false">IF(B922="","",IFERROR(INDEX(代理店一覧!$B$5:$B$204,MATCH(B922,代理店一覧!$A$5:$A$204,0)),"※未登録のID"))</f>
        <v/>
      </c>
      <c r="D922" s="21"/>
      <c r="E922" s="21"/>
      <c r="F922" s="21"/>
      <c r="G922" s="18"/>
      <c r="H922" s="21"/>
      <c r="I922" s="26"/>
      <c r="J922" s="15"/>
      <c r="K922" s="27"/>
      <c r="L922" s="25" t="str">
        <f aca="false">IF(B922="","",B922&amp;"|"&amp;J922)</f>
        <v/>
      </c>
    </row>
    <row r="923" customFormat="false" ht="15" hidden="false" customHeight="false" outlineLevel="0" collapsed="false">
      <c r="A923" s="15"/>
      <c r="B923" s="21"/>
      <c r="C923" s="21" t="str">
        <f aca="false">IF(B923="","",IFERROR(INDEX(代理店一覧!$B$5:$B$204,MATCH(B923,代理店一覧!$A$5:$A$204,0)),"※未登録のID"))</f>
        <v/>
      </c>
      <c r="D923" s="21"/>
      <c r="E923" s="21"/>
      <c r="F923" s="21"/>
      <c r="G923" s="18"/>
      <c r="H923" s="21"/>
      <c r="I923" s="26"/>
      <c r="J923" s="15"/>
      <c r="K923" s="27"/>
      <c r="L923" s="25" t="str">
        <f aca="false">IF(B923="","",B923&amp;"|"&amp;J923)</f>
        <v/>
      </c>
    </row>
    <row r="924" customFormat="false" ht="15" hidden="false" customHeight="false" outlineLevel="0" collapsed="false">
      <c r="A924" s="15"/>
      <c r="B924" s="21"/>
      <c r="C924" s="21" t="str">
        <f aca="false">IF(B924="","",IFERROR(INDEX(代理店一覧!$B$5:$B$204,MATCH(B924,代理店一覧!$A$5:$A$204,0)),"※未登録のID"))</f>
        <v/>
      </c>
      <c r="D924" s="21"/>
      <c r="E924" s="21"/>
      <c r="F924" s="21"/>
      <c r="G924" s="18"/>
      <c r="H924" s="21"/>
      <c r="I924" s="26"/>
      <c r="J924" s="15"/>
      <c r="K924" s="27"/>
      <c r="L924" s="25" t="str">
        <f aca="false">IF(B924="","",B924&amp;"|"&amp;J924)</f>
        <v/>
      </c>
    </row>
    <row r="925" customFormat="false" ht="15" hidden="false" customHeight="false" outlineLevel="0" collapsed="false">
      <c r="A925" s="15"/>
      <c r="B925" s="21"/>
      <c r="C925" s="21" t="str">
        <f aca="false">IF(B925="","",IFERROR(INDEX(代理店一覧!$B$5:$B$204,MATCH(B925,代理店一覧!$A$5:$A$204,0)),"※未登録のID"))</f>
        <v/>
      </c>
      <c r="D925" s="21"/>
      <c r="E925" s="21"/>
      <c r="F925" s="21"/>
      <c r="G925" s="18"/>
      <c r="H925" s="21"/>
      <c r="I925" s="26"/>
      <c r="J925" s="15"/>
      <c r="K925" s="27"/>
      <c r="L925" s="25" t="str">
        <f aca="false">IF(B925="","",B925&amp;"|"&amp;J925)</f>
        <v/>
      </c>
    </row>
    <row r="926" customFormat="false" ht="15" hidden="false" customHeight="false" outlineLevel="0" collapsed="false">
      <c r="A926" s="15"/>
      <c r="B926" s="21"/>
      <c r="C926" s="21" t="str">
        <f aca="false">IF(B926="","",IFERROR(INDEX(代理店一覧!$B$5:$B$204,MATCH(B926,代理店一覧!$A$5:$A$204,0)),"※未登録のID"))</f>
        <v/>
      </c>
      <c r="D926" s="21"/>
      <c r="E926" s="21"/>
      <c r="F926" s="21"/>
      <c r="G926" s="18"/>
      <c r="H926" s="21"/>
      <c r="I926" s="26"/>
      <c r="J926" s="15"/>
      <c r="K926" s="27"/>
      <c r="L926" s="25" t="str">
        <f aca="false">IF(B926="","",B926&amp;"|"&amp;J926)</f>
        <v/>
      </c>
    </row>
    <row r="927" customFormat="false" ht="15" hidden="false" customHeight="false" outlineLevel="0" collapsed="false">
      <c r="A927" s="15"/>
      <c r="B927" s="21"/>
      <c r="C927" s="21" t="str">
        <f aca="false">IF(B927="","",IFERROR(INDEX(代理店一覧!$B$5:$B$204,MATCH(B927,代理店一覧!$A$5:$A$204,0)),"※未登録のID"))</f>
        <v/>
      </c>
      <c r="D927" s="21"/>
      <c r="E927" s="21"/>
      <c r="F927" s="21"/>
      <c r="G927" s="18"/>
      <c r="H927" s="21"/>
      <c r="I927" s="26"/>
      <c r="J927" s="15"/>
      <c r="K927" s="27"/>
      <c r="L927" s="25" t="str">
        <f aca="false">IF(B927="","",B927&amp;"|"&amp;J927)</f>
        <v/>
      </c>
    </row>
    <row r="928" customFormat="false" ht="15" hidden="false" customHeight="false" outlineLevel="0" collapsed="false">
      <c r="A928" s="15"/>
      <c r="B928" s="21"/>
      <c r="C928" s="21" t="str">
        <f aca="false">IF(B928="","",IFERROR(INDEX(代理店一覧!$B$5:$B$204,MATCH(B928,代理店一覧!$A$5:$A$204,0)),"※未登録のID"))</f>
        <v/>
      </c>
      <c r="D928" s="21"/>
      <c r="E928" s="21"/>
      <c r="F928" s="21"/>
      <c r="G928" s="18"/>
      <c r="H928" s="21"/>
      <c r="I928" s="26"/>
      <c r="J928" s="15"/>
      <c r="K928" s="27"/>
      <c r="L928" s="25" t="str">
        <f aca="false">IF(B928="","",B928&amp;"|"&amp;J928)</f>
        <v/>
      </c>
    </row>
    <row r="929" customFormat="false" ht="15" hidden="false" customHeight="false" outlineLevel="0" collapsed="false">
      <c r="A929" s="15"/>
      <c r="B929" s="21"/>
      <c r="C929" s="21" t="str">
        <f aca="false">IF(B929="","",IFERROR(INDEX(代理店一覧!$B$5:$B$204,MATCH(B929,代理店一覧!$A$5:$A$204,0)),"※未登録のID"))</f>
        <v/>
      </c>
      <c r="D929" s="21"/>
      <c r="E929" s="21"/>
      <c r="F929" s="21"/>
      <c r="G929" s="18"/>
      <c r="H929" s="21"/>
      <c r="I929" s="26"/>
      <c r="J929" s="15"/>
      <c r="K929" s="27"/>
      <c r="L929" s="25" t="str">
        <f aca="false">IF(B929="","",B929&amp;"|"&amp;J929)</f>
        <v/>
      </c>
    </row>
    <row r="930" customFormat="false" ht="15" hidden="false" customHeight="false" outlineLevel="0" collapsed="false">
      <c r="A930" s="15"/>
      <c r="B930" s="21"/>
      <c r="C930" s="21" t="str">
        <f aca="false">IF(B930="","",IFERROR(INDEX(代理店一覧!$B$5:$B$204,MATCH(B930,代理店一覧!$A$5:$A$204,0)),"※未登録のID"))</f>
        <v/>
      </c>
      <c r="D930" s="21"/>
      <c r="E930" s="21"/>
      <c r="F930" s="21"/>
      <c r="G930" s="18"/>
      <c r="H930" s="21"/>
      <c r="I930" s="26"/>
      <c r="J930" s="15"/>
      <c r="K930" s="27"/>
      <c r="L930" s="25" t="str">
        <f aca="false">IF(B930="","",B930&amp;"|"&amp;J930)</f>
        <v/>
      </c>
    </row>
    <row r="931" customFormat="false" ht="15" hidden="false" customHeight="false" outlineLevel="0" collapsed="false">
      <c r="A931" s="15"/>
      <c r="B931" s="21"/>
      <c r="C931" s="21" t="str">
        <f aca="false">IF(B931="","",IFERROR(INDEX(代理店一覧!$B$5:$B$204,MATCH(B931,代理店一覧!$A$5:$A$204,0)),"※未登録のID"))</f>
        <v/>
      </c>
      <c r="D931" s="21"/>
      <c r="E931" s="21"/>
      <c r="F931" s="21"/>
      <c r="G931" s="18"/>
      <c r="H931" s="21"/>
      <c r="I931" s="26"/>
      <c r="J931" s="15"/>
      <c r="K931" s="27"/>
      <c r="L931" s="25" t="str">
        <f aca="false">IF(B931="","",B931&amp;"|"&amp;J931)</f>
        <v/>
      </c>
    </row>
    <row r="932" customFormat="false" ht="15" hidden="false" customHeight="false" outlineLevel="0" collapsed="false">
      <c r="A932" s="15"/>
      <c r="B932" s="21"/>
      <c r="C932" s="21" t="str">
        <f aca="false">IF(B932="","",IFERROR(INDEX(代理店一覧!$B$5:$B$204,MATCH(B932,代理店一覧!$A$5:$A$204,0)),"※未登録のID"))</f>
        <v/>
      </c>
      <c r="D932" s="21"/>
      <c r="E932" s="21"/>
      <c r="F932" s="21"/>
      <c r="G932" s="18"/>
      <c r="H932" s="21"/>
      <c r="I932" s="26"/>
      <c r="J932" s="15"/>
      <c r="K932" s="27"/>
      <c r="L932" s="25" t="str">
        <f aca="false">IF(B932="","",B932&amp;"|"&amp;J932)</f>
        <v/>
      </c>
    </row>
    <row r="933" customFormat="false" ht="15" hidden="false" customHeight="false" outlineLevel="0" collapsed="false">
      <c r="A933" s="15"/>
      <c r="B933" s="21"/>
      <c r="C933" s="21" t="str">
        <f aca="false">IF(B933="","",IFERROR(INDEX(代理店一覧!$B$5:$B$204,MATCH(B933,代理店一覧!$A$5:$A$204,0)),"※未登録のID"))</f>
        <v/>
      </c>
      <c r="D933" s="21"/>
      <c r="E933" s="21"/>
      <c r="F933" s="21"/>
      <c r="G933" s="18"/>
      <c r="H933" s="21"/>
      <c r="I933" s="26"/>
      <c r="J933" s="15"/>
      <c r="K933" s="27"/>
      <c r="L933" s="25" t="str">
        <f aca="false">IF(B933="","",B933&amp;"|"&amp;J933)</f>
        <v/>
      </c>
    </row>
    <row r="934" customFormat="false" ht="15" hidden="false" customHeight="false" outlineLevel="0" collapsed="false">
      <c r="A934" s="15"/>
      <c r="B934" s="21"/>
      <c r="C934" s="21" t="str">
        <f aca="false">IF(B934="","",IFERROR(INDEX(代理店一覧!$B$5:$B$204,MATCH(B934,代理店一覧!$A$5:$A$204,0)),"※未登録のID"))</f>
        <v/>
      </c>
      <c r="D934" s="21"/>
      <c r="E934" s="21"/>
      <c r="F934" s="21"/>
      <c r="G934" s="18"/>
      <c r="H934" s="21"/>
      <c r="I934" s="26"/>
      <c r="J934" s="15"/>
      <c r="K934" s="27"/>
      <c r="L934" s="25" t="str">
        <f aca="false">IF(B934="","",B934&amp;"|"&amp;J934)</f>
        <v/>
      </c>
    </row>
    <row r="935" customFormat="false" ht="15" hidden="false" customHeight="false" outlineLevel="0" collapsed="false">
      <c r="A935" s="15"/>
      <c r="B935" s="21"/>
      <c r="C935" s="21" t="str">
        <f aca="false">IF(B935="","",IFERROR(INDEX(代理店一覧!$B$5:$B$204,MATCH(B935,代理店一覧!$A$5:$A$204,0)),"※未登録のID"))</f>
        <v/>
      </c>
      <c r="D935" s="21"/>
      <c r="E935" s="21"/>
      <c r="F935" s="21"/>
      <c r="G935" s="18"/>
      <c r="H935" s="21"/>
      <c r="I935" s="26"/>
      <c r="J935" s="15"/>
      <c r="K935" s="27"/>
      <c r="L935" s="25" t="str">
        <f aca="false">IF(B935="","",B935&amp;"|"&amp;J935)</f>
        <v/>
      </c>
    </row>
    <row r="936" customFormat="false" ht="15" hidden="false" customHeight="false" outlineLevel="0" collapsed="false">
      <c r="A936" s="15"/>
      <c r="B936" s="21"/>
      <c r="C936" s="21" t="str">
        <f aca="false">IF(B936="","",IFERROR(INDEX(代理店一覧!$B$5:$B$204,MATCH(B936,代理店一覧!$A$5:$A$204,0)),"※未登録のID"))</f>
        <v/>
      </c>
      <c r="D936" s="21"/>
      <c r="E936" s="21"/>
      <c r="F936" s="21"/>
      <c r="G936" s="18"/>
      <c r="H936" s="21"/>
      <c r="I936" s="26"/>
      <c r="J936" s="15"/>
      <c r="K936" s="27"/>
      <c r="L936" s="25" t="str">
        <f aca="false">IF(B936="","",B936&amp;"|"&amp;J936)</f>
        <v/>
      </c>
    </row>
    <row r="937" customFormat="false" ht="15" hidden="false" customHeight="false" outlineLevel="0" collapsed="false">
      <c r="A937" s="15"/>
      <c r="B937" s="21"/>
      <c r="C937" s="21" t="str">
        <f aca="false">IF(B937="","",IFERROR(INDEX(代理店一覧!$B$5:$B$204,MATCH(B937,代理店一覧!$A$5:$A$204,0)),"※未登録のID"))</f>
        <v/>
      </c>
      <c r="D937" s="21"/>
      <c r="E937" s="21"/>
      <c r="F937" s="21"/>
      <c r="G937" s="18"/>
      <c r="H937" s="21"/>
      <c r="I937" s="26"/>
      <c r="J937" s="15"/>
      <c r="K937" s="27"/>
      <c r="L937" s="25" t="str">
        <f aca="false">IF(B937="","",B937&amp;"|"&amp;J937)</f>
        <v/>
      </c>
    </row>
    <row r="938" customFormat="false" ht="15" hidden="false" customHeight="false" outlineLevel="0" collapsed="false">
      <c r="A938" s="15"/>
      <c r="B938" s="21"/>
      <c r="C938" s="21" t="str">
        <f aca="false">IF(B938="","",IFERROR(INDEX(代理店一覧!$B$5:$B$204,MATCH(B938,代理店一覧!$A$5:$A$204,0)),"※未登録のID"))</f>
        <v/>
      </c>
      <c r="D938" s="21"/>
      <c r="E938" s="21"/>
      <c r="F938" s="21"/>
      <c r="G938" s="18"/>
      <c r="H938" s="21"/>
      <c r="I938" s="26"/>
      <c r="J938" s="15"/>
      <c r="K938" s="27"/>
      <c r="L938" s="25" t="str">
        <f aca="false">IF(B938="","",B938&amp;"|"&amp;J938)</f>
        <v/>
      </c>
    </row>
    <row r="939" customFormat="false" ht="15" hidden="false" customHeight="false" outlineLevel="0" collapsed="false">
      <c r="A939" s="15"/>
      <c r="B939" s="21"/>
      <c r="C939" s="21" t="str">
        <f aca="false">IF(B939="","",IFERROR(INDEX(代理店一覧!$B$5:$B$204,MATCH(B939,代理店一覧!$A$5:$A$204,0)),"※未登録のID"))</f>
        <v/>
      </c>
      <c r="D939" s="21"/>
      <c r="E939" s="21"/>
      <c r="F939" s="21"/>
      <c r="G939" s="18"/>
      <c r="H939" s="21"/>
      <c r="I939" s="26"/>
      <c r="J939" s="15"/>
      <c r="K939" s="27"/>
      <c r="L939" s="25" t="str">
        <f aca="false">IF(B939="","",B939&amp;"|"&amp;J939)</f>
        <v/>
      </c>
    </row>
    <row r="940" customFormat="false" ht="15" hidden="false" customHeight="false" outlineLevel="0" collapsed="false">
      <c r="A940" s="15"/>
      <c r="B940" s="21"/>
      <c r="C940" s="21" t="str">
        <f aca="false">IF(B940="","",IFERROR(INDEX(代理店一覧!$B$5:$B$204,MATCH(B940,代理店一覧!$A$5:$A$204,0)),"※未登録のID"))</f>
        <v/>
      </c>
      <c r="D940" s="21"/>
      <c r="E940" s="21"/>
      <c r="F940" s="21"/>
      <c r="G940" s="18"/>
      <c r="H940" s="21"/>
      <c r="I940" s="26"/>
      <c r="J940" s="15"/>
      <c r="K940" s="27"/>
      <c r="L940" s="25" t="str">
        <f aca="false">IF(B940="","",B940&amp;"|"&amp;J940)</f>
        <v/>
      </c>
    </row>
    <row r="941" customFormat="false" ht="15" hidden="false" customHeight="false" outlineLevel="0" collapsed="false">
      <c r="A941" s="15"/>
      <c r="B941" s="21"/>
      <c r="C941" s="21" t="str">
        <f aca="false">IF(B941="","",IFERROR(INDEX(代理店一覧!$B$5:$B$204,MATCH(B941,代理店一覧!$A$5:$A$204,0)),"※未登録のID"))</f>
        <v/>
      </c>
      <c r="D941" s="21"/>
      <c r="E941" s="21"/>
      <c r="F941" s="21"/>
      <c r="G941" s="18"/>
      <c r="H941" s="21"/>
      <c r="I941" s="26"/>
      <c r="J941" s="15"/>
      <c r="K941" s="27"/>
      <c r="L941" s="25" t="str">
        <f aca="false">IF(B941="","",B941&amp;"|"&amp;J941)</f>
        <v/>
      </c>
    </row>
    <row r="942" customFormat="false" ht="15" hidden="false" customHeight="false" outlineLevel="0" collapsed="false">
      <c r="A942" s="15"/>
      <c r="B942" s="21"/>
      <c r="C942" s="21" t="str">
        <f aca="false">IF(B942="","",IFERROR(INDEX(代理店一覧!$B$5:$B$204,MATCH(B942,代理店一覧!$A$5:$A$204,0)),"※未登録のID"))</f>
        <v/>
      </c>
      <c r="D942" s="21"/>
      <c r="E942" s="21"/>
      <c r="F942" s="21"/>
      <c r="G942" s="18"/>
      <c r="H942" s="21"/>
      <c r="I942" s="26"/>
      <c r="J942" s="15"/>
      <c r="K942" s="27"/>
      <c r="L942" s="25" t="str">
        <f aca="false">IF(B942="","",B942&amp;"|"&amp;J942)</f>
        <v/>
      </c>
    </row>
    <row r="943" customFormat="false" ht="15" hidden="false" customHeight="false" outlineLevel="0" collapsed="false">
      <c r="A943" s="15"/>
      <c r="B943" s="21"/>
      <c r="C943" s="21" t="str">
        <f aca="false">IF(B943="","",IFERROR(INDEX(代理店一覧!$B$5:$B$204,MATCH(B943,代理店一覧!$A$5:$A$204,0)),"※未登録のID"))</f>
        <v/>
      </c>
      <c r="D943" s="21"/>
      <c r="E943" s="21"/>
      <c r="F943" s="21"/>
      <c r="G943" s="18"/>
      <c r="H943" s="21"/>
      <c r="I943" s="26"/>
      <c r="J943" s="15"/>
      <c r="K943" s="27"/>
      <c r="L943" s="25" t="str">
        <f aca="false">IF(B943="","",B943&amp;"|"&amp;J943)</f>
        <v/>
      </c>
    </row>
    <row r="944" customFormat="false" ht="15" hidden="false" customHeight="false" outlineLevel="0" collapsed="false">
      <c r="A944" s="15"/>
      <c r="B944" s="21"/>
      <c r="C944" s="21" t="str">
        <f aca="false">IF(B944="","",IFERROR(INDEX(代理店一覧!$B$5:$B$204,MATCH(B944,代理店一覧!$A$5:$A$204,0)),"※未登録のID"))</f>
        <v/>
      </c>
      <c r="D944" s="21"/>
      <c r="E944" s="21"/>
      <c r="F944" s="21"/>
      <c r="G944" s="18"/>
      <c r="H944" s="21"/>
      <c r="I944" s="26"/>
      <c r="J944" s="15"/>
      <c r="K944" s="27"/>
      <c r="L944" s="25" t="str">
        <f aca="false">IF(B944="","",B944&amp;"|"&amp;J944)</f>
        <v/>
      </c>
    </row>
    <row r="945" customFormat="false" ht="15" hidden="false" customHeight="false" outlineLevel="0" collapsed="false">
      <c r="A945" s="15"/>
      <c r="B945" s="21"/>
      <c r="C945" s="21" t="str">
        <f aca="false">IF(B945="","",IFERROR(INDEX(代理店一覧!$B$5:$B$204,MATCH(B945,代理店一覧!$A$5:$A$204,0)),"※未登録のID"))</f>
        <v/>
      </c>
      <c r="D945" s="21"/>
      <c r="E945" s="21"/>
      <c r="F945" s="21"/>
      <c r="G945" s="18"/>
      <c r="H945" s="21"/>
      <c r="I945" s="26"/>
      <c r="J945" s="15"/>
      <c r="K945" s="27"/>
      <c r="L945" s="25" t="str">
        <f aca="false">IF(B945="","",B945&amp;"|"&amp;J945)</f>
        <v/>
      </c>
    </row>
    <row r="946" customFormat="false" ht="15" hidden="false" customHeight="false" outlineLevel="0" collapsed="false">
      <c r="A946" s="15"/>
      <c r="B946" s="21"/>
      <c r="C946" s="21" t="str">
        <f aca="false">IF(B946="","",IFERROR(INDEX(代理店一覧!$B$5:$B$204,MATCH(B946,代理店一覧!$A$5:$A$204,0)),"※未登録のID"))</f>
        <v/>
      </c>
      <c r="D946" s="21"/>
      <c r="E946" s="21"/>
      <c r="F946" s="21"/>
      <c r="G946" s="18"/>
      <c r="H946" s="21"/>
      <c r="I946" s="26"/>
      <c r="J946" s="15"/>
      <c r="K946" s="27"/>
      <c r="L946" s="25" t="str">
        <f aca="false">IF(B946="","",B946&amp;"|"&amp;J946)</f>
        <v/>
      </c>
    </row>
    <row r="947" customFormat="false" ht="15" hidden="false" customHeight="false" outlineLevel="0" collapsed="false">
      <c r="A947" s="15"/>
      <c r="B947" s="21"/>
      <c r="C947" s="21" t="str">
        <f aca="false">IF(B947="","",IFERROR(INDEX(代理店一覧!$B$5:$B$204,MATCH(B947,代理店一覧!$A$5:$A$204,0)),"※未登録のID"))</f>
        <v/>
      </c>
      <c r="D947" s="21"/>
      <c r="E947" s="21"/>
      <c r="F947" s="21"/>
      <c r="G947" s="18"/>
      <c r="H947" s="21"/>
      <c r="I947" s="26"/>
      <c r="J947" s="15"/>
      <c r="K947" s="27"/>
      <c r="L947" s="25" t="str">
        <f aca="false">IF(B947="","",B947&amp;"|"&amp;J947)</f>
        <v/>
      </c>
    </row>
    <row r="948" customFormat="false" ht="15" hidden="false" customHeight="false" outlineLevel="0" collapsed="false">
      <c r="A948" s="15"/>
      <c r="B948" s="21"/>
      <c r="C948" s="21" t="str">
        <f aca="false">IF(B948="","",IFERROR(INDEX(代理店一覧!$B$5:$B$204,MATCH(B948,代理店一覧!$A$5:$A$204,0)),"※未登録のID"))</f>
        <v/>
      </c>
      <c r="D948" s="21"/>
      <c r="E948" s="21"/>
      <c r="F948" s="21"/>
      <c r="G948" s="18"/>
      <c r="H948" s="21"/>
      <c r="I948" s="26"/>
      <c r="J948" s="15"/>
      <c r="K948" s="27"/>
      <c r="L948" s="25" t="str">
        <f aca="false">IF(B948="","",B948&amp;"|"&amp;J948)</f>
        <v/>
      </c>
    </row>
    <row r="949" customFormat="false" ht="15" hidden="false" customHeight="false" outlineLevel="0" collapsed="false">
      <c r="A949" s="15"/>
      <c r="B949" s="21"/>
      <c r="C949" s="21" t="str">
        <f aca="false">IF(B949="","",IFERROR(INDEX(代理店一覧!$B$5:$B$204,MATCH(B949,代理店一覧!$A$5:$A$204,0)),"※未登録のID"))</f>
        <v/>
      </c>
      <c r="D949" s="21"/>
      <c r="E949" s="21"/>
      <c r="F949" s="21"/>
      <c r="G949" s="18"/>
      <c r="H949" s="21"/>
      <c r="I949" s="26"/>
      <c r="J949" s="15"/>
      <c r="K949" s="27"/>
      <c r="L949" s="25" t="str">
        <f aca="false">IF(B949="","",B949&amp;"|"&amp;J949)</f>
        <v/>
      </c>
    </row>
    <row r="950" customFormat="false" ht="15" hidden="false" customHeight="false" outlineLevel="0" collapsed="false">
      <c r="A950" s="15"/>
      <c r="B950" s="21"/>
      <c r="C950" s="21" t="str">
        <f aca="false">IF(B950="","",IFERROR(INDEX(代理店一覧!$B$5:$B$204,MATCH(B950,代理店一覧!$A$5:$A$204,0)),"※未登録のID"))</f>
        <v/>
      </c>
      <c r="D950" s="21"/>
      <c r="E950" s="21"/>
      <c r="F950" s="21"/>
      <c r="G950" s="18"/>
      <c r="H950" s="21"/>
      <c r="I950" s="26"/>
      <c r="J950" s="15"/>
      <c r="K950" s="27"/>
      <c r="L950" s="25" t="str">
        <f aca="false">IF(B950="","",B950&amp;"|"&amp;J950)</f>
        <v/>
      </c>
    </row>
    <row r="951" customFormat="false" ht="15" hidden="false" customHeight="false" outlineLevel="0" collapsed="false">
      <c r="A951" s="15"/>
      <c r="B951" s="21"/>
      <c r="C951" s="21" t="str">
        <f aca="false">IF(B951="","",IFERROR(INDEX(代理店一覧!$B$5:$B$204,MATCH(B951,代理店一覧!$A$5:$A$204,0)),"※未登録のID"))</f>
        <v/>
      </c>
      <c r="D951" s="21"/>
      <c r="E951" s="21"/>
      <c r="F951" s="21"/>
      <c r="G951" s="18"/>
      <c r="H951" s="21"/>
      <c r="I951" s="26"/>
      <c r="J951" s="15"/>
      <c r="K951" s="27"/>
      <c r="L951" s="25" t="str">
        <f aca="false">IF(B951="","",B951&amp;"|"&amp;J951)</f>
        <v/>
      </c>
    </row>
    <row r="952" customFormat="false" ht="15" hidden="false" customHeight="false" outlineLevel="0" collapsed="false">
      <c r="A952" s="15"/>
      <c r="B952" s="21"/>
      <c r="C952" s="21" t="str">
        <f aca="false">IF(B952="","",IFERROR(INDEX(代理店一覧!$B$5:$B$204,MATCH(B952,代理店一覧!$A$5:$A$204,0)),"※未登録のID"))</f>
        <v/>
      </c>
      <c r="D952" s="21"/>
      <c r="E952" s="21"/>
      <c r="F952" s="21"/>
      <c r="G952" s="18"/>
      <c r="H952" s="21"/>
      <c r="I952" s="26"/>
      <c r="J952" s="15"/>
      <c r="K952" s="27"/>
      <c r="L952" s="25" t="str">
        <f aca="false">IF(B952="","",B952&amp;"|"&amp;J952)</f>
        <v/>
      </c>
    </row>
    <row r="953" customFormat="false" ht="15" hidden="false" customHeight="false" outlineLevel="0" collapsed="false">
      <c r="A953" s="15"/>
      <c r="B953" s="21"/>
      <c r="C953" s="21" t="str">
        <f aca="false">IF(B953="","",IFERROR(INDEX(代理店一覧!$B$5:$B$204,MATCH(B953,代理店一覧!$A$5:$A$204,0)),"※未登録のID"))</f>
        <v/>
      </c>
      <c r="D953" s="21"/>
      <c r="E953" s="21"/>
      <c r="F953" s="21"/>
      <c r="G953" s="18"/>
      <c r="H953" s="21"/>
      <c r="I953" s="26"/>
      <c r="J953" s="15"/>
      <c r="K953" s="27"/>
      <c r="L953" s="25" t="str">
        <f aca="false">IF(B953="","",B953&amp;"|"&amp;J953)</f>
        <v/>
      </c>
    </row>
    <row r="954" customFormat="false" ht="15" hidden="false" customHeight="false" outlineLevel="0" collapsed="false">
      <c r="A954" s="15"/>
      <c r="B954" s="21"/>
      <c r="C954" s="21" t="str">
        <f aca="false">IF(B954="","",IFERROR(INDEX(代理店一覧!$B$5:$B$204,MATCH(B954,代理店一覧!$A$5:$A$204,0)),"※未登録のID"))</f>
        <v/>
      </c>
      <c r="D954" s="21"/>
      <c r="E954" s="21"/>
      <c r="F954" s="21"/>
      <c r="G954" s="18"/>
      <c r="H954" s="21"/>
      <c r="I954" s="26"/>
      <c r="J954" s="15"/>
      <c r="K954" s="27"/>
      <c r="L954" s="25" t="str">
        <f aca="false">IF(B954="","",B954&amp;"|"&amp;J954)</f>
        <v/>
      </c>
    </row>
    <row r="955" customFormat="false" ht="15" hidden="false" customHeight="false" outlineLevel="0" collapsed="false">
      <c r="A955" s="15"/>
      <c r="B955" s="21"/>
      <c r="C955" s="21" t="str">
        <f aca="false">IF(B955="","",IFERROR(INDEX(代理店一覧!$B$5:$B$204,MATCH(B955,代理店一覧!$A$5:$A$204,0)),"※未登録のID"))</f>
        <v/>
      </c>
      <c r="D955" s="21"/>
      <c r="E955" s="21"/>
      <c r="F955" s="21"/>
      <c r="G955" s="18"/>
      <c r="H955" s="21"/>
      <c r="I955" s="26"/>
      <c r="J955" s="15"/>
      <c r="K955" s="27"/>
      <c r="L955" s="25" t="str">
        <f aca="false">IF(B955="","",B955&amp;"|"&amp;J955)</f>
        <v/>
      </c>
    </row>
    <row r="956" customFormat="false" ht="15" hidden="false" customHeight="false" outlineLevel="0" collapsed="false">
      <c r="A956" s="15"/>
      <c r="B956" s="21"/>
      <c r="C956" s="21" t="str">
        <f aca="false">IF(B956="","",IFERROR(INDEX(代理店一覧!$B$5:$B$204,MATCH(B956,代理店一覧!$A$5:$A$204,0)),"※未登録のID"))</f>
        <v/>
      </c>
      <c r="D956" s="21"/>
      <c r="E956" s="21"/>
      <c r="F956" s="21"/>
      <c r="G956" s="18"/>
      <c r="H956" s="21"/>
      <c r="I956" s="26"/>
      <c r="J956" s="15"/>
      <c r="K956" s="27"/>
      <c r="L956" s="25" t="str">
        <f aca="false">IF(B956="","",B956&amp;"|"&amp;J956)</f>
        <v/>
      </c>
    </row>
    <row r="957" customFormat="false" ht="15" hidden="false" customHeight="false" outlineLevel="0" collapsed="false">
      <c r="A957" s="15"/>
      <c r="B957" s="21"/>
      <c r="C957" s="21" t="str">
        <f aca="false">IF(B957="","",IFERROR(INDEX(代理店一覧!$B$5:$B$204,MATCH(B957,代理店一覧!$A$5:$A$204,0)),"※未登録のID"))</f>
        <v/>
      </c>
      <c r="D957" s="21"/>
      <c r="E957" s="21"/>
      <c r="F957" s="21"/>
      <c r="G957" s="18"/>
      <c r="H957" s="21"/>
      <c r="I957" s="26"/>
      <c r="J957" s="15"/>
      <c r="K957" s="27"/>
      <c r="L957" s="25" t="str">
        <f aca="false">IF(B957="","",B957&amp;"|"&amp;J957)</f>
        <v/>
      </c>
    </row>
    <row r="958" customFormat="false" ht="15" hidden="false" customHeight="false" outlineLevel="0" collapsed="false">
      <c r="A958" s="15"/>
      <c r="B958" s="21"/>
      <c r="C958" s="21" t="str">
        <f aca="false">IF(B958="","",IFERROR(INDEX(代理店一覧!$B$5:$B$204,MATCH(B958,代理店一覧!$A$5:$A$204,0)),"※未登録のID"))</f>
        <v/>
      </c>
      <c r="D958" s="21"/>
      <c r="E958" s="21"/>
      <c r="F958" s="21"/>
      <c r="G958" s="18"/>
      <c r="H958" s="21"/>
      <c r="I958" s="26"/>
      <c r="J958" s="15"/>
      <c r="K958" s="27"/>
      <c r="L958" s="25" t="str">
        <f aca="false">IF(B958="","",B958&amp;"|"&amp;J958)</f>
        <v/>
      </c>
    </row>
    <row r="959" customFormat="false" ht="15" hidden="false" customHeight="false" outlineLevel="0" collapsed="false">
      <c r="A959" s="15"/>
      <c r="B959" s="21"/>
      <c r="C959" s="21" t="str">
        <f aca="false">IF(B959="","",IFERROR(INDEX(代理店一覧!$B$5:$B$204,MATCH(B959,代理店一覧!$A$5:$A$204,0)),"※未登録のID"))</f>
        <v/>
      </c>
      <c r="D959" s="21"/>
      <c r="E959" s="21"/>
      <c r="F959" s="21"/>
      <c r="G959" s="18"/>
      <c r="H959" s="21"/>
      <c r="I959" s="26"/>
      <c r="J959" s="15"/>
      <c r="K959" s="27"/>
      <c r="L959" s="25" t="str">
        <f aca="false">IF(B959="","",B959&amp;"|"&amp;J959)</f>
        <v/>
      </c>
    </row>
    <row r="960" customFormat="false" ht="15" hidden="false" customHeight="false" outlineLevel="0" collapsed="false">
      <c r="A960" s="15"/>
      <c r="B960" s="21"/>
      <c r="C960" s="21" t="str">
        <f aca="false">IF(B960="","",IFERROR(INDEX(代理店一覧!$B$5:$B$204,MATCH(B960,代理店一覧!$A$5:$A$204,0)),"※未登録のID"))</f>
        <v/>
      </c>
      <c r="D960" s="21"/>
      <c r="E960" s="21"/>
      <c r="F960" s="21"/>
      <c r="G960" s="18"/>
      <c r="H960" s="21"/>
      <c r="I960" s="26"/>
      <c r="J960" s="15"/>
      <c r="K960" s="27"/>
      <c r="L960" s="25" t="str">
        <f aca="false">IF(B960="","",B960&amp;"|"&amp;J960)</f>
        <v/>
      </c>
    </row>
    <row r="961" customFormat="false" ht="15" hidden="false" customHeight="false" outlineLevel="0" collapsed="false">
      <c r="A961" s="15"/>
      <c r="B961" s="21"/>
      <c r="C961" s="21" t="str">
        <f aca="false">IF(B961="","",IFERROR(INDEX(代理店一覧!$B$5:$B$204,MATCH(B961,代理店一覧!$A$5:$A$204,0)),"※未登録のID"))</f>
        <v/>
      </c>
      <c r="D961" s="21"/>
      <c r="E961" s="21"/>
      <c r="F961" s="21"/>
      <c r="G961" s="18"/>
      <c r="H961" s="21"/>
      <c r="I961" s="26"/>
      <c r="J961" s="15"/>
      <c r="K961" s="27"/>
      <c r="L961" s="25" t="str">
        <f aca="false">IF(B961="","",B961&amp;"|"&amp;J961)</f>
        <v/>
      </c>
    </row>
    <row r="962" customFormat="false" ht="15" hidden="false" customHeight="false" outlineLevel="0" collapsed="false">
      <c r="A962" s="15"/>
      <c r="B962" s="21"/>
      <c r="C962" s="21" t="str">
        <f aca="false">IF(B962="","",IFERROR(INDEX(代理店一覧!$B$5:$B$204,MATCH(B962,代理店一覧!$A$5:$A$204,0)),"※未登録のID"))</f>
        <v/>
      </c>
      <c r="D962" s="21"/>
      <c r="E962" s="21"/>
      <c r="F962" s="21"/>
      <c r="G962" s="18"/>
      <c r="H962" s="21"/>
      <c r="I962" s="26"/>
      <c r="J962" s="15"/>
      <c r="K962" s="27"/>
      <c r="L962" s="25" t="str">
        <f aca="false">IF(B962="","",B962&amp;"|"&amp;J962)</f>
        <v/>
      </c>
    </row>
    <row r="963" customFormat="false" ht="15" hidden="false" customHeight="false" outlineLevel="0" collapsed="false">
      <c r="A963" s="15"/>
      <c r="B963" s="21"/>
      <c r="C963" s="21" t="str">
        <f aca="false">IF(B963="","",IFERROR(INDEX(代理店一覧!$B$5:$B$204,MATCH(B963,代理店一覧!$A$5:$A$204,0)),"※未登録のID"))</f>
        <v/>
      </c>
      <c r="D963" s="21"/>
      <c r="E963" s="21"/>
      <c r="F963" s="21"/>
      <c r="G963" s="18"/>
      <c r="H963" s="21"/>
      <c r="I963" s="26"/>
      <c r="J963" s="15"/>
      <c r="K963" s="27"/>
      <c r="L963" s="25" t="str">
        <f aca="false">IF(B963="","",B963&amp;"|"&amp;J963)</f>
        <v/>
      </c>
    </row>
    <row r="964" customFormat="false" ht="15" hidden="false" customHeight="false" outlineLevel="0" collapsed="false">
      <c r="A964" s="15"/>
      <c r="B964" s="21"/>
      <c r="C964" s="21" t="str">
        <f aca="false">IF(B964="","",IFERROR(INDEX(代理店一覧!$B$5:$B$204,MATCH(B964,代理店一覧!$A$5:$A$204,0)),"※未登録のID"))</f>
        <v/>
      </c>
      <c r="D964" s="21"/>
      <c r="E964" s="21"/>
      <c r="F964" s="21"/>
      <c r="G964" s="18"/>
      <c r="H964" s="21"/>
      <c r="I964" s="26"/>
      <c r="J964" s="15"/>
      <c r="K964" s="27"/>
      <c r="L964" s="25" t="str">
        <f aca="false">IF(B964="","",B964&amp;"|"&amp;J964)</f>
        <v/>
      </c>
    </row>
    <row r="965" customFormat="false" ht="15" hidden="false" customHeight="false" outlineLevel="0" collapsed="false">
      <c r="A965" s="15"/>
      <c r="B965" s="21"/>
      <c r="C965" s="21" t="str">
        <f aca="false">IF(B965="","",IFERROR(INDEX(代理店一覧!$B$5:$B$204,MATCH(B965,代理店一覧!$A$5:$A$204,0)),"※未登録のID"))</f>
        <v/>
      </c>
      <c r="D965" s="21"/>
      <c r="E965" s="21"/>
      <c r="F965" s="21"/>
      <c r="G965" s="18"/>
      <c r="H965" s="21"/>
      <c r="I965" s="26"/>
      <c r="J965" s="15"/>
      <c r="K965" s="27"/>
      <c r="L965" s="25" t="str">
        <f aca="false">IF(B965="","",B965&amp;"|"&amp;J965)</f>
        <v/>
      </c>
    </row>
    <row r="966" customFormat="false" ht="15" hidden="false" customHeight="false" outlineLevel="0" collapsed="false">
      <c r="A966" s="15"/>
      <c r="B966" s="21"/>
      <c r="C966" s="21" t="str">
        <f aca="false">IF(B966="","",IFERROR(INDEX(代理店一覧!$B$5:$B$204,MATCH(B966,代理店一覧!$A$5:$A$204,0)),"※未登録のID"))</f>
        <v/>
      </c>
      <c r="D966" s="21"/>
      <c r="E966" s="21"/>
      <c r="F966" s="21"/>
      <c r="G966" s="18"/>
      <c r="H966" s="21"/>
      <c r="I966" s="26"/>
      <c r="J966" s="15"/>
      <c r="K966" s="27"/>
      <c r="L966" s="25" t="str">
        <f aca="false">IF(B966="","",B966&amp;"|"&amp;J966)</f>
        <v/>
      </c>
    </row>
    <row r="967" customFormat="false" ht="15" hidden="false" customHeight="false" outlineLevel="0" collapsed="false">
      <c r="A967" s="15"/>
      <c r="B967" s="21"/>
      <c r="C967" s="21" t="str">
        <f aca="false">IF(B967="","",IFERROR(INDEX(代理店一覧!$B$5:$B$204,MATCH(B967,代理店一覧!$A$5:$A$204,0)),"※未登録のID"))</f>
        <v/>
      </c>
      <c r="D967" s="21"/>
      <c r="E967" s="21"/>
      <c r="F967" s="21"/>
      <c r="G967" s="18"/>
      <c r="H967" s="21"/>
      <c r="I967" s="26"/>
      <c r="J967" s="15"/>
      <c r="K967" s="27"/>
      <c r="L967" s="25" t="str">
        <f aca="false">IF(B967="","",B967&amp;"|"&amp;J967)</f>
        <v/>
      </c>
    </row>
    <row r="968" customFormat="false" ht="15" hidden="false" customHeight="false" outlineLevel="0" collapsed="false">
      <c r="A968" s="15"/>
      <c r="B968" s="21"/>
      <c r="C968" s="21" t="str">
        <f aca="false">IF(B968="","",IFERROR(INDEX(代理店一覧!$B$5:$B$204,MATCH(B968,代理店一覧!$A$5:$A$204,0)),"※未登録のID"))</f>
        <v/>
      </c>
      <c r="D968" s="21"/>
      <c r="E968" s="21"/>
      <c r="F968" s="21"/>
      <c r="G968" s="18"/>
      <c r="H968" s="21"/>
      <c r="I968" s="26"/>
      <c r="J968" s="15"/>
      <c r="K968" s="27"/>
      <c r="L968" s="25" t="str">
        <f aca="false">IF(B968="","",B968&amp;"|"&amp;J968)</f>
        <v/>
      </c>
    </row>
    <row r="969" customFormat="false" ht="15" hidden="false" customHeight="false" outlineLevel="0" collapsed="false">
      <c r="A969" s="15"/>
      <c r="B969" s="21"/>
      <c r="C969" s="21" t="str">
        <f aca="false">IF(B969="","",IFERROR(INDEX(代理店一覧!$B$5:$B$204,MATCH(B969,代理店一覧!$A$5:$A$204,0)),"※未登録のID"))</f>
        <v/>
      </c>
      <c r="D969" s="21"/>
      <c r="E969" s="21"/>
      <c r="F969" s="21"/>
      <c r="G969" s="18"/>
      <c r="H969" s="21"/>
      <c r="I969" s="26"/>
      <c r="J969" s="15"/>
      <c r="K969" s="27"/>
      <c r="L969" s="25" t="str">
        <f aca="false">IF(B969="","",B969&amp;"|"&amp;J969)</f>
        <v/>
      </c>
    </row>
    <row r="970" customFormat="false" ht="15" hidden="false" customHeight="false" outlineLevel="0" collapsed="false">
      <c r="A970" s="15"/>
      <c r="B970" s="21"/>
      <c r="C970" s="21" t="str">
        <f aca="false">IF(B970="","",IFERROR(INDEX(代理店一覧!$B$5:$B$204,MATCH(B970,代理店一覧!$A$5:$A$204,0)),"※未登録のID"))</f>
        <v/>
      </c>
      <c r="D970" s="21"/>
      <c r="E970" s="21"/>
      <c r="F970" s="21"/>
      <c r="G970" s="18"/>
      <c r="H970" s="21"/>
      <c r="I970" s="26"/>
      <c r="J970" s="15"/>
      <c r="K970" s="27"/>
      <c r="L970" s="25" t="str">
        <f aca="false">IF(B970="","",B970&amp;"|"&amp;J970)</f>
        <v/>
      </c>
    </row>
    <row r="971" customFormat="false" ht="15" hidden="false" customHeight="false" outlineLevel="0" collapsed="false">
      <c r="A971" s="15"/>
      <c r="B971" s="21"/>
      <c r="C971" s="21" t="str">
        <f aca="false">IF(B971="","",IFERROR(INDEX(代理店一覧!$B$5:$B$204,MATCH(B971,代理店一覧!$A$5:$A$204,0)),"※未登録のID"))</f>
        <v/>
      </c>
      <c r="D971" s="21"/>
      <c r="E971" s="21"/>
      <c r="F971" s="21"/>
      <c r="G971" s="18"/>
      <c r="H971" s="21"/>
      <c r="I971" s="26"/>
      <c r="J971" s="15"/>
      <c r="K971" s="27"/>
      <c r="L971" s="25" t="str">
        <f aca="false">IF(B971="","",B971&amp;"|"&amp;J971)</f>
        <v/>
      </c>
    </row>
    <row r="972" customFormat="false" ht="15" hidden="false" customHeight="false" outlineLevel="0" collapsed="false">
      <c r="A972" s="15"/>
      <c r="B972" s="21"/>
      <c r="C972" s="21" t="str">
        <f aca="false">IF(B972="","",IFERROR(INDEX(代理店一覧!$B$5:$B$204,MATCH(B972,代理店一覧!$A$5:$A$204,0)),"※未登録のID"))</f>
        <v/>
      </c>
      <c r="D972" s="21"/>
      <c r="E972" s="21"/>
      <c r="F972" s="21"/>
      <c r="G972" s="18"/>
      <c r="H972" s="21"/>
      <c r="I972" s="26"/>
      <c r="J972" s="15"/>
      <c r="K972" s="27"/>
      <c r="L972" s="25" t="str">
        <f aca="false">IF(B972="","",B972&amp;"|"&amp;J972)</f>
        <v/>
      </c>
    </row>
    <row r="973" customFormat="false" ht="15" hidden="false" customHeight="false" outlineLevel="0" collapsed="false">
      <c r="A973" s="15"/>
      <c r="B973" s="21"/>
      <c r="C973" s="21" t="str">
        <f aca="false">IF(B973="","",IFERROR(INDEX(代理店一覧!$B$5:$B$204,MATCH(B973,代理店一覧!$A$5:$A$204,0)),"※未登録のID"))</f>
        <v/>
      </c>
      <c r="D973" s="21"/>
      <c r="E973" s="21"/>
      <c r="F973" s="21"/>
      <c r="G973" s="18"/>
      <c r="H973" s="21"/>
      <c r="I973" s="26"/>
      <c r="J973" s="15"/>
      <c r="K973" s="27"/>
      <c r="L973" s="25" t="str">
        <f aca="false">IF(B973="","",B973&amp;"|"&amp;J973)</f>
        <v/>
      </c>
    </row>
    <row r="974" customFormat="false" ht="15" hidden="false" customHeight="false" outlineLevel="0" collapsed="false">
      <c r="A974" s="15"/>
      <c r="B974" s="21"/>
      <c r="C974" s="21" t="str">
        <f aca="false">IF(B974="","",IFERROR(INDEX(代理店一覧!$B$5:$B$204,MATCH(B974,代理店一覧!$A$5:$A$204,0)),"※未登録のID"))</f>
        <v/>
      </c>
      <c r="D974" s="21"/>
      <c r="E974" s="21"/>
      <c r="F974" s="21"/>
      <c r="G974" s="18"/>
      <c r="H974" s="21"/>
      <c r="I974" s="26"/>
      <c r="J974" s="15"/>
      <c r="K974" s="27"/>
      <c r="L974" s="25" t="str">
        <f aca="false">IF(B974="","",B974&amp;"|"&amp;J974)</f>
        <v/>
      </c>
    </row>
    <row r="975" customFormat="false" ht="15" hidden="false" customHeight="false" outlineLevel="0" collapsed="false">
      <c r="A975" s="15"/>
      <c r="B975" s="21"/>
      <c r="C975" s="21" t="str">
        <f aca="false">IF(B975="","",IFERROR(INDEX(代理店一覧!$B$5:$B$204,MATCH(B975,代理店一覧!$A$5:$A$204,0)),"※未登録のID"))</f>
        <v/>
      </c>
      <c r="D975" s="21"/>
      <c r="E975" s="21"/>
      <c r="F975" s="21"/>
      <c r="G975" s="18"/>
      <c r="H975" s="21"/>
      <c r="I975" s="26"/>
      <c r="J975" s="15"/>
      <c r="K975" s="27"/>
      <c r="L975" s="25" t="str">
        <f aca="false">IF(B975="","",B975&amp;"|"&amp;J975)</f>
        <v/>
      </c>
    </row>
    <row r="976" customFormat="false" ht="15" hidden="false" customHeight="false" outlineLevel="0" collapsed="false">
      <c r="A976" s="15"/>
      <c r="B976" s="21"/>
      <c r="C976" s="21" t="str">
        <f aca="false">IF(B976="","",IFERROR(INDEX(代理店一覧!$B$5:$B$204,MATCH(B976,代理店一覧!$A$5:$A$204,0)),"※未登録のID"))</f>
        <v/>
      </c>
      <c r="D976" s="21"/>
      <c r="E976" s="21"/>
      <c r="F976" s="21"/>
      <c r="G976" s="18"/>
      <c r="H976" s="21"/>
      <c r="I976" s="26"/>
      <c r="J976" s="15"/>
      <c r="K976" s="27"/>
      <c r="L976" s="25" t="str">
        <f aca="false">IF(B976="","",B976&amp;"|"&amp;J976)</f>
        <v/>
      </c>
    </row>
    <row r="977" customFormat="false" ht="15" hidden="false" customHeight="false" outlineLevel="0" collapsed="false">
      <c r="A977" s="15"/>
      <c r="B977" s="21"/>
      <c r="C977" s="21" t="str">
        <f aca="false">IF(B977="","",IFERROR(INDEX(代理店一覧!$B$5:$B$204,MATCH(B977,代理店一覧!$A$5:$A$204,0)),"※未登録のID"))</f>
        <v/>
      </c>
      <c r="D977" s="21"/>
      <c r="E977" s="21"/>
      <c r="F977" s="21"/>
      <c r="G977" s="18"/>
      <c r="H977" s="21"/>
      <c r="I977" s="26"/>
      <c r="J977" s="15"/>
      <c r="K977" s="27"/>
      <c r="L977" s="25" t="str">
        <f aca="false">IF(B977="","",B977&amp;"|"&amp;J977)</f>
        <v/>
      </c>
    </row>
    <row r="978" customFormat="false" ht="15" hidden="false" customHeight="false" outlineLevel="0" collapsed="false">
      <c r="A978" s="15"/>
      <c r="B978" s="21"/>
      <c r="C978" s="21" t="str">
        <f aca="false">IF(B978="","",IFERROR(INDEX(代理店一覧!$B$5:$B$204,MATCH(B978,代理店一覧!$A$5:$A$204,0)),"※未登録のID"))</f>
        <v/>
      </c>
      <c r="D978" s="21"/>
      <c r="E978" s="21"/>
      <c r="F978" s="21"/>
      <c r="G978" s="18"/>
      <c r="H978" s="21"/>
      <c r="I978" s="26"/>
      <c r="J978" s="15"/>
      <c r="K978" s="27"/>
      <c r="L978" s="25" t="str">
        <f aca="false">IF(B978="","",B978&amp;"|"&amp;J978)</f>
        <v/>
      </c>
    </row>
    <row r="979" customFormat="false" ht="15" hidden="false" customHeight="false" outlineLevel="0" collapsed="false">
      <c r="A979" s="15"/>
      <c r="B979" s="21"/>
      <c r="C979" s="21" t="str">
        <f aca="false">IF(B979="","",IFERROR(INDEX(代理店一覧!$B$5:$B$204,MATCH(B979,代理店一覧!$A$5:$A$204,0)),"※未登録のID"))</f>
        <v/>
      </c>
      <c r="D979" s="21"/>
      <c r="E979" s="21"/>
      <c r="F979" s="21"/>
      <c r="G979" s="18"/>
      <c r="H979" s="21"/>
      <c r="I979" s="26"/>
      <c r="J979" s="15"/>
      <c r="K979" s="27"/>
      <c r="L979" s="25" t="str">
        <f aca="false">IF(B979="","",B979&amp;"|"&amp;J979)</f>
        <v/>
      </c>
    </row>
    <row r="980" customFormat="false" ht="15" hidden="false" customHeight="false" outlineLevel="0" collapsed="false">
      <c r="A980" s="15"/>
      <c r="B980" s="21"/>
      <c r="C980" s="21" t="str">
        <f aca="false">IF(B980="","",IFERROR(INDEX(代理店一覧!$B$5:$B$204,MATCH(B980,代理店一覧!$A$5:$A$204,0)),"※未登録のID"))</f>
        <v/>
      </c>
      <c r="D980" s="21"/>
      <c r="E980" s="21"/>
      <c r="F980" s="21"/>
      <c r="G980" s="18"/>
      <c r="H980" s="21"/>
      <c r="I980" s="26"/>
      <c r="J980" s="15"/>
      <c r="K980" s="27"/>
      <c r="L980" s="25" t="str">
        <f aca="false">IF(B980="","",B980&amp;"|"&amp;J980)</f>
        <v/>
      </c>
    </row>
    <row r="981" customFormat="false" ht="15" hidden="false" customHeight="false" outlineLevel="0" collapsed="false">
      <c r="A981" s="15"/>
      <c r="B981" s="21"/>
      <c r="C981" s="21" t="str">
        <f aca="false">IF(B981="","",IFERROR(INDEX(代理店一覧!$B$5:$B$204,MATCH(B981,代理店一覧!$A$5:$A$204,0)),"※未登録のID"))</f>
        <v/>
      </c>
      <c r="D981" s="21"/>
      <c r="E981" s="21"/>
      <c r="F981" s="21"/>
      <c r="G981" s="18"/>
      <c r="H981" s="21"/>
      <c r="I981" s="26"/>
      <c r="J981" s="15"/>
      <c r="K981" s="27"/>
      <c r="L981" s="25" t="str">
        <f aca="false">IF(B981="","",B981&amp;"|"&amp;J981)</f>
        <v/>
      </c>
    </row>
    <row r="982" customFormat="false" ht="15" hidden="false" customHeight="false" outlineLevel="0" collapsed="false">
      <c r="A982" s="15"/>
      <c r="B982" s="21"/>
      <c r="C982" s="21" t="str">
        <f aca="false">IF(B982="","",IFERROR(INDEX(代理店一覧!$B$5:$B$204,MATCH(B982,代理店一覧!$A$5:$A$204,0)),"※未登録のID"))</f>
        <v/>
      </c>
      <c r="D982" s="21"/>
      <c r="E982" s="21"/>
      <c r="F982" s="21"/>
      <c r="G982" s="18"/>
      <c r="H982" s="21"/>
      <c r="I982" s="26"/>
      <c r="J982" s="15"/>
      <c r="K982" s="27"/>
      <c r="L982" s="25" t="str">
        <f aca="false">IF(B982="","",B982&amp;"|"&amp;J982)</f>
        <v/>
      </c>
    </row>
    <row r="983" customFormat="false" ht="15" hidden="false" customHeight="false" outlineLevel="0" collapsed="false">
      <c r="A983" s="15"/>
      <c r="B983" s="21"/>
      <c r="C983" s="21" t="str">
        <f aca="false">IF(B983="","",IFERROR(INDEX(代理店一覧!$B$5:$B$204,MATCH(B983,代理店一覧!$A$5:$A$204,0)),"※未登録のID"))</f>
        <v/>
      </c>
      <c r="D983" s="21"/>
      <c r="E983" s="21"/>
      <c r="F983" s="21"/>
      <c r="G983" s="18"/>
      <c r="H983" s="21"/>
      <c r="I983" s="26"/>
      <c r="J983" s="15"/>
      <c r="K983" s="27"/>
      <c r="L983" s="25" t="str">
        <f aca="false">IF(B983="","",B983&amp;"|"&amp;J983)</f>
        <v/>
      </c>
    </row>
    <row r="984" customFormat="false" ht="15" hidden="false" customHeight="false" outlineLevel="0" collapsed="false">
      <c r="A984" s="15"/>
      <c r="B984" s="21"/>
      <c r="C984" s="21" t="str">
        <f aca="false">IF(B984="","",IFERROR(INDEX(代理店一覧!$B$5:$B$204,MATCH(B984,代理店一覧!$A$5:$A$204,0)),"※未登録のID"))</f>
        <v/>
      </c>
      <c r="D984" s="21"/>
      <c r="E984" s="21"/>
      <c r="F984" s="21"/>
      <c r="G984" s="18"/>
      <c r="H984" s="21"/>
      <c r="I984" s="26"/>
      <c r="J984" s="15"/>
      <c r="K984" s="27"/>
      <c r="L984" s="25" t="str">
        <f aca="false">IF(B984="","",B984&amp;"|"&amp;J984)</f>
        <v/>
      </c>
    </row>
    <row r="985" customFormat="false" ht="15" hidden="false" customHeight="false" outlineLevel="0" collapsed="false">
      <c r="A985" s="15"/>
      <c r="B985" s="21"/>
      <c r="C985" s="21" t="str">
        <f aca="false">IF(B985="","",IFERROR(INDEX(代理店一覧!$B$5:$B$204,MATCH(B985,代理店一覧!$A$5:$A$204,0)),"※未登録のID"))</f>
        <v/>
      </c>
      <c r="D985" s="21"/>
      <c r="E985" s="21"/>
      <c r="F985" s="21"/>
      <c r="G985" s="18"/>
      <c r="H985" s="21"/>
      <c r="I985" s="26"/>
      <c r="J985" s="15"/>
      <c r="K985" s="27"/>
      <c r="L985" s="25" t="str">
        <f aca="false">IF(B985="","",B985&amp;"|"&amp;J985)</f>
        <v/>
      </c>
    </row>
    <row r="986" customFormat="false" ht="15" hidden="false" customHeight="false" outlineLevel="0" collapsed="false">
      <c r="A986" s="15"/>
      <c r="B986" s="21"/>
      <c r="C986" s="21" t="str">
        <f aca="false">IF(B986="","",IFERROR(INDEX(代理店一覧!$B$5:$B$204,MATCH(B986,代理店一覧!$A$5:$A$204,0)),"※未登録のID"))</f>
        <v/>
      </c>
      <c r="D986" s="21"/>
      <c r="E986" s="21"/>
      <c r="F986" s="21"/>
      <c r="G986" s="18"/>
      <c r="H986" s="21"/>
      <c r="I986" s="26"/>
      <c r="J986" s="15"/>
      <c r="K986" s="27"/>
      <c r="L986" s="25" t="str">
        <f aca="false">IF(B986="","",B986&amp;"|"&amp;J986)</f>
        <v/>
      </c>
    </row>
    <row r="987" customFormat="false" ht="15" hidden="false" customHeight="false" outlineLevel="0" collapsed="false">
      <c r="A987" s="15"/>
      <c r="B987" s="21"/>
      <c r="C987" s="21" t="str">
        <f aca="false">IF(B987="","",IFERROR(INDEX(代理店一覧!$B$5:$B$204,MATCH(B987,代理店一覧!$A$5:$A$204,0)),"※未登録のID"))</f>
        <v/>
      </c>
      <c r="D987" s="21"/>
      <c r="E987" s="21"/>
      <c r="F987" s="21"/>
      <c r="G987" s="18"/>
      <c r="H987" s="21"/>
      <c r="I987" s="26"/>
      <c r="J987" s="15"/>
      <c r="K987" s="27"/>
      <c r="L987" s="25" t="str">
        <f aca="false">IF(B987="","",B987&amp;"|"&amp;J987)</f>
        <v/>
      </c>
    </row>
    <row r="988" customFormat="false" ht="15" hidden="false" customHeight="false" outlineLevel="0" collapsed="false">
      <c r="A988" s="15"/>
      <c r="B988" s="21"/>
      <c r="C988" s="21" t="str">
        <f aca="false">IF(B988="","",IFERROR(INDEX(代理店一覧!$B$5:$B$204,MATCH(B988,代理店一覧!$A$5:$A$204,0)),"※未登録のID"))</f>
        <v/>
      </c>
      <c r="D988" s="21"/>
      <c r="E988" s="21"/>
      <c r="F988" s="21"/>
      <c r="G988" s="18"/>
      <c r="H988" s="21"/>
      <c r="I988" s="26"/>
      <c r="J988" s="15"/>
      <c r="K988" s="27"/>
      <c r="L988" s="25" t="str">
        <f aca="false">IF(B988="","",B988&amp;"|"&amp;J988)</f>
        <v/>
      </c>
    </row>
    <row r="989" customFormat="false" ht="15" hidden="false" customHeight="false" outlineLevel="0" collapsed="false">
      <c r="A989" s="15"/>
      <c r="B989" s="21"/>
      <c r="C989" s="21" t="str">
        <f aca="false">IF(B989="","",IFERROR(INDEX(代理店一覧!$B$5:$B$204,MATCH(B989,代理店一覧!$A$5:$A$204,0)),"※未登録のID"))</f>
        <v/>
      </c>
      <c r="D989" s="21"/>
      <c r="E989" s="21"/>
      <c r="F989" s="21"/>
      <c r="G989" s="18"/>
      <c r="H989" s="21"/>
      <c r="I989" s="26"/>
      <c r="J989" s="15"/>
      <c r="K989" s="27"/>
      <c r="L989" s="25" t="str">
        <f aca="false">IF(B989="","",B989&amp;"|"&amp;J989)</f>
        <v/>
      </c>
    </row>
    <row r="990" customFormat="false" ht="15" hidden="false" customHeight="false" outlineLevel="0" collapsed="false">
      <c r="A990" s="15"/>
      <c r="B990" s="21"/>
      <c r="C990" s="21" t="str">
        <f aca="false">IF(B990="","",IFERROR(INDEX(代理店一覧!$B$5:$B$204,MATCH(B990,代理店一覧!$A$5:$A$204,0)),"※未登録のID"))</f>
        <v/>
      </c>
      <c r="D990" s="21"/>
      <c r="E990" s="21"/>
      <c r="F990" s="21"/>
      <c r="G990" s="18"/>
      <c r="H990" s="21"/>
      <c r="I990" s="26"/>
      <c r="J990" s="15"/>
      <c r="K990" s="27"/>
      <c r="L990" s="25" t="str">
        <f aca="false">IF(B990="","",B990&amp;"|"&amp;J990)</f>
        <v/>
      </c>
    </row>
    <row r="991" customFormat="false" ht="15" hidden="false" customHeight="false" outlineLevel="0" collapsed="false">
      <c r="A991" s="15"/>
      <c r="B991" s="21"/>
      <c r="C991" s="21" t="str">
        <f aca="false">IF(B991="","",IFERROR(INDEX(代理店一覧!$B$5:$B$204,MATCH(B991,代理店一覧!$A$5:$A$204,0)),"※未登録のID"))</f>
        <v/>
      </c>
      <c r="D991" s="21"/>
      <c r="E991" s="21"/>
      <c r="F991" s="21"/>
      <c r="G991" s="18"/>
      <c r="H991" s="21"/>
      <c r="I991" s="26"/>
      <c r="J991" s="15"/>
      <c r="K991" s="27"/>
      <c r="L991" s="25" t="str">
        <f aca="false">IF(B991="","",B991&amp;"|"&amp;J991)</f>
        <v/>
      </c>
    </row>
    <row r="992" customFormat="false" ht="15" hidden="false" customHeight="false" outlineLevel="0" collapsed="false">
      <c r="A992" s="15"/>
      <c r="B992" s="21"/>
      <c r="C992" s="21" t="str">
        <f aca="false">IF(B992="","",IFERROR(INDEX(代理店一覧!$B$5:$B$204,MATCH(B992,代理店一覧!$A$5:$A$204,0)),"※未登録のID"))</f>
        <v/>
      </c>
      <c r="D992" s="21"/>
      <c r="E992" s="21"/>
      <c r="F992" s="21"/>
      <c r="G992" s="18"/>
      <c r="H992" s="21"/>
      <c r="I992" s="26"/>
      <c r="J992" s="15"/>
      <c r="K992" s="27"/>
      <c r="L992" s="25" t="str">
        <f aca="false">IF(B992="","",B992&amp;"|"&amp;J992)</f>
        <v/>
      </c>
    </row>
    <row r="993" customFormat="false" ht="15" hidden="false" customHeight="false" outlineLevel="0" collapsed="false">
      <c r="A993" s="15"/>
      <c r="B993" s="21"/>
      <c r="C993" s="21" t="str">
        <f aca="false">IF(B993="","",IFERROR(INDEX(代理店一覧!$B$5:$B$204,MATCH(B993,代理店一覧!$A$5:$A$204,0)),"※未登録のID"))</f>
        <v/>
      </c>
      <c r="D993" s="21"/>
      <c r="E993" s="21"/>
      <c r="F993" s="21"/>
      <c r="G993" s="18"/>
      <c r="H993" s="21"/>
      <c r="I993" s="26"/>
      <c r="J993" s="15"/>
      <c r="K993" s="27"/>
      <c r="L993" s="25" t="str">
        <f aca="false">IF(B993="","",B993&amp;"|"&amp;J993)</f>
        <v/>
      </c>
    </row>
    <row r="994" customFormat="false" ht="15" hidden="false" customHeight="false" outlineLevel="0" collapsed="false">
      <c r="A994" s="15"/>
      <c r="B994" s="21"/>
      <c r="C994" s="21" t="str">
        <f aca="false">IF(B994="","",IFERROR(INDEX(代理店一覧!$B$5:$B$204,MATCH(B994,代理店一覧!$A$5:$A$204,0)),"※未登録のID"))</f>
        <v/>
      </c>
      <c r="D994" s="21"/>
      <c r="E994" s="21"/>
      <c r="F994" s="21"/>
      <c r="G994" s="18"/>
      <c r="H994" s="21"/>
      <c r="I994" s="26"/>
      <c r="J994" s="15"/>
      <c r="K994" s="27"/>
      <c r="L994" s="25" t="str">
        <f aca="false">IF(B994="","",B994&amp;"|"&amp;J994)</f>
        <v/>
      </c>
    </row>
    <row r="995" customFormat="false" ht="15" hidden="false" customHeight="false" outlineLevel="0" collapsed="false">
      <c r="A995" s="15"/>
      <c r="B995" s="21"/>
      <c r="C995" s="21" t="str">
        <f aca="false">IF(B995="","",IFERROR(INDEX(代理店一覧!$B$5:$B$204,MATCH(B995,代理店一覧!$A$5:$A$204,0)),"※未登録のID"))</f>
        <v/>
      </c>
      <c r="D995" s="21"/>
      <c r="E995" s="21"/>
      <c r="F995" s="21"/>
      <c r="G995" s="18"/>
      <c r="H995" s="21"/>
      <c r="I995" s="26"/>
      <c r="J995" s="15"/>
      <c r="K995" s="27"/>
      <c r="L995" s="25" t="str">
        <f aca="false">IF(B995="","",B995&amp;"|"&amp;J995)</f>
        <v/>
      </c>
    </row>
    <row r="996" customFormat="false" ht="15" hidden="false" customHeight="false" outlineLevel="0" collapsed="false">
      <c r="A996" s="15"/>
      <c r="B996" s="21"/>
      <c r="C996" s="21" t="str">
        <f aca="false">IF(B996="","",IFERROR(INDEX(代理店一覧!$B$5:$B$204,MATCH(B996,代理店一覧!$A$5:$A$204,0)),"※未登録のID"))</f>
        <v/>
      </c>
      <c r="D996" s="21"/>
      <c r="E996" s="21"/>
      <c r="F996" s="21"/>
      <c r="G996" s="18"/>
      <c r="H996" s="21"/>
      <c r="I996" s="26"/>
      <c r="J996" s="15"/>
      <c r="K996" s="27"/>
      <c r="L996" s="25" t="str">
        <f aca="false">IF(B996="","",B996&amp;"|"&amp;J996)</f>
        <v/>
      </c>
    </row>
    <row r="997" customFormat="false" ht="15" hidden="false" customHeight="false" outlineLevel="0" collapsed="false">
      <c r="A997" s="15"/>
      <c r="B997" s="21"/>
      <c r="C997" s="21" t="str">
        <f aca="false">IF(B997="","",IFERROR(INDEX(代理店一覧!$B$5:$B$204,MATCH(B997,代理店一覧!$A$5:$A$204,0)),"※未登録のID"))</f>
        <v/>
      </c>
      <c r="D997" s="21"/>
      <c r="E997" s="21"/>
      <c r="F997" s="21"/>
      <c r="G997" s="18"/>
      <c r="H997" s="21"/>
      <c r="I997" s="26"/>
      <c r="J997" s="15"/>
      <c r="K997" s="27"/>
      <c r="L997" s="25" t="str">
        <f aca="false">IF(B997="","",B997&amp;"|"&amp;J997)</f>
        <v/>
      </c>
    </row>
    <row r="998" customFormat="false" ht="15" hidden="false" customHeight="false" outlineLevel="0" collapsed="false">
      <c r="A998" s="15"/>
      <c r="B998" s="21"/>
      <c r="C998" s="21" t="str">
        <f aca="false">IF(B998="","",IFERROR(INDEX(代理店一覧!$B$5:$B$204,MATCH(B998,代理店一覧!$A$5:$A$204,0)),"※未登録のID"))</f>
        <v/>
      </c>
      <c r="D998" s="21"/>
      <c r="E998" s="21"/>
      <c r="F998" s="21"/>
      <c r="G998" s="18"/>
      <c r="H998" s="21"/>
      <c r="I998" s="26"/>
      <c r="J998" s="15"/>
      <c r="K998" s="27"/>
      <c r="L998" s="25" t="str">
        <f aca="false">IF(B998="","",B998&amp;"|"&amp;J998)</f>
        <v/>
      </c>
    </row>
    <row r="999" customFormat="false" ht="15" hidden="false" customHeight="false" outlineLevel="0" collapsed="false">
      <c r="A999" s="15"/>
      <c r="B999" s="21"/>
      <c r="C999" s="21" t="str">
        <f aca="false">IF(B999="","",IFERROR(INDEX(代理店一覧!$B$5:$B$204,MATCH(B999,代理店一覧!$A$5:$A$204,0)),"※未登録のID"))</f>
        <v/>
      </c>
      <c r="D999" s="21"/>
      <c r="E999" s="21"/>
      <c r="F999" s="21"/>
      <c r="G999" s="18"/>
      <c r="H999" s="21"/>
      <c r="I999" s="26"/>
      <c r="J999" s="15"/>
      <c r="K999" s="27"/>
      <c r="L999" s="25" t="str">
        <f aca="false">IF(B999="","",B999&amp;"|"&amp;J999)</f>
        <v/>
      </c>
    </row>
    <row r="1000" customFormat="false" ht="15" hidden="false" customHeight="false" outlineLevel="0" collapsed="false">
      <c r="A1000" s="15"/>
      <c r="B1000" s="21"/>
      <c r="C1000" s="21" t="str">
        <f aca="false">IF(B1000="","",IFERROR(INDEX(代理店一覧!$B$5:$B$204,MATCH(B1000,代理店一覧!$A$5:$A$204,0)),"※未登録のID"))</f>
        <v/>
      </c>
      <c r="D1000" s="21"/>
      <c r="E1000" s="21"/>
      <c r="F1000" s="21"/>
      <c r="G1000" s="18"/>
      <c r="H1000" s="21"/>
      <c r="I1000" s="26"/>
      <c r="J1000" s="15"/>
      <c r="K1000" s="27"/>
      <c r="L1000" s="25" t="str">
        <f aca="false">IF(B1000="","",B1000&amp;"|"&amp;J1000)</f>
        <v/>
      </c>
    </row>
    <row r="1001" customFormat="false" ht="15" hidden="false" customHeight="false" outlineLevel="0" collapsed="false">
      <c r="A1001" s="15"/>
      <c r="B1001" s="21"/>
      <c r="C1001" s="21" t="str">
        <f aca="false">IF(B1001="","",IFERROR(INDEX(代理店一覧!$B$5:$B$204,MATCH(B1001,代理店一覧!$A$5:$A$204,0)),"※未登録のID"))</f>
        <v/>
      </c>
      <c r="D1001" s="21"/>
      <c r="E1001" s="21"/>
      <c r="F1001" s="21"/>
      <c r="G1001" s="18"/>
      <c r="H1001" s="21"/>
      <c r="I1001" s="26"/>
      <c r="J1001" s="15"/>
      <c r="K1001" s="27"/>
      <c r="L1001" s="25" t="str">
        <f aca="false">IF(B1001="","",B1001&amp;"|"&amp;J1001)</f>
        <v/>
      </c>
    </row>
    <row r="1002" customFormat="false" ht="15" hidden="false" customHeight="false" outlineLevel="0" collapsed="false">
      <c r="A1002" s="15"/>
      <c r="B1002" s="21"/>
      <c r="C1002" s="21" t="str">
        <f aca="false">IF(B1002="","",IFERROR(INDEX(代理店一覧!$B$5:$B$204,MATCH(B1002,代理店一覧!$A$5:$A$204,0)),"※未登録のID"))</f>
        <v/>
      </c>
      <c r="D1002" s="21"/>
      <c r="E1002" s="21"/>
      <c r="F1002" s="21"/>
      <c r="G1002" s="18"/>
      <c r="H1002" s="21"/>
      <c r="I1002" s="26"/>
      <c r="J1002" s="15"/>
      <c r="K1002" s="27"/>
      <c r="L1002" s="25" t="str">
        <f aca="false">IF(B1002="","",B1002&amp;"|"&amp;J1002)</f>
        <v/>
      </c>
    </row>
    <row r="1003" customFormat="false" ht="15" hidden="false" customHeight="false" outlineLevel="0" collapsed="false">
      <c r="A1003" s="15"/>
      <c r="B1003" s="21"/>
      <c r="C1003" s="21" t="str">
        <f aca="false">IF(B1003="","",IFERROR(INDEX(代理店一覧!$B$5:$B$204,MATCH(B1003,代理店一覧!$A$5:$A$204,0)),"※未登録のID"))</f>
        <v/>
      </c>
      <c r="D1003" s="21"/>
      <c r="E1003" s="21"/>
      <c r="F1003" s="21"/>
      <c r="G1003" s="18"/>
      <c r="H1003" s="21"/>
      <c r="I1003" s="26"/>
      <c r="J1003" s="15"/>
      <c r="K1003" s="27"/>
      <c r="L1003" s="25" t="str">
        <f aca="false">IF(B1003="","",B1003&amp;"|"&amp;J1003)</f>
        <v/>
      </c>
    </row>
    <row r="1004" customFormat="false" ht="15" hidden="false" customHeight="false" outlineLevel="0" collapsed="false">
      <c r="A1004" s="15"/>
      <c r="B1004" s="21"/>
      <c r="C1004" s="21" t="str">
        <f aca="false">IF(B1004="","",IFERROR(INDEX(代理店一覧!$B$5:$B$204,MATCH(B1004,代理店一覧!$A$5:$A$204,0)),"※未登録のID"))</f>
        <v/>
      </c>
      <c r="D1004" s="21"/>
      <c r="E1004" s="21"/>
      <c r="F1004" s="21"/>
      <c r="G1004" s="18"/>
      <c r="H1004" s="21"/>
      <c r="I1004" s="26"/>
      <c r="J1004" s="15"/>
      <c r="K1004" s="27"/>
      <c r="L1004" s="25" t="str">
        <f aca="false">IF(B1004="","",B1004&amp;"|"&amp;J1004)</f>
        <v/>
      </c>
    </row>
    <row r="1005" customFormat="false" ht="15" hidden="false" customHeight="false" outlineLevel="0" collapsed="false">
      <c r="A1005" s="15"/>
      <c r="B1005" s="21"/>
      <c r="C1005" s="21" t="str">
        <f aca="false">IF(B1005="","",IFERROR(INDEX(代理店一覧!$B$5:$B$204,MATCH(B1005,代理店一覧!$A$5:$A$204,0)),"※未登録のID"))</f>
        <v/>
      </c>
      <c r="D1005" s="21"/>
      <c r="E1005" s="21"/>
      <c r="F1005" s="21"/>
      <c r="G1005" s="18"/>
      <c r="H1005" s="21"/>
      <c r="I1005" s="26"/>
      <c r="J1005" s="15"/>
      <c r="K1005" s="27"/>
      <c r="L1005" s="25" t="str">
        <f aca="false">IF(B1005="","",B1005&amp;"|"&amp;J1005)</f>
        <v/>
      </c>
    </row>
    <row r="1006" customFormat="false" ht="15" hidden="false" customHeight="false" outlineLevel="0" collapsed="false">
      <c r="A1006" s="15"/>
      <c r="B1006" s="21"/>
      <c r="C1006" s="21" t="str">
        <f aca="false">IF(B1006="","",IFERROR(INDEX(代理店一覧!$B$5:$B$204,MATCH(B1006,代理店一覧!$A$5:$A$204,0)),"※未登録のID"))</f>
        <v/>
      </c>
      <c r="D1006" s="21"/>
      <c r="E1006" s="21"/>
      <c r="F1006" s="21"/>
      <c r="G1006" s="18"/>
      <c r="H1006" s="21"/>
      <c r="I1006" s="26"/>
      <c r="J1006" s="15"/>
      <c r="K1006" s="27"/>
      <c r="L1006" s="25" t="str">
        <f aca="false">IF(B1006="","",B1006&amp;"|"&amp;J1006)</f>
        <v/>
      </c>
    </row>
    <row r="1007" customFormat="false" ht="15" hidden="false" customHeight="false" outlineLevel="0" collapsed="false">
      <c r="A1007" s="15"/>
      <c r="B1007" s="21"/>
      <c r="C1007" s="21" t="str">
        <f aca="false">IF(B1007="","",IFERROR(INDEX(代理店一覧!$B$5:$B$204,MATCH(B1007,代理店一覧!$A$5:$A$204,0)),"※未登録のID"))</f>
        <v/>
      </c>
      <c r="D1007" s="21"/>
      <c r="E1007" s="21"/>
      <c r="F1007" s="21"/>
      <c r="G1007" s="18"/>
      <c r="H1007" s="21"/>
      <c r="I1007" s="26"/>
      <c r="J1007" s="15"/>
      <c r="K1007" s="27"/>
      <c r="L1007" s="25" t="str">
        <f aca="false">IF(B1007="","",B1007&amp;"|"&amp;J1007)</f>
        <v/>
      </c>
    </row>
    <row r="1008" customFormat="false" ht="15" hidden="false" customHeight="false" outlineLevel="0" collapsed="false">
      <c r="A1008" s="15"/>
      <c r="B1008" s="21"/>
      <c r="C1008" s="21" t="str">
        <f aca="false">IF(B1008="","",IFERROR(INDEX(代理店一覧!$B$5:$B$204,MATCH(B1008,代理店一覧!$A$5:$A$204,0)),"※未登録のID"))</f>
        <v/>
      </c>
      <c r="D1008" s="21"/>
      <c r="E1008" s="21"/>
      <c r="F1008" s="21"/>
      <c r="G1008" s="18"/>
      <c r="H1008" s="21"/>
      <c r="I1008" s="26"/>
      <c r="J1008" s="15"/>
      <c r="K1008" s="27"/>
      <c r="L1008" s="25" t="str">
        <f aca="false">IF(B1008="","",B1008&amp;"|"&amp;J1008)</f>
        <v/>
      </c>
    </row>
    <row r="1009" customFormat="false" ht="15" hidden="false" customHeight="false" outlineLevel="0" collapsed="false">
      <c r="A1009" s="15"/>
      <c r="B1009" s="21"/>
      <c r="C1009" s="21" t="str">
        <f aca="false">IF(B1009="","",IFERROR(INDEX(代理店一覧!$B$5:$B$204,MATCH(B1009,代理店一覧!$A$5:$A$204,0)),"※未登録のID"))</f>
        <v/>
      </c>
      <c r="D1009" s="21"/>
      <c r="E1009" s="21"/>
      <c r="F1009" s="21"/>
      <c r="G1009" s="18"/>
      <c r="H1009" s="21"/>
      <c r="I1009" s="26"/>
      <c r="J1009" s="15"/>
      <c r="K1009" s="27"/>
      <c r="L1009" s="25" t="str">
        <f aca="false">IF(B1009="","",B1009&amp;"|"&amp;J1009)</f>
        <v/>
      </c>
    </row>
    <row r="1010" customFormat="false" ht="15" hidden="false" customHeight="false" outlineLevel="0" collapsed="false">
      <c r="A1010" s="15"/>
      <c r="B1010" s="21"/>
      <c r="C1010" s="21" t="str">
        <f aca="false">IF(B1010="","",IFERROR(INDEX(代理店一覧!$B$5:$B$204,MATCH(B1010,代理店一覧!$A$5:$A$204,0)),"※未登録のID"))</f>
        <v/>
      </c>
      <c r="D1010" s="21"/>
      <c r="E1010" s="21"/>
      <c r="F1010" s="21"/>
      <c r="G1010" s="18"/>
      <c r="H1010" s="21"/>
      <c r="I1010" s="26"/>
      <c r="J1010" s="15"/>
      <c r="K1010" s="27"/>
      <c r="L1010" s="25" t="str">
        <f aca="false">IF(B1010="","",B1010&amp;"|"&amp;J1010)</f>
        <v/>
      </c>
    </row>
    <row r="1011" customFormat="false" ht="15" hidden="false" customHeight="false" outlineLevel="0" collapsed="false">
      <c r="A1011" s="15"/>
      <c r="B1011" s="21"/>
      <c r="C1011" s="21" t="str">
        <f aca="false">IF(B1011="","",IFERROR(INDEX(代理店一覧!$B$5:$B$204,MATCH(B1011,代理店一覧!$A$5:$A$204,0)),"※未登録のID"))</f>
        <v/>
      </c>
      <c r="D1011" s="21"/>
      <c r="E1011" s="21"/>
      <c r="F1011" s="21"/>
      <c r="G1011" s="18"/>
      <c r="H1011" s="21"/>
      <c r="I1011" s="26"/>
      <c r="J1011" s="15"/>
      <c r="K1011" s="27"/>
      <c r="L1011" s="25" t="str">
        <f aca="false">IF(B1011="","",B1011&amp;"|"&amp;J1011)</f>
        <v/>
      </c>
    </row>
    <row r="1012" customFormat="false" ht="15" hidden="false" customHeight="false" outlineLevel="0" collapsed="false">
      <c r="A1012" s="15"/>
      <c r="B1012" s="21"/>
      <c r="C1012" s="21" t="str">
        <f aca="false">IF(B1012="","",IFERROR(INDEX(代理店一覧!$B$5:$B$204,MATCH(B1012,代理店一覧!$A$5:$A$204,0)),"※未登録のID"))</f>
        <v/>
      </c>
      <c r="D1012" s="21"/>
      <c r="E1012" s="21"/>
      <c r="F1012" s="21"/>
      <c r="G1012" s="18"/>
      <c r="H1012" s="21"/>
      <c r="I1012" s="26"/>
      <c r="J1012" s="15"/>
      <c r="K1012" s="27"/>
      <c r="L1012" s="25" t="str">
        <f aca="false">IF(B1012="","",B1012&amp;"|"&amp;J1012)</f>
        <v/>
      </c>
    </row>
    <row r="1013" customFormat="false" ht="15" hidden="false" customHeight="false" outlineLevel="0" collapsed="false">
      <c r="A1013" s="15"/>
      <c r="B1013" s="21"/>
      <c r="C1013" s="21" t="str">
        <f aca="false">IF(B1013="","",IFERROR(INDEX(代理店一覧!$B$5:$B$204,MATCH(B1013,代理店一覧!$A$5:$A$204,0)),"※未登録のID"))</f>
        <v/>
      </c>
      <c r="D1013" s="21"/>
      <c r="E1013" s="21"/>
      <c r="F1013" s="21"/>
      <c r="G1013" s="18"/>
      <c r="H1013" s="21"/>
      <c r="I1013" s="26"/>
      <c r="J1013" s="15"/>
      <c r="K1013" s="27"/>
      <c r="L1013" s="25" t="str">
        <f aca="false">IF(B1013="","",B1013&amp;"|"&amp;J1013)</f>
        <v/>
      </c>
    </row>
    <row r="1014" customFormat="false" ht="15" hidden="false" customHeight="false" outlineLevel="0" collapsed="false">
      <c r="A1014" s="15"/>
      <c r="B1014" s="21"/>
      <c r="C1014" s="21" t="str">
        <f aca="false">IF(B1014="","",IFERROR(INDEX(代理店一覧!$B$5:$B$204,MATCH(B1014,代理店一覧!$A$5:$A$204,0)),"※未登録のID"))</f>
        <v/>
      </c>
      <c r="D1014" s="21"/>
      <c r="E1014" s="21"/>
      <c r="F1014" s="21"/>
      <c r="G1014" s="18"/>
      <c r="H1014" s="21"/>
      <c r="I1014" s="26"/>
      <c r="J1014" s="15"/>
      <c r="K1014" s="27"/>
      <c r="L1014" s="25" t="str">
        <f aca="false">IF(B1014="","",B1014&amp;"|"&amp;J1014)</f>
        <v/>
      </c>
    </row>
    <row r="1015" customFormat="false" ht="15" hidden="false" customHeight="false" outlineLevel="0" collapsed="false">
      <c r="A1015" s="15"/>
      <c r="B1015" s="21"/>
      <c r="C1015" s="21" t="str">
        <f aca="false">IF(B1015="","",IFERROR(INDEX(代理店一覧!$B$5:$B$204,MATCH(B1015,代理店一覧!$A$5:$A$204,0)),"※未登録のID"))</f>
        <v/>
      </c>
      <c r="D1015" s="21"/>
      <c r="E1015" s="21"/>
      <c r="F1015" s="21"/>
      <c r="G1015" s="18"/>
      <c r="H1015" s="21"/>
      <c r="I1015" s="26"/>
      <c r="J1015" s="15"/>
      <c r="K1015" s="27"/>
      <c r="L1015" s="25" t="str">
        <f aca="false">IF(B1015="","",B1015&amp;"|"&amp;J1015)</f>
        <v/>
      </c>
    </row>
    <row r="1016" customFormat="false" ht="15" hidden="false" customHeight="false" outlineLevel="0" collapsed="false">
      <c r="A1016" s="15"/>
      <c r="B1016" s="21"/>
      <c r="C1016" s="21" t="str">
        <f aca="false">IF(B1016="","",IFERROR(INDEX(代理店一覧!$B$5:$B$204,MATCH(B1016,代理店一覧!$A$5:$A$204,0)),"※未登録のID"))</f>
        <v/>
      </c>
      <c r="D1016" s="21"/>
      <c r="E1016" s="21"/>
      <c r="F1016" s="21"/>
      <c r="G1016" s="18"/>
      <c r="H1016" s="21"/>
      <c r="I1016" s="26"/>
      <c r="J1016" s="15"/>
      <c r="K1016" s="27"/>
      <c r="L1016" s="25" t="str">
        <f aca="false">IF(B1016="","",B1016&amp;"|"&amp;J1016)</f>
        <v/>
      </c>
    </row>
    <row r="1017" customFormat="false" ht="15" hidden="false" customHeight="false" outlineLevel="0" collapsed="false">
      <c r="A1017" s="15"/>
      <c r="B1017" s="21"/>
      <c r="C1017" s="21" t="str">
        <f aca="false">IF(B1017="","",IFERROR(INDEX(代理店一覧!$B$5:$B$204,MATCH(B1017,代理店一覧!$A$5:$A$204,0)),"※未登録のID"))</f>
        <v/>
      </c>
      <c r="D1017" s="21"/>
      <c r="E1017" s="21"/>
      <c r="F1017" s="21"/>
      <c r="G1017" s="18"/>
      <c r="H1017" s="21"/>
      <c r="I1017" s="26"/>
      <c r="J1017" s="15"/>
      <c r="K1017" s="27"/>
      <c r="L1017" s="25" t="str">
        <f aca="false">IF(B1017="","",B1017&amp;"|"&amp;J1017)</f>
        <v/>
      </c>
    </row>
    <row r="1018" customFormat="false" ht="15" hidden="false" customHeight="false" outlineLevel="0" collapsed="false">
      <c r="A1018" s="15"/>
      <c r="B1018" s="21"/>
      <c r="C1018" s="21" t="str">
        <f aca="false">IF(B1018="","",IFERROR(INDEX(代理店一覧!$B$5:$B$204,MATCH(B1018,代理店一覧!$A$5:$A$204,0)),"※未登録のID"))</f>
        <v/>
      </c>
      <c r="D1018" s="21"/>
      <c r="E1018" s="21"/>
      <c r="F1018" s="21"/>
      <c r="G1018" s="18"/>
      <c r="H1018" s="21"/>
      <c r="I1018" s="26"/>
      <c r="J1018" s="15"/>
      <c r="K1018" s="27"/>
      <c r="L1018" s="25" t="str">
        <f aca="false">IF(B1018="","",B1018&amp;"|"&amp;J1018)</f>
        <v/>
      </c>
    </row>
    <row r="1019" customFormat="false" ht="15" hidden="false" customHeight="false" outlineLevel="0" collapsed="false">
      <c r="A1019" s="15"/>
      <c r="B1019" s="21"/>
      <c r="C1019" s="21" t="str">
        <f aca="false">IF(B1019="","",IFERROR(INDEX(代理店一覧!$B$5:$B$204,MATCH(B1019,代理店一覧!$A$5:$A$204,0)),"※未登録のID"))</f>
        <v/>
      </c>
      <c r="D1019" s="21"/>
      <c r="E1019" s="21"/>
      <c r="F1019" s="21"/>
      <c r="G1019" s="18"/>
      <c r="H1019" s="21"/>
      <c r="I1019" s="26"/>
      <c r="J1019" s="15"/>
      <c r="K1019" s="27"/>
      <c r="L1019" s="25" t="str">
        <f aca="false">IF(B1019="","",B1019&amp;"|"&amp;J1019)</f>
        <v/>
      </c>
    </row>
    <row r="1020" customFormat="false" ht="15" hidden="false" customHeight="false" outlineLevel="0" collapsed="false">
      <c r="A1020" s="15"/>
      <c r="B1020" s="21"/>
      <c r="C1020" s="21" t="str">
        <f aca="false">IF(B1020="","",IFERROR(INDEX(代理店一覧!$B$5:$B$204,MATCH(B1020,代理店一覧!$A$5:$A$204,0)),"※未登録のID"))</f>
        <v/>
      </c>
      <c r="D1020" s="21"/>
      <c r="E1020" s="21"/>
      <c r="F1020" s="21"/>
      <c r="G1020" s="18"/>
      <c r="H1020" s="21"/>
      <c r="I1020" s="26"/>
      <c r="J1020" s="15"/>
      <c r="K1020" s="27"/>
      <c r="L1020" s="25" t="str">
        <f aca="false">IF(B1020="","",B1020&amp;"|"&amp;J1020)</f>
        <v/>
      </c>
    </row>
    <row r="1021" customFormat="false" ht="15" hidden="false" customHeight="false" outlineLevel="0" collapsed="false">
      <c r="A1021" s="15"/>
      <c r="B1021" s="21"/>
      <c r="C1021" s="21" t="str">
        <f aca="false">IF(B1021="","",IFERROR(INDEX(代理店一覧!$B$5:$B$204,MATCH(B1021,代理店一覧!$A$5:$A$204,0)),"※未登録のID"))</f>
        <v/>
      </c>
      <c r="D1021" s="21"/>
      <c r="E1021" s="21"/>
      <c r="F1021" s="21"/>
      <c r="G1021" s="18"/>
      <c r="H1021" s="21"/>
      <c r="I1021" s="26"/>
      <c r="J1021" s="15"/>
      <c r="K1021" s="27"/>
      <c r="L1021" s="25" t="str">
        <f aca="false">IF(B1021="","",B1021&amp;"|"&amp;J1021)</f>
        <v/>
      </c>
    </row>
    <row r="1022" customFormat="false" ht="15" hidden="false" customHeight="false" outlineLevel="0" collapsed="false">
      <c r="A1022" s="15"/>
      <c r="B1022" s="21"/>
      <c r="C1022" s="21" t="str">
        <f aca="false">IF(B1022="","",IFERROR(INDEX(代理店一覧!$B$5:$B$204,MATCH(B1022,代理店一覧!$A$5:$A$204,0)),"※未登録のID"))</f>
        <v/>
      </c>
      <c r="D1022" s="21"/>
      <c r="E1022" s="21"/>
      <c r="F1022" s="21"/>
      <c r="G1022" s="18"/>
      <c r="H1022" s="21"/>
      <c r="I1022" s="26"/>
      <c r="J1022" s="15"/>
      <c r="K1022" s="27"/>
      <c r="L1022" s="25" t="str">
        <f aca="false">IF(B1022="","",B1022&amp;"|"&amp;J1022)</f>
        <v/>
      </c>
    </row>
    <row r="1023" customFormat="false" ht="15" hidden="false" customHeight="false" outlineLevel="0" collapsed="false">
      <c r="A1023" s="15"/>
      <c r="B1023" s="21"/>
      <c r="C1023" s="21" t="str">
        <f aca="false">IF(B1023="","",IFERROR(INDEX(代理店一覧!$B$5:$B$204,MATCH(B1023,代理店一覧!$A$5:$A$204,0)),"※未登録のID"))</f>
        <v/>
      </c>
      <c r="D1023" s="21"/>
      <c r="E1023" s="21"/>
      <c r="F1023" s="21"/>
      <c r="G1023" s="18"/>
      <c r="H1023" s="21"/>
      <c r="I1023" s="26"/>
      <c r="J1023" s="15"/>
      <c r="K1023" s="27"/>
      <c r="L1023" s="25" t="str">
        <f aca="false">IF(B1023="","",B1023&amp;"|"&amp;J1023)</f>
        <v/>
      </c>
    </row>
    <row r="1024" customFormat="false" ht="15" hidden="false" customHeight="false" outlineLevel="0" collapsed="false">
      <c r="A1024" s="15"/>
      <c r="B1024" s="21"/>
      <c r="C1024" s="21" t="str">
        <f aca="false">IF(B1024="","",IFERROR(INDEX(代理店一覧!$B$5:$B$204,MATCH(B1024,代理店一覧!$A$5:$A$204,0)),"※未登録のID"))</f>
        <v/>
      </c>
      <c r="D1024" s="21"/>
      <c r="E1024" s="21"/>
      <c r="F1024" s="21"/>
      <c r="G1024" s="18"/>
      <c r="H1024" s="21"/>
      <c r="I1024" s="26"/>
      <c r="J1024" s="15"/>
      <c r="K1024" s="27"/>
      <c r="L1024" s="25" t="str">
        <f aca="false">IF(B1024="","",B1024&amp;"|"&amp;J1024)</f>
        <v/>
      </c>
    </row>
    <row r="1025" customFormat="false" ht="15" hidden="false" customHeight="false" outlineLevel="0" collapsed="false">
      <c r="A1025" s="15"/>
      <c r="B1025" s="21"/>
      <c r="C1025" s="21" t="str">
        <f aca="false">IF(B1025="","",IFERROR(INDEX(代理店一覧!$B$5:$B$204,MATCH(B1025,代理店一覧!$A$5:$A$204,0)),"※未登録のID"))</f>
        <v/>
      </c>
      <c r="D1025" s="21"/>
      <c r="E1025" s="21"/>
      <c r="F1025" s="21"/>
      <c r="G1025" s="18"/>
      <c r="H1025" s="21"/>
      <c r="I1025" s="26"/>
      <c r="J1025" s="15"/>
      <c r="K1025" s="27"/>
      <c r="L1025" s="25" t="str">
        <f aca="false">IF(B1025="","",B1025&amp;"|"&amp;J1025)</f>
        <v/>
      </c>
    </row>
    <row r="1026" customFormat="false" ht="15" hidden="false" customHeight="false" outlineLevel="0" collapsed="false">
      <c r="A1026" s="15"/>
      <c r="B1026" s="21"/>
      <c r="C1026" s="21" t="str">
        <f aca="false">IF(B1026="","",IFERROR(INDEX(代理店一覧!$B$5:$B$204,MATCH(B1026,代理店一覧!$A$5:$A$204,0)),"※未登録のID"))</f>
        <v/>
      </c>
      <c r="D1026" s="21"/>
      <c r="E1026" s="21"/>
      <c r="F1026" s="21"/>
      <c r="G1026" s="18"/>
      <c r="H1026" s="21"/>
      <c r="I1026" s="26"/>
      <c r="J1026" s="15"/>
      <c r="K1026" s="27"/>
      <c r="L1026" s="25" t="str">
        <f aca="false">IF(B1026="","",B1026&amp;"|"&amp;J1026)</f>
        <v/>
      </c>
    </row>
    <row r="1027" customFormat="false" ht="15" hidden="false" customHeight="false" outlineLevel="0" collapsed="false">
      <c r="A1027" s="15"/>
      <c r="B1027" s="21"/>
      <c r="C1027" s="21" t="str">
        <f aca="false">IF(B1027="","",IFERROR(INDEX(代理店一覧!$B$5:$B$204,MATCH(B1027,代理店一覧!$A$5:$A$204,0)),"※未登録のID"))</f>
        <v/>
      </c>
      <c r="D1027" s="21"/>
      <c r="E1027" s="21"/>
      <c r="F1027" s="21"/>
      <c r="G1027" s="18"/>
      <c r="H1027" s="21"/>
      <c r="I1027" s="26"/>
      <c r="J1027" s="15"/>
      <c r="K1027" s="27"/>
      <c r="L1027" s="25" t="str">
        <f aca="false">IF(B1027="","",B1027&amp;"|"&amp;J1027)</f>
        <v/>
      </c>
    </row>
    <row r="1028" customFormat="false" ht="15" hidden="false" customHeight="false" outlineLevel="0" collapsed="false">
      <c r="A1028" s="15"/>
      <c r="B1028" s="21"/>
      <c r="C1028" s="21" t="str">
        <f aca="false">IF(B1028="","",IFERROR(INDEX(代理店一覧!$B$5:$B$204,MATCH(B1028,代理店一覧!$A$5:$A$204,0)),"※未登録のID"))</f>
        <v/>
      </c>
      <c r="D1028" s="21"/>
      <c r="E1028" s="21"/>
      <c r="F1028" s="21"/>
      <c r="G1028" s="18"/>
      <c r="H1028" s="21"/>
      <c r="I1028" s="26"/>
      <c r="J1028" s="15"/>
      <c r="K1028" s="27"/>
      <c r="L1028" s="25" t="str">
        <f aca="false">IF(B1028="","",B1028&amp;"|"&amp;J1028)</f>
        <v/>
      </c>
    </row>
    <row r="1029" customFormat="false" ht="15" hidden="false" customHeight="false" outlineLevel="0" collapsed="false">
      <c r="A1029" s="15"/>
      <c r="B1029" s="21"/>
      <c r="C1029" s="21" t="str">
        <f aca="false">IF(B1029="","",IFERROR(INDEX(代理店一覧!$B$5:$B$204,MATCH(B1029,代理店一覧!$A$5:$A$204,0)),"※未登録のID"))</f>
        <v/>
      </c>
      <c r="D1029" s="21"/>
      <c r="E1029" s="21"/>
      <c r="F1029" s="21"/>
      <c r="G1029" s="18"/>
      <c r="H1029" s="21"/>
      <c r="I1029" s="26"/>
      <c r="J1029" s="15"/>
      <c r="K1029" s="27"/>
      <c r="L1029" s="25" t="str">
        <f aca="false">IF(B1029="","",B1029&amp;"|"&amp;J1029)</f>
        <v/>
      </c>
    </row>
    <row r="1030" customFormat="false" ht="15" hidden="false" customHeight="false" outlineLevel="0" collapsed="false">
      <c r="A1030" s="15"/>
      <c r="B1030" s="21"/>
      <c r="C1030" s="21" t="str">
        <f aca="false">IF(B1030="","",IFERROR(INDEX(代理店一覧!$B$5:$B$204,MATCH(B1030,代理店一覧!$A$5:$A$204,0)),"※未登録のID"))</f>
        <v/>
      </c>
      <c r="D1030" s="21"/>
      <c r="E1030" s="21"/>
      <c r="F1030" s="21"/>
      <c r="G1030" s="18"/>
      <c r="H1030" s="21"/>
      <c r="I1030" s="26"/>
      <c r="J1030" s="15"/>
      <c r="K1030" s="27"/>
      <c r="L1030" s="25" t="str">
        <f aca="false">IF(B1030="","",B1030&amp;"|"&amp;J1030)</f>
        <v/>
      </c>
    </row>
    <row r="1031" customFormat="false" ht="15" hidden="false" customHeight="false" outlineLevel="0" collapsed="false">
      <c r="A1031" s="15"/>
      <c r="B1031" s="21"/>
      <c r="C1031" s="21" t="str">
        <f aca="false">IF(B1031="","",IFERROR(INDEX(代理店一覧!$B$5:$B$204,MATCH(B1031,代理店一覧!$A$5:$A$204,0)),"※未登録のID"))</f>
        <v/>
      </c>
      <c r="D1031" s="21"/>
      <c r="E1031" s="21"/>
      <c r="F1031" s="21"/>
      <c r="G1031" s="18"/>
      <c r="H1031" s="21"/>
      <c r="I1031" s="26"/>
      <c r="J1031" s="15"/>
      <c r="K1031" s="27"/>
      <c r="L1031" s="25" t="str">
        <f aca="false">IF(B1031="","",B1031&amp;"|"&amp;J1031)</f>
        <v/>
      </c>
    </row>
    <row r="1032" customFormat="false" ht="15" hidden="false" customHeight="false" outlineLevel="0" collapsed="false">
      <c r="A1032" s="15"/>
      <c r="B1032" s="21"/>
      <c r="C1032" s="21" t="str">
        <f aca="false">IF(B1032="","",IFERROR(INDEX(代理店一覧!$B$5:$B$204,MATCH(B1032,代理店一覧!$A$5:$A$204,0)),"※未登録のID"))</f>
        <v/>
      </c>
      <c r="D1032" s="21"/>
      <c r="E1032" s="21"/>
      <c r="F1032" s="21"/>
      <c r="G1032" s="18"/>
      <c r="H1032" s="21"/>
      <c r="I1032" s="26"/>
      <c r="J1032" s="15"/>
      <c r="K1032" s="27"/>
      <c r="L1032" s="25" t="str">
        <f aca="false">IF(B1032="","",B1032&amp;"|"&amp;J1032)</f>
        <v/>
      </c>
    </row>
    <row r="1033" customFormat="false" ht="15" hidden="false" customHeight="false" outlineLevel="0" collapsed="false">
      <c r="A1033" s="15"/>
      <c r="B1033" s="21"/>
      <c r="C1033" s="21" t="str">
        <f aca="false">IF(B1033="","",IFERROR(INDEX(代理店一覧!$B$5:$B$204,MATCH(B1033,代理店一覧!$A$5:$A$204,0)),"※未登録のID"))</f>
        <v/>
      </c>
      <c r="D1033" s="21"/>
      <c r="E1033" s="21"/>
      <c r="F1033" s="21"/>
      <c r="G1033" s="18"/>
      <c r="H1033" s="21"/>
      <c r="I1033" s="26"/>
      <c r="J1033" s="15"/>
      <c r="K1033" s="27"/>
      <c r="L1033" s="25" t="str">
        <f aca="false">IF(B1033="","",B1033&amp;"|"&amp;J1033)</f>
        <v/>
      </c>
    </row>
    <row r="1034" customFormat="false" ht="15" hidden="false" customHeight="false" outlineLevel="0" collapsed="false">
      <c r="A1034" s="15"/>
      <c r="B1034" s="21"/>
      <c r="C1034" s="21" t="str">
        <f aca="false">IF(B1034="","",IFERROR(INDEX(代理店一覧!$B$5:$B$204,MATCH(B1034,代理店一覧!$A$5:$A$204,0)),"※未登録のID"))</f>
        <v/>
      </c>
      <c r="D1034" s="21"/>
      <c r="E1034" s="21"/>
      <c r="F1034" s="21"/>
      <c r="G1034" s="18"/>
      <c r="H1034" s="21"/>
      <c r="I1034" s="26"/>
      <c r="J1034" s="15"/>
      <c r="K1034" s="27"/>
      <c r="L1034" s="25" t="str">
        <f aca="false">IF(B1034="","",B1034&amp;"|"&amp;J1034)</f>
        <v/>
      </c>
    </row>
    <row r="1035" customFormat="false" ht="15" hidden="false" customHeight="false" outlineLevel="0" collapsed="false">
      <c r="A1035" s="15"/>
      <c r="B1035" s="21"/>
      <c r="C1035" s="21" t="str">
        <f aca="false">IF(B1035="","",IFERROR(INDEX(代理店一覧!$B$5:$B$204,MATCH(B1035,代理店一覧!$A$5:$A$204,0)),"※未登録のID"))</f>
        <v/>
      </c>
      <c r="D1035" s="21"/>
      <c r="E1035" s="21"/>
      <c r="F1035" s="21"/>
      <c r="G1035" s="18"/>
      <c r="H1035" s="21"/>
      <c r="I1035" s="26"/>
      <c r="J1035" s="15"/>
      <c r="K1035" s="27"/>
      <c r="L1035" s="25" t="str">
        <f aca="false">IF(B1035="","",B1035&amp;"|"&amp;J1035)</f>
        <v/>
      </c>
    </row>
    <row r="1036" customFormat="false" ht="15" hidden="false" customHeight="false" outlineLevel="0" collapsed="false">
      <c r="A1036" s="15"/>
      <c r="B1036" s="21"/>
      <c r="C1036" s="21" t="str">
        <f aca="false">IF(B1036="","",IFERROR(INDEX(代理店一覧!$B$5:$B$204,MATCH(B1036,代理店一覧!$A$5:$A$204,0)),"※未登録のID"))</f>
        <v/>
      </c>
      <c r="D1036" s="21"/>
      <c r="E1036" s="21"/>
      <c r="F1036" s="21"/>
      <c r="G1036" s="18"/>
      <c r="H1036" s="21"/>
      <c r="I1036" s="26"/>
      <c r="J1036" s="15"/>
      <c r="K1036" s="27"/>
      <c r="L1036" s="25" t="str">
        <f aca="false">IF(B1036="","",B1036&amp;"|"&amp;J1036)</f>
        <v/>
      </c>
    </row>
    <row r="1037" customFormat="false" ht="15" hidden="false" customHeight="false" outlineLevel="0" collapsed="false">
      <c r="A1037" s="15"/>
      <c r="B1037" s="21"/>
      <c r="C1037" s="21" t="str">
        <f aca="false">IF(B1037="","",IFERROR(INDEX(代理店一覧!$B$5:$B$204,MATCH(B1037,代理店一覧!$A$5:$A$204,0)),"※未登録のID"))</f>
        <v/>
      </c>
      <c r="D1037" s="21"/>
      <c r="E1037" s="21"/>
      <c r="F1037" s="21"/>
      <c r="G1037" s="18"/>
      <c r="H1037" s="21"/>
      <c r="I1037" s="26"/>
      <c r="J1037" s="15"/>
      <c r="K1037" s="27"/>
      <c r="L1037" s="25" t="str">
        <f aca="false">IF(B1037="","",B1037&amp;"|"&amp;J1037)</f>
        <v/>
      </c>
    </row>
    <row r="1038" customFormat="false" ht="15" hidden="false" customHeight="false" outlineLevel="0" collapsed="false">
      <c r="A1038" s="15"/>
      <c r="B1038" s="21"/>
      <c r="C1038" s="21" t="str">
        <f aca="false">IF(B1038="","",IFERROR(INDEX(代理店一覧!$B$5:$B$204,MATCH(B1038,代理店一覧!$A$5:$A$204,0)),"※未登録のID"))</f>
        <v/>
      </c>
      <c r="D1038" s="21"/>
      <c r="E1038" s="21"/>
      <c r="F1038" s="21"/>
      <c r="G1038" s="18"/>
      <c r="H1038" s="21"/>
      <c r="I1038" s="26"/>
      <c r="J1038" s="15"/>
      <c r="K1038" s="27"/>
      <c r="L1038" s="25" t="str">
        <f aca="false">IF(B1038="","",B1038&amp;"|"&amp;J1038)</f>
        <v/>
      </c>
    </row>
    <row r="1039" customFormat="false" ht="15" hidden="false" customHeight="false" outlineLevel="0" collapsed="false">
      <c r="A1039" s="15"/>
      <c r="B1039" s="21"/>
      <c r="C1039" s="21" t="str">
        <f aca="false">IF(B1039="","",IFERROR(INDEX(代理店一覧!$B$5:$B$204,MATCH(B1039,代理店一覧!$A$5:$A$204,0)),"※未登録のID"))</f>
        <v/>
      </c>
      <c r="D1039" s="21"/>
      <c r="E1039" s="21"/>
      <c r="F1039" s="21"/>
      <c r="G1039" s="18"/>
      <c r="H1039" s="21"/>
      <c r="I1039" s="26"/>
      <c r="J1039" s="15"/>
      <c r="K1039" s="27"/>
      <c r="L1039" s="25" t="str">
        <f aca="false">IF(B1039="","",B1039&amp;"|"&amp;J1039)</f>
        <v/>
      </c>
    </row>
    <row r="1040" customFormat="false" ht="15" hidden="false" customHeight="false" outlineLevel="0" collapsed="false">
      <c r="A1040" s="15"/>
      <c r="B1040" s="21"/>
      <c r="C1040" s="21" t="str">
        <f aca="false">IF(B1040="","",IFERROR(INDEX(代理店一覧!$B$5:$B$204,MATCH(B1040,代理店一覧!$A$5:$A$204,0)),"※未登録のID"))</f>
        <v/>
      </c>
      <c r="D1040" s="21"/>
      <c r="E1040" s="21"/>
      <c r="F1040" s="21"/>
      <c r="G1040" s="18"/>
      <c r="H1040" s="21"/>
      <c r="I1040" s="26"/>
      <c r="J1040" s="15"/>
      <c r="K1040" s="27"/>
      <c r="L1040" s="25" t="str">
        <f aca="false">IF(B1040="","",B1040&amp;"|"&amp;J1040)</f>
        <v/>
      </c>
    </row>
    <row r="1041" customFormat="false" ht="15" hidden="false" customHeight="false" outlineLevel="0" collapsed="false">
      <c r="A1041" s="15"/>
      <c r="B1041" s="21"/>
      <c r="C1041" s="21" t="str">
        <f aca="false">IF(B1041="","",IFERROR(INDEX(代理店一覧!$B$5:$B$204,MATCH(B1041,代理店一覧!$A$5:$A$204,0)),"※未登録のID"))</f>
        <v/>
      </c>
      <c r="D1041" s="21"/>
      <c r="E1041" s="21"/>
      <c r="F1041" s="21"/>
      <c r="G1041" s="18"/>
      <c r="H1041" s="21"/>
      <c r="I1041" s="26"/>
      <c r="J1041" s="15"/>
      <c r="K1041" s="27"/>
      <c r="L1041" s="25" t="str">
        <f aca="false">IF(B1041="","",B1041&amp;"|"&amp;J1041)</f>
        <v/>
      </c>
    </row>
    <row r="1042" customFormat="false" ht="15" hidden="false" customHeight="false" outlineLevel="0" collapsed="false">
      <c r="A1042" s="15"/>
      <c r="B1042" s="21"/>
      <c r="C1042" s="21" t="str">
        <f aca="false">IF(B1042="","",IFERROR(INDEX(代理店一覧!$B$5:$B$204,MATCH(B1042,代理店一覧!$A$5:$A$204,0)),"※未登録のID"))</f>
        <v/>
      </c>
      <c r="D1042" s="21"/>
      <c r="E1042" s="21"/>
      <c r="F1042" s="21"/>
      <c r="G1042" s="18"/>
      <c r="H1042" s="21"/>
      <c r="I1042" s="26"/>
      <c r="J1042" s="15"/>
      <c r="K1042" s="27"/>
      <c r="L1042" s="25" t="str">
        <f aca="false">IF(B1042="","",B1042&amp;"|"&amp;J1042)</f>
        <v/>
      </c>
    </row>
    <row r="1043" customFormat="false" ht="15" hidden="false" customHeight="false" outlineLevel="0" collapsed="false">
      <c r="A1043" s="15"/>
      <c r="B1043" s="21"/>
      <c r="C1043" s="21" t="str">
        <f aca="false">IF(B1043="","",IFERROR(INDEX(代理店一覧!$B$5:$B$204,MATCH(B1043,代理店一覧!$A$5:$A$204,0)),"※未登録のID"))</f>
        <v/>
      </c>
      <c r="D1043" s="21"/>
      <c r="E1043" s="21"/>
      <c r="F1043" s="21"/>
      <c r="G1043" s="18"/>
      <c r="H1043" s="21"/>
      <c r="I1043" s="26"/>
      <c r="J1043" s="15"/>
      <c r="K1043" s="27"/>
      <c r="L1043" s="25" t="str">
        <f aca="false">IF(B1043="","",B1043&amp;"|"&amp;J1043)</f>
        <v/>
      </c>
    </row>
    <row r="1044" customFormat="false" ht="15" hidden="false" customHeight="false" outlineLevel="0" collapsed="false">
      <c r="A1044" s="15"/>
      <c r="B1044" s="21"/>
      <c r="C1044" s="21" t="str">
        <f aca="false">IF(B1044="","",IFERROR(INDEX(代理店一覧!$B$5:$B$204,MATCH(B1044,代理店一覧!$A$5:$A$204,0)),"※未登録のID"))</f>
        <v/>
      </c>
      <c r="D1044" s="21"/>
      <c r="E1044" s="21"/>
      <c r="F1044" s="21"/>
      <c r="G1044" s="18"/>
      <c r="H1044" s="21"/>
      <c r="I1044" s="26"/>
      <c r="J1044" s="15"/>
      <c r="K1044" s="27"/>
      <c r="L1044" s="25" t="str">
        <f aca="false">IF(B1044="","",B1044&amp;"|"&amp;J1044)</f>
        <v/>
      </c>
    </row>
    <row r="1045" customFormat="false" ht="15" hidden="false" customHeight="false" outlineLevel="0" collapsed="false">
      <c r="A1045" s="15"/>
      <c r="B1045" s="21"/>
      <c r="C1045" s="21" t="str">
        <f aca="false">IF(B1045="","",IFERROR(INDEX(代理店一覧!$B$5:$B$204,MATCH(B1045,代理店一覧!$A$5:$A$204,0)),"※未登録のID"))</f>
        <v/>
      </c>
      <c r="D1045" s="21"/>
      <c r="E1045" s="21"/>
      <c r="F1045" s="21"/>
      <c r="G1045" s="18"/>
      <c r="H1045" s="21"/>
      <c r="I1045" s="26"/>
      <c r="J1045" s="15"/>
      <c r="K1045" s="27"/>
      <c r="L1045" s="25" t="str">
        <f aca="false">IF(B1045="","",B1045&amp;"|"&amp;J1045)</f>
        <v/>
      </c>
    </row>
    <row r="1046" customFormat="false" ht="15" hidden="false" customHeight="false" outlineLevel="0" collapsed="false">
      <c r="A1046" s="15"/>
      <c r="B1046" s="21"/>
      <c r="C1046" s="21" t="str">
        <f aca="false">IF(B1046="","",IFERROR(INDEX(代理店一覧!$B$5:$B$204,MATCH(B1046,代理店一覧!$A$5:$A$204,0)),"※未登録のID"))</f>
        <v/>
      </c>
      <c r="D1046" s="21"/>
      <c r="E1046" s="21"/>
      <c r="F1046" s="21"/>
      <c r="G1046" s="18"/>
      <c r="H1046" s="21"/>
      <c r="I1046" s="26"/>
      <c r="J1046" s="15"/>
      <c r="K1046" s="27"/>
      <c r="L1046" s="25" t="str">
        <f aca="false">IF(B1046="","",B1046&amp;"|"&amp;J1046)</f>
        <v/>
      </c>
    </row>
    <row r="1047" customFormat="false" ht="15" hidden="false" customHeight="false" outlineLevel="0" collapsed="false">
      <c r="A1047" s="15"/>
      <c r="B1047" s="21"/>
      <c r="C1047" s="21" t="str">
        <f aca="false">IF(B1047="","",IFERROR(INDEX(代理店一覧!$B$5:$B$204,MATCH(B1047,代理店一覧!$A$5:$A$204,0)),"※未登録のID"))</f>
        <v/>
      </c>
      <c r="D1047" s="21"/>
      <c r="E1047" s="21"/>
      <c r="F1047" s="21"/>
      <c r="G1047" s="18"/>
      <c r="H1047" s="21"/>
      <c r="I1047" s="26"/>
      <c r="J1047" s="15"/>
      <c r="K1047" s="27"/>
      <c r="L1047" s="25" t="str">
        <f aca="false">IF(B1047="","",B1047&amp;"|"&amp;J1047)</f>
        <v/>
      </c>
    </row>
    <row r="1048" customFormat="false" ht="15" hidden="false" customHeight="false" outlineLevel="0" collapsed="false">
      <c r="A1048" s="15"/>
      <c r="B1048" s="21"/>
      <c r="C1048" s="21" t="str">
        <f aca="false">IF(B1048="","",IFERROR(INDEX(代理店一覧!$B$5:$B$204,MATCH(B1048,代理店一覧!$A$5:$A$204,0)),"※未登録のID"))</f>
        <v/>
      </c>
      <c r="D1048" s="21"/>
      <c r="E1048" s="21"/>
      <c r="F1048" s="21"/>
      <c r="G1048" s="18"/>
      <c r="H1048" s="21"/>
      <c r="I1048" s="26"/>
      <c r="J1048" s="15"/>
      <c r="K1048" s="27"/>
      <c r="L1048" s="25" t="str">
        <f aca="false">IF(B1048="","",B1048&amp;"|"&amp;J1048)</f>
        <v/>
      </c>
    </row>
    <row r="1049" customFormat="false" ht="15" hidden="false" customHeight="false" outlineLevel="0" collapsed="false">
      <c r="A1049" s="15"/>
      <c r="B1049" s="21"/>
      <c r="C1049" s="21" t="str">
        <f aca="false">IF(B1049="","",IFERROR(INDEX(代理店一覧!$B$5:$B$204,MATCH(B1049,代理店一覧!$A$5:$A$204,0)),"※未登録のID"))</f>
        <v/>
      </c>
      <c r="D1049" s="21"/>
      <c r="E1049" s="21"/>
      <c r="F1049" s="21"/>
      <c r="G1049" s="18"/>
      <c r="H1049" s="21"/>
      <c r="I1049" s="26"/>
      <c r="J1049" s="15"/>
      <c r="K1049" s="27"/>
      <c r="L1049" s="25" t="str">
        <f aca="false">IF(B1049="","",B1049&amp;"|"&amp;J1049)</f>
        <v/>
      </c>
    </row>
    <row r="1050" customFormat="false" ht="15" hidden="false" customHeight="false" outlineLevel="0" collapsed="false">
      <c r="A1050" s="15"/>
      <c r="B1050" s="21"/>
      <c r="C1050" s="21" t="str">
        <f aca="false">IF(B1050="","",IFERROR(INDEX(代理店一覧!$B$5:$B$204,MATCH(B1050,代理店一覧!$A$5:$A$204,0)),"※未登録のID"))</f>
        <v/>
      </c>
      <c r="D1050" s="21"/>
      <c r="E1050" s="21"/>
      <c r="F1050" s="21"/>
      <c r="G1050" s="18"/>
      <c r="H1050" s="21"/>
      <c r="I1050" s="26"/>
      <c r="J1050" s="15"/>
      <c r="K1050" s="27"/>
      <c r="L1050" s="25" t="str">
        <f aca="false">IF(B1050="","",B1050&amp;"|"&amp;J1050)</f>
        <v/>
      </c>
    </row>
    <row r="1051" customFormat="false" ht="15" hidden="false" customHeight="false" outlineLevel="0" collapsed="false">
      <c r="A1051" s="15"/>
      <c r="B1051" s="21"/>
      <c r="C1051" s="21" t="str">
        <f aca="false">IF(B1051="","",IFERROR(INDEX(代理店一覧!$B$5:$B$204,MATCH(B1051,代理店一覧!$A$5:$A$204,0)),"※未登録のID"))</f>
        <v/>
      </c>
      <c r="D1051" s="21"/>
      <c r="E1051" s="21"/>
      <c r="F1051" s="21"/>
      <c r="G1051" s="18"/>
      <c r="H1051" s="21"/>
      <c r="I1051" s="26"/>
      <c r="J1051" s="15"/>
      <c r="K1051" s="27"/>
      <c r="L1051" s="25" t="str">
        <f aca="false">IF(B1051="","",B1051&amp;"|"&amp;J1051)</f>
        <v/>
      </c>
    </row>
    <row r="1052" customFormat="false" ht="15" hidden="false" customHeight="false" outlineLevel="0" collapsed="false">
      <c r="A1052" s="15"/>
      <c r="B1052" s="21"/>
      <c r="C1052" s="21" t="str">
        <f aca="false">IF(B1052="","",IFERROR(INDEX(代理店一覧!$B$5:$B$204,MATCH(B1052,代理店一覧!$A$5:$A$204,0)),"※未登録のID"))</f>
        <v/>
      </c>
      <c r="D1052" s="21"/>
      <c r="E1052" s="21"/>
      <c r="F1052" s="21"/>
      <c r="G1052" s="18"/>
      <c r="H1052" s="21"/>
      <c r="I1052" s="26"/>
      <c r="J1052" s="15"/>
      <c r="K1052" s="27"/>
      <c r="L1052" s="25" t="str">
        <f aca="false">IF(B1052="","",B1052&amp;"|"&amp;J1052)</f>
        <v/>
      </c>
    </row>
    <row r="1053" customFormat="false" ht="15" hidden="false" customHeight="false" outlineLevel="0" collapsed="false">
      <c r="A1053" s="15"/>
      <c r="B1053" s="21"/>
      <c r="C1053" s="21" t="str">
        <f aca="false">IF(B1053="","",IFERROR(INDEX(代理店一覧!$B$5:$B$204,MATCH(B1053,代理店一覧!$A$5:$A$204,0)),"※未登録のID"))</f>
        <v/>
      </c>
      <c r="D1053" s="21"/>
      <c r="E1053" s="21"/>
      <c r="F1053" s="21"/>
      <c r="G1053" s="18"/>
      <c r="H1053" s="21"/>
      <c r="I1053" s="26"/>
      <c r="J1053" s="15"/>
      <c r="K1053" s="27"/>
      <c r="L1053" s="25" t="str">
        <f aca="false">IF(B1053="","",B1053&amp;"|"&amp;J1053)</f>
        <v/>
      </c>
    </row>
    <row r="1054" customFormat="false" ht="15" hidden="false" customHeight="false" outlineLevel="0" collapsed="false">
      <c r="A1054" s="15"/>
      <c r="B1054" s="21"/>
      <c r="C1054" s="21" t="str">
        <f aca="false">IF(B1054="","",IFERROR(INDEX(代理店一覧!$B$5:$B$204,MATCH(B1054,代理店一覧!$A$5:$A$204,0)),"※未登録のID"))</f>
        <v/>
      </c>
      <c r="D1054" s="21"/>
      <c r="E1054" s="21"/>
      <c r="F1054" s="21"/>
      <c r="G1054" s="18"/>
      <c r="H1054" s="21"/>
      <c r="I1054" s="26"/>
      <c r="J1054" s="15"/>
      <c r="K1054" s="27"/>
      <c r="L1054" s="25" t="str">
        <f aca="false">IF(B1054="","",B1054&amp;"|"&amp;J1054)</f>
        <v/>
      </c>
    </row>
    <row r="1055" customFormat="false" ht="15" hidden="false" customHeight="false" outlineLevel="0" collapsed="false">
      <c r="A1055" s="15"/>
      <c r="B1055" s="21"/>
      <c r="C1055" s="21" t="str">
        <f aca="false">IF(B1055="","",IFERROR(INDEX(代理店一覧!$B$5:$B$204,MATCH(B1055,代理店一覧!$A$5:$A$204,0)),"※未登録のID"))</f>
        <v/>
      </c>
      <c r="D1055" s="21"/>
      <c r="E1055" s="21"/>
      <c r="F1055" s="21"/>
      <c r="G1055" s="18"/>
      <c r="H1055" s="21"/>
      <c r="I1055" s="26"/>
      <c r="J1055" s="15"/>
      <c r="K1055" s="27"/>
      <c r="L1055" s="25" t="str">
        <f aca="false">IF(B1055="","",B1055&amp;"|"&amp;J1055)</f>
        <v/>
      </c>
    </row>
    <row r="1056" customFormat="false" ht="15" hidden="false" customHeight="false" outlineLevel="0" collapsed="false">
      <c r="A1056" s="15"/>
      <c r="B1056" s="21"/>
      <c r="C1056" s="21" t="str">
        <f aca="false">IF(B1056="","",IFERROR(INDEX(代理店一覧!$B$5:$B$204,MATCH(B1056,代理店一覧!$A$5:$A$204,0)),"※未登録のID"))</f>
        <v/>
      </c>
      <c r="D1056" s="21"/>
      <c r="E1056" s="21"/>
      <c r="F1056" s="21"/>
      <c r="G1056" s="18"/>
      <c r="H1056" s="21"/>
      <c r="I1056" s="26"/>
      <c r="J1056" s="15"/>
      <c r="K1056" s="27"/>
      <c r="L1056" s="25" t="str">
        <f aca="false">IF(B1056="","",B1056&amp;"|"&amp;J1056)</f>
        <v/>
      </c>
    </row>
    <row r="1057" customFormat="false" ht="15" hidden="false" customHeight="false" outlineLevel="0" collapsed="false">
      <c r="A1057" s="15"/>
      <c r="B1057" s="21"/>
      <c r="C1057" s="21" t="str">
        <f aca="false">IF(B1057="","",IFERROR(INDEX(代理店一覧!$B$5:$B$204,MATCH(B1057,代理店一覧!$A$5:$A$204,0)),"※未登録のID"))</f>
        <v/>
      </c>
      <c r="D1057" s="21"/>
      <c r="E1057" s="21"/>
      <c r="F1057" s="21"/>
      <c r="G1057" s="18"/>
      <c r="H1057" s="21"/>
      <c r="I1057" s="26"/>
      <c r="J1057" s="15"/>
      <c r="K1057" s="27"/>
      <c r="L1057" s="25" t="str">
        <f aca="false">IF(B1057="","",B1057&amp;"|"&amp;J1057)</f>
        <v/>
      </c>
    </row>
    <row r="1058" customFormat="false" ht="15" hidden="false" customHeight="false" outlineLevel="0" collapsed="false">
      <c r="A1058" s="15"/>
      <c r="B1058" s="21"/>
      <c r="C1058" s="21" t="str">
        <f aca="false">IF(B1058="","",IFERROR(INDEX(代理店一覧!$B$5:$B$204,MATCH(B1058,代理店一覧!$A$5:$A$204,0)),"※未登録のID"))</f>
        <v/>
      </c>
      <c r="D1058" s="21"/>
      <c r="E1058" s="21"/>
      <c r="F1058" s="21"/>
      <c r="G1058" s="18"/>
      <c r="H1058" s="21"/>
      <c r="I1058" s="26"/>
      <c r="J1058" s="15"/>
      <c r="K1058" s="27"/>
      <c r="L1058" s="25" t="str">
        <f aca="false">IF(B1058="","",B1058&amp;"|"&amp;J1058)</f>
        <v/>
      </c>
    </row>
    <row r="1059" customFormat="false" ht="15" hidden="false" customHeight="false" outlineLevel="0" collapsed="false">
      <c r="A1059" s="15"/>
      <c r="B1059" s="21"/>
      <c r="C1059" s="21" t="str">
        <f aca="false">IF(B1059="","",IFERROR(INDEX(代理店一覧!$B$5:$B$204,MATCH(B1059,代理店一覧!$A$5:$A$204,0)),"※未登録のID"))</f>
        <v/>
      </c>
      <c r="D1059" s="21"/>
      <c r="E1059" s="21"/>
      <c r="F1059" s="21"/>
      <c r="G1059" s="18"/>
      <c r="H1059" s="21"/>
      <c r="I1059" s="26"/>
      <c r="J1059" s="15"/>
      <c r="K1059" s="27"/>
      <c r="L1059" s="25" t="str">
        <f aca="false">IF(B1059="","",B1059&amp;"|"&amp;J1059)</f>
        <v/>
      </c>
    </row>
    <row r="1060" customFormat="false" ht="15" hidden="false" customHeight="false" outlineLevel="0" collapsed="false">
      <c r="A1060" s="15"/>
      <c r="B1060" s="21"/>
      <c r="C1060" s="21" t="str">
        <f aca="false">IF(B1060="","",IFERROR(INDEX(代理店一覧!$B$5:$B$204,MATCH(B1060,代理店一覧!$A$5:$A$204,0)),"※未登録のID"))</f>
        <v/>
      </c>
      <c r="D1060" s="21"/>
      <c r="E1060" s="21"/>
      <c r="F1060" s="21"/>
      <c r="G1060" s="18"/>
      <c r="H1060" s="21"/>
      <c r="I1060" s="26"/>
      <c r="J1060" s="15"/>
      <c r="K1060" s="27"/>
      <c r="L1060" s="25" t="str">
        <f aca="false">IF(B1060="","",B1060&amp;"|"&amp;J1060)</f>
        <v/>
      </c>
    </row>
    <row r="1061" customFormat="false" ht="15" hidden="false" customHeight="false" outlineLevel="0" collapsed="false">
      <c r="A1061" s="15"/>
      <c r="B1061" s="21"/>
      <c r="C1061" s="21" t="str">
        <f aca="false">IF(B1061="","",IFERROR(INDEX(代理店一覧!$B$5:$B$204,MATCH(B1061,代理店一覧!$A$5:$A$204,0)),"※未登録のID"))</f>
        <v/>
      </c>
      <c r="D1061" s="21"/>
      <c r="E1061" s="21"/>
      <c r="F1061" s="21"/>
      <c r="G1061" s="18"/>
      <c r="H1061" s="21"/>
      <c r="I1061" s="26"/>
      <c r="J1061" s="15"/>
      <c r="K1061" s="27"/>
      <c r="L1061" s="25" t="str">
        <f aca="false">IF(B1061="","",B1061&amp;"|"&amp;J1061)</f>
        <v/>
      </c>
    </row>
    <row r="1062" customFormat="false" ht="15" hidden="false" customHeight="false" outlineLevel="0" collapsed="false">
      <c r="A1062" s="15"/>
      <c r="B1062" s="21"/>
      <c r="C1062" s="21" t="str">
        <f aca="false">IF(B1062="","",IFERROR(INDEX(代理店一覧!$B$5:$B$204,MATCH(B1062,代理店一覧!$A$5:$A$204,0)),"※未登録のID"))</f>
        <v/>
      </c>
      <c r="D1062" s="21"/>
      <c r="E1062" s="21"/>
      <c r="F1062" s="21"/>
      <c r="G1062" s="18"/>
      <c r="H1062" s="21"/>
      <c r="I1062" s="26"/>
      <c r="J1062" s="15"/>
      <c r="K1062" s="27"/>
      <c r="L1062" s="25" t="str">
        <f aca="false">IF(B1062="","",B1062&amp;"|"&amp;J1062)</f>
        <v/>
      </c>
    </row>
    <row r="1063" customFormat="false" ht="15" hidden="false" customHeight="false" outlineLevel="0" collapsed="false">
      <c r="A1063" s="15"/>
      <c r="B1063" s="21"/>
      <c r="C1063" s="21" t="str">
        <f aca="false">IF(B1063="","",IFERROR(INDEX(代理店一覧!$B$5:$B$204,MATCH(B1063,代理店一覧!$A$5:$A$204,0)),"※未登録のID"))</f>
        <v/>
      </c>
      <c r="D1063" s="21"/>
      <c r="E1063" s="21"/>
      <c r="F1063" s="21"/>
      <c r="G1063" s="18"/>
      <c r="H1063" s="21"/>
      <c r="I1063" s="26"/>
      <c r="J1063" s="15"/>
      <c r="K1063" s="27"/>
      <c r="L1063" s="25" t="str">
        <f aca="false">IF(B1063="","",B1063&amp;"|"&amp;J1063)</f>
        <v/>
      </c>
    </row>
    <row r="1064" customFormat="false" ht="15" hidden="false" customHeight="false" outlineLevel="0" collapsed="false">
      <c r="A1064" s="15"/>
      <c r="B1064" s="21"/>
      <c r="C1064" s="21" t="str">
        <f aca="false">IF(B1064="","",IFERROR(INDEX(代理店一覧!$B$5:$B$204,MATCH(B1064,代理店一覧!$A$5:$A$204,0)),"※未登録のID"))</f>
        <v/>
      </c>
      <c r="D1064" s="21"/>
      <c r="E1064" s="21"/>
      <c r="F1064" s="21"/>
      <c r="G1064" s="18"/>
      <c r="H1064" s="21"/>
      <c r="I1064" s="26"/>
      <c r="J1064" s="15"/>
      <c r="K1064" s="27"/>
      <c r="L1064" s="25" t="str">
        <f aca="false">IF(B1064="","",B1064&amp;"|"&amp;J1064)</f>
        <v/>
      </c>
    </row>
    <row r="1065" customFormat="false" ht="15" hidden="false" customHeight="false" outlineLevel="0" collapsed="false">
      <c r="A1065" s="15"/>
      <c r="B1065" s="21"/>
      <c r="C1065" s="21" t="str">
        <f aca="false">IF(B1065="","",IFERROR(INDEX(代理店一覧!$B$5:$B$204,MATCH(B1065,代理店一覧!$A$5:$A$204,0)),"※未登録のID"))</f>
        <v/>
      </c>
      <c r="D1065" s="21"/>
      <c r="E1065" s="21"/>
      <c r="F1065" s="21"/>
      <c r="G1065" s="18"/>
      <c r="H1065" s="21"/>
      <c r="I1065" s="26"/>
      <c r="J1065" s="15"/>
      <c r="K1065" s="27"/>
      <c r="L1065" s="25" t="str">
        <f aca="false">IF(B1065="","",B1065&amp;"|"&amp;J1065)</f>
        <v/>
      </c>
    </row>
    <row r="1066" customFormat="false" ht="15" hidden="false" customHeight="false" outlineLevel="0" collapsed="false">
      <c r="A1066" s="15"/>
      <c r="B1066" s="21"/>
      <c r="C1066" s="21" t="str">
        <f aca="false">IF(B1066="","",IFERROR(INDEX(代理店一覧!$B$5:$B$204,MATCH(B1066,代理店一覧!$A$5:$A$204,0)),"※未登録のID"))</f>
        <v/>
      </c>
      <c r="D1066" s="21"/>
      <c r="E1066" s="21"/>
      <c r="F1066" s="21"/>
      <c r="G1066" s="18"/>
      <c r="H1066" s="21"/>
      <c r="I1066" s="26"/>
      <c r="J1066" s="15"/>
      <c r="K1066" s="27"/>
      <c r="L1066" s="25" t="str">
        <f aca="false">IF(B1066="","",B1066&amp;"|"&amp;J1066)</f>
        <v/>
      </c>
    </row>
    <row r="1067" customFormat="false" ht="15" hidden="false" customHeight="false" outlineLevel="0" collapsed="false">
      <c r="A1067" s="15"/>
      <c r="B1067" s="21"/>
      <c r="C1067" s="21" t="str">
        <f aca="false">IF(B1067="","",IFERROR(INDEX(代理店一覧!$B$5:$B$204,MATCH(B1067,代理店一覧!$A$5:$A$204,0)),"※未登録のID"))</f>
        <v/>
      </c>
      <c r="D1067" s="21"/>
      <c r="E1067" s="21"/>
      <c r="F1067" s="21"/>
      <c r="G1067" s="18"/>
      <c r="H1067" s="21"/>
      <c r="I1067" s="26"/>
      <c r="J1067" s="15"/>
      <c r="K1067" s="27"/>
      <c r="L1067" s="25" t="str">
        <f aca="false">IF(B1067="","",B1067&amp;"|"&amp;J1067)</f>
        <v/>
      </c>
    </row>
    <row r="1068" customFormat="false" ht="15" hidden="false" customHeight="false" outlineLevel="0" collapsed="false">
      <c r="A1068" s="15"/>
      <c r="B1068" s="21"/>
      <c r="C1068" s="21" t="str">
        <f aca="false">IF(B1068="","",IFERROR(INDEX(代理店一覧!$B$5:$B$204,MATCH(B1068,代理店一覧!$A$5:$A$204,0)),"※未登録のID"))</f>
        <v/>
      </c>
      <c r="D1068" s="21"/>
      <c r="E1068" s="21"/>
      <c r="F1068" s="21"/>
      <c r="G1068" s="18"/>
      <c r="H1068" s="21"/>
      <c r="I1068" s="26"/>
      <c r="J1068" s="15"/>
      <c r="K1068" s="27"/>
      <c r="L1068" s="25" t="str">
        <f aca="false">IF(B1068="","",B1068&amp;"|"&amp;J1068)</f>
        <v/>
      </c>
    </row>
    <row r="1069" customFormat="false" ht="15" hidden="false" customHeight="false" outlineLevel="0" collapsed="false">
      <c r="A1069" s="15"/>
      <c r="B1069" s="21"/>
      <c r="C1069" s="21" t="str">
        <f aca="false">IF(B1069="","",IFERROR(INDEX(代理店一覧!$B$5:$B$204,MATCH(B1069,代理店一覧!$A$5:$A$204,0)),"※未登録のID"))</f>
        <v/>
      </c>
      <c r="D1069" s="21"/>
      <c r="E1069" s="21"/>
      <c r="F1069" s="21"/>
      <c r="G1069" s="18"/>
      <c r="H1069" s="21"/>
      <c r="I1069" s="26"/>
      <c r="J1069" s="15"/>
      <c r="K1069" s="27"/>
      <c r="L1069" s="25" t="str">
        <f aca="false">IF(B1069="","",B1069&amp;"|"&amp;J1069)</f>
        <v/>
      </c>
    </row>
    <row r="1070" customFormat="false" ht="15" hidden="false" customHeight="false" outlineLevel="0" collapsed="false">
      <c r="A1070" s="15"/>
      <c r="B1070" s="21"/>
      <c r="C1070" s="21" t="str">
        <f aca="false">IF(B1070="","",IFERROR(INDEX(代理店一覧!$B$5:$B$204,MATCH(B1070,代理店一覧!$A$5:$A$204,0)),"※未登録のID"))</f>
        <v/>
      </c>
      <c r="D1070" s="21"/>
      <c r="E1070" s="21"/>
      <c r="F1070" s="21"/>
      <c r="G1070" s="18"/>
      <c r="H1070" s="21"/>
      <c r="I1070" s="26"/>
      <c r="J1070" s="15"/>
      <c r="K1070" s="27"/>
      <c r="L1070" s="25" t="str">
        <f aca="false">IF(B1070="","",B1070&amp;"|"&amp;J1070)</f>
        <v/>
      </c>
    </row>
    <row r="1071" customFormat="false" ht="15" hidden="false" customHeight="false" outlineLevel="0" collapsed="false">
      <c r="A1071" s="15"/>
      <c r="B1071" s="21"/>
      <c r="C1071" s="21" t="str">
        <f aca="false">IF(B1071="","",IFERROR(INDEX(代理店一覧!$B$5:$B$204,MATCH(B1071,代理店一覧!$A$5:$A$204,0)),"※未登録のID"))</f>
        <v/>
      </c>
      <c r="D1071" s="21"/>
      <c r="E1071" s="21"/>
      <c r="F1071" s="21"/>
      <c r="G1071" s="18"/>
      <c r="H1071" s="21"/>
      <c r="I1071" s="26"/>
      <c r="J1071" s="15"/>
      <c r="K1071" s="27"/>
      <c r="L1071" s="25" t="str">
        <f aca="false">IF(B1071="","",B1071&amp;"|"&amp;J1071)</f>
        <v/>
      </c>
    </row>
    <row r="1072" customFormat="false" ht="15" hidden="false" customHeight="false" outlineLevel="0" collapsed="false">
      <c r="A1072" s="15"/>
      <c r="B1072" s="21"/>
      <c r="C1072" s="21" t="str">
        <f aca="false">IF(B1072="","",IFERROR(INDEX(代理店一覧!$B$5:$B$204,MATCH(B1072,代理店一覧!$A$5:$A$204,0)),"※未登録のID"))</f>
        <v/>
      </c>
      <c r="D1072" s="21"/>
      <c r="E1072" s="21"/>
      <c r="F1072" s="21"/>
      <c r="G1072" s="18"/>
      <c r="H1072" s="21"/>
      <c r="I1072" s="26"/>
      <c r="J1072" s="15"/>
      <c r="K1072" s="27"/>
      <c r="L1072" s="25" t="str">
        <f aca="false">IF(B1072="","",B1072&amp;"|"&amp;J1072)</f>
        <v/>
      </c>
    </row>
    <row r="1073" customFormat="false" ht="15" hidden="false" customHeight="false" outlineLevel="0" collapsed="false">
      <c r="A1073" s="15"/>
      <c r="B1073" s="21"/>
      <c r="C1073" s="21" t="str">
        <f aca="false">IF(B1073="","",IFERROR(INDEX(代理店一覧!$B$5:$B$204,MATCH(B1073,代理店一覧!$A$5:$A$204,0)),"※未登録のID"))</f>
        <v/>
      </c>
      <c r="D1073" s="21"/>
      <c r="E1073" s="21"/>
      <c r="F1073" s="21"/>
      <c r="G1073" s="18"/>
      <c r="H1073" s="21"/>
      <c r="I1073" s="26"/>
      <c r="J1073" s="15"/>
      <c r="K1073" s="27"/>
      <c r="L1073" s="25" t="str">
        <f aca="false">IF(B1073="","",B1073&amp;"|"&amp;J1073)</f>
        <v/>
      </c>
    </row>
    <row r="1074" customFormat="false" ht="15" hidden="false" customHeight="false" outlineLevel="0" collapsed="false">
      <c r="A1074" s="15"/>
      <c r="B1074" s="21"/>
      <c r="C1074" s="21" t="str">
        <f aca="false">IF(B1074="","",IFERROR(INDEX(代理店一覧!$B$5:$B$204,MATCH(B1074,代理店一覧!$A$5:$A$204,0)),"※未登録のID"))</f>
        <v/>
      </c>
      <c r="D1074" s="21"/>
      <c r="E1074" s="21"/>
      <c r="F1074" s="21"/>
      <c r="G1074" s="18"/>
      <c r="H1074" s="21"/>
      <c r="I1074" s="26"/>
      <c r="J1074" s="15"/>
      <c r="K1074" s="27"/>
      <c r="L1074" s="25" t="str">
        <f aca="false">IF(B1074="","",B1074&amp;"|"&amp;J1074)</f>
        <v/>
      </c>
    </row>
    <row r="1075" customFormat="false" ht="15" hidden="false" customHeight="false" outlineLevel="0" collapsed="false">
      <c r="A1075" s="15"/>
      <c r="B1075" s="21"/>
      <c r="C1075" s="21" t="str">
        <f aca="false">IF(B1075="","",IFERROR(INDEX(代理店一覧!$B$5:$B$204,MATCH(B1075,代理店一覧!$A$5:$A$204,0)),"※未登録のID"))</f>
        <v/>
      </c>
      <c r="D1075" s="21"/>
      <c r="E1075" s="21"/>
      <c r="F1075" s="21"/>
      <c r="G1075" s="18"/>
      <c r="H1075" s="21"/>
      <c r="I1075" s="26"/>
      <c r="J1075" s="15"/>
      <c r="K1075" s="27"/>
      <c r="L1075" s="25" t="str">
        <f aca="false">IF(B1075="","",B1075&amp;"|"&amp;J1075)</f>
        <v/>
      </c>
    </row>
    <row r="1076" customFormat="false" ht="15" hidden="false" customHeight="false" outlineLevel="0" collapsed="false">
      <c r="A1076" s="15"/>
      <c r="B1076" s="21"/>
      <c r="C1076" s="21" t="str">
        <f aca="false">IF(B1076="","",IFERROR(INDEX(代理店一覧!$B$5:$B$204,MATCH(B1076,代理店一覧!$A$5:$A$204,0)),"※未登録のID"))</f>
        <v/>
      </c>
      <c r="D1076" s="21"/>
      <c r="E1076" s="21"/>
      <c r="F1076" s="21"/>
      <c r="G1076" s="18"/>
      <c r="H1076" s="21"/>
      <c r="I1076" s="26"/>
      <c r="J1076" s="15"/>
      <c r="K1076" s="27"/>
      <c r="L1076" s="25" t="str">
        <f aca="false">IF(B1076="","",B1076&amp;"|"&amp;J1076)</f>
        <v/>
      </c>
    </row>
    <row r="1077" customFormat="false" ht="15" hidden="false" customHeight="false" outlineLevel="0" collapsed="false">
      <c r="A1077" s="15"/>
      <c r="B1077" s="21"/>
      <c r="C1077" s="21" t="str">
        <f aca="false">IF(B1077="","",IFERROR(INDEX(代理店一覧!$B$5:$B$204,MATCH(B1077,代理店一覧!$A$5:$A$204,0)),"※未登録のID"))</f>
        <v/>
      </c>
      <c r="D1077" s="21"/>
      <c r="E1077" s="21"/>
      <c r="F1077" s="21"/>
      <c r="G1077" s="18"/>
      <c r="H1077" s="21"/>
      <c r="I1077" s="26"/>
      <c r="J1077" s="15"/>
      <c r="K1077" s="27"/>
      <c r="L1077" s="25" t="str">
        <f aca="false">IF(B1077="","",B1077&amp;"|"&amp;J1077)</f>
        <v/>
      </c>
    </row>
    <row r="1078" customFormat="false" ht="15" hidden="false" customHeight="false" outlineLevel="0" collapsed="false">
      <c r="A1078" s="15"/>
      <c r="B1078" s="21"/>
      <c r="C1078" s="21" t="str">
        <f aca="false">IF(B1078="","",IFERROR(INDEX(代理店一覧!$B$5:$B$204,MATCH(B1078,代理店一覧!$A$5:$A$204,0)),"※未登録のID"))</f>
        <v/>
      </c>
      <c r="D1078" s="21"/>
      <c r="E1078" s="21"/>
      <c r="F1078" s="21"/>
      <c r="G1078" s="18"/>
      <c r="H1078" s="21"/>
      <c r="I1078" s="26"/>
      <c r="J1078" s="15"/>
      <c r="K1078" s="27"/>
      <c r="L1078" s="25" t="str">
        <f aca="false">IF(B1078="","",B1078&amp;"|"&amp;J1078)</f>
        <v/>
      </c>
    </row>
    <row r="1079" customFormat="false" ht="15" hidden="false" customHeight="false" outlineLevel="0" collapsed="false">
      <c r="A1079" s="15"/>
      <c r="B1079" s="21"/>
      <c r="C1079" s="21" t="str">
        <f aca="false">IF(B1079="","",IFERROR(INDEX(代理店一覧!$B$5:$B$204,MATCH(B1079,代理店一覧!$A$5:$A$204,0)),"※未登録のID"))</f>
        <v/>
      </c>
      <c r="D1079" s="21"/>
      <c r="E1079" s="21"/>
      <c r="F1079" s="21"/>
      <c r="G1079" s="18"/>
      <c r="H1079" s="21"/>
      <c r="I1079" s="26"/>
      <c r="J1079" s="15"/>
      <c r="K1079" s="27"/>
      <c r="L1079" s="25" t="str">
        <f aca="false">IF(B1079="","",B1079&amp;"|"&amp;J1079)</f>
        <v/>
      </c>
    </row>
    <row r="1080" customFormat="false" ht="15" hidden="false" customHeight="false" outlineLevel="0" collapsed="false">
      <c r="A1080" s="15"/>
      <c r="B1080" s="21"/>
      <c r="C1080" s="21" t="str">
        <f aca="false">IF(B1080="","",IFERROR(INDEX(代理店一覧!$B$5:$B$204,MATCH(B1080,代理店一覧!$A$5:$A$204,0)),"※未登録のID"))</f>
        <v/>
      </c>
      <c r="D1080" s="21"/>
      <c r="E1080" s="21"/>
      <c r="F1080" s="21"/>
      <c r="G1080" s="18"/>
      <c r="H1080" s="21"/>
      <c r="I1080" s="26"/>
      <c r="J1080" s="15"/>
      <c r="K1080" s="27"/>
      <c r="L1080" s="25" t="str">
        <f aca="false">IF(B1080="","",B1080&amp;"|"&amp;J1080)</f>
        <v/>
      </c>
    </row>
    <row r="1081" customFormat="false" ht="15" hidden="false" customHeight="false" outlineLevel="0" collapsed="false">
      <c r="A1081" s="15"/>
      <c r="B1081" s="21"/>
      <c r="C1081" s="21" t="str">
        <f aca="false">IF(B1081="","",IFERROR(INDEX(代理店一覧!$B$5:$B$204,MATCH(B1081,代理店一覧!$A$5:$A$204,0)),"※未登録のID"))</f>
        <v/>
      </c>
      <c r="D1081" s="21"/>
      <c r="E1081" s="21"/>
      <c r="F1081" s="21"/>
      <c r="G1081" s="18"/>
      <c r="H1081" s="21"/>
      <c r="I1081" s="26"/>
      <c r="J1081" s="15"/>
      <c r="K1081" s="27"/>
      <c r="L1081" s="25" t="str">
        <f aca="false">IF(B1081="","",B1081&amp;"|"&amp;J1081)</f>
        <v/>
      </c>
    </row>
    <row r="1082" customFormat="false" ht="15" hidden="false" customHeight="false" outlineLevel="0" collapsed="false">
      <c r="A1082" s="15"/>
      <c r="B1082" s="21"/>
      <c r="C1082" s="21" t="str">
        <f aca="false">IF(B1082="","",IFERROR(INDEX(代理店一覧!$B$5:$B$204,MATCH(B1082,代理店一覧!$A$5:$A$204,0)),"※未登録のID"))</f>
        <v/>
      </c>
      <c r="D1082" s="21"/>
      <c r="E1082" s="21"/>
      <c r="F1082" s="21"/>
      <c r="G1082" s="18"/>
      <c r="H1082" s="21"/>
      <c r="I1082" s="26"/>
      <c r="J1082" s="15"/>
      <c r="K1082" s="27"/>
      <c r="L1082" s="25" t="str">
        <f aca="false">IF(B1082="","",B1082&amp;"|"&amp;J1082)</f>
        <v/>
      </c>
    </row>
    <row r="1083" customFormat="false" ht="15" hidden="false" customHeight="false" outlineLevel="0" collapsed="false">
      <c r="A1083" s="15"/>
      <c r="B1083" s="21"/>
      <c r="C1083" s="21" t="str">
        <f aca="false">IF(B1083="","",IFERROR(INDEX(代理店一覧!$B$5:$B$204,MATCH(B1083,代理店一覧!$A$5:$A$204,0)),"※未登録のID"))</f>
        <v/>
      </c>
      <c r="D1083" s="21"/>
      <c r="E1083" s="21"/>
      <c r="F1083" s="21"/>
      <c r="G1083" s="18"/>
      <c r="H1083" s="21"/>
      <c r="I1083" s="26"/>
      <c r="J1083" s="15"/>
      <c r="K1083" s="27"/>
      <c r="L1083" s="25" t="str">
        <f aca="false">IF(B1083="","",B1083&amp;"|"&amp;J1083)</f>
        <v/>
      </c>
    </row>
    <row r="1084" customFormat="false" ht="15" hidden="false" customHeight="false" outlineLevel="0" collapsed="false">
      <c r="A1084" s="15"/>
      <c r="B1084" s="21"/>
      <c r="C1084" s="21" t="str">
        <f aca="false">IF(B1084="","",IFERROR(INDEX(代理店一覧!$B$5:$B$204,MATCH(B1084,代理店一覧!$A$5:$A$204,0)),"※未登録のID"))</f>
        <v/>
      </c>
      <c r="D1084" s="21"/>
      <c r="E1084" s="21"/>
      <c r="F1084" s="21"/>
      <c r="G1084" s="18"/>
      <c r="H1084" s="21"/>
      <c r="I1084" s="26"/>
      <c r="J1084" s="15"/>
      <c r="K1084" s="27"/>
      <c r="L1084" s="25" t="str">
        <f aca="false">IF(B1084="","",B1084&amp;"|"&amp;J1084)</f>
        <v/>
      </c>
    </row>
    <row r="1085" customFormat="false" ht="15" hidden="false" customHeight="false" outlineLevel="0" collapsed="false">
      <c r="A1085" s="15"/>
      <c r="B1085" s="21"/>
      <c r="C1085" s="21" t="str">
        <f aca="false">IF(B1085="","",IFERROR(INDEX(代理店一覧!$B$5:$B$204,MATCH(B1085,代理店一覧!$A$5:$A$204,0)),"※未登録のID"))</f>
        <v/>
      </c>
      <c r="D1085" s="21"/>
      <c r="E1085" s="21"/>
      <c r="F1085" s="21"/>
      <c r="G1085" s="18"/>
      <c r="H1085" s="21"/>
      <c r="I1085" s="26"/>
      <c r="J1085" s="15"/>
      <c r="K1085" s="27"/>
      <c r="L1085" s="25" t="str">
        <f aca="false">IF(B1085="","",B1085&amp;"|"&amp;J1085)</f>
        <v/>
      </c>
    </row>
    <row r="1086" customFormat="false" ht="15" hidden="false" customHeight="false" outlineLevel="0" collapsed="false">
      <c r="A1086" s="15"/>
      <c r="B1086" s="21"/>
      <c r="C1086" s="21" t="str">
        <f aca="false">IF(B1086="","",IFERROR(INDEX(代理店一覧!$B$5:$B$204,MATCH(B1086,代理店一覧!$A$5:$A$204,0)),"※未登録のID"))</f>
        <v/>
      </c>
      <c r="D1086" s="21"/>
      <c r="E1086" s="21"/>
      <c r="F1086" s="21"/>
      <c r="G1086" s="18"/>
      <c r="H1086" s="21"/>
      <c r="I1086" s="26"/>
      <c r="J1086" s="15"/>
      <c r="K1086" s="27"/>
      <c r="L1086" s="25" t="str">
        <f aca="false">IF(B1086="","",B1086&amp;"|"&amp;J1086)</f>
        <v/>
      </c>
    </row>
    <row r="1087" customFormat="false" ht="15" hidden="false" customHeight="false" outlineLevel="0" collapsed="false">
      <c r="A1087" s="15"/>
      <c r="B1087" s="21"/>
      <c r="C1087" s="21" t="str">
        <f aca="false">IF(B1087="","",IFERROR(INDEX(代理店一覧!$B$5:$B$204,MATCH(B1087,代理店一覧!$A$5:$A$204,0)),"※未登録のID"))</f>
        <v/>
      </c>
      <c r="D1087" s="21"/>
      <c r="E1087" s="21"/>
      <c r="F1087" s="21"/>
      <c r="G1087" s="18"/>
      <c r="H1087" s="21"/>
      <c r="I1087" s="26"/>
      <c r="J1087" s="15"/>
      <c r="K1087" s="27"/>
      <c r="L1087" s="25" t="str">
        <f aca="false">IF(B1087="","",B1087&amp;"|"&amp;J1087)</f>
        <v/>
      </c>
    </row>
    <row r="1088" customFormat="false" ht="15" hidden="false" customHeight="false" outlineLevel="0" collapsed="false">
      <c r="A1088" s="15"/>
      <c r="B1088" s="21"/>
      <c r="C1088" s="21" t="str">
        <f aca="false">IF(B1088="","",IFERROR(INDEX(代理店一覧!$B$5:$B$204,MATCH(B1088,代理店一覧!$A$5:$A$204,0)),"※未登録のID"))</f>
        <v/>
      </c>
      <c r="D1088" s="21"/>
      <c r="E1088" s="21"/>
      <c r="F1088" s="21"/>
      <c r="G1088" s="18"/>
      <c r="H1088" s="21"/>
      <c r="I1088" s="26"/>
      <c r="J1088" s="15"/>
      <c r="K1088" s="27"/>
      <c r="L1088" s="25" t="str">
        <f aca="false">IF(B1088="","",B1088&amp;"|"&amp;J1088)</f>
        <v/>
      </c>
    </row>
    <row r="1089" customFormat="false" ht="15" hidden="false" customHeight="false" outlineLevel="0" collapsed="false">
      <c r="A1089" s="15"/>
      <c r="B1089" s="21"/>
      <c r="C1089" s="21" t="str">
        <f aca="false">IF(B1089="","",IFERROR(INDEX(代理店一覧!$B$5:$B$204,MATCH(B1089,代理店一覧!$A$5:$A$204,0)),"※未登録のID"))</f>
        <v/>
      </c>
      <c r="D1089" s="21"/>
      <c r="E1089" s="21"/>
      <c r="F1089" s="21"/>
      <c r="G1089" s="18"/>
      <c r="H1089" s="21"/>
      <c r="I1089" s="26"/>
      <c r="J1089" s="15"/>
      <c r="K1089" s="27"/>
      <c r="L1089" s="25" t="str">
        <f aca="false">IF(B1089="","",B1089&amp;"|"&amp;J1089)</f>
        <v/>
      </c>
    </row>
    <row r="1090" customFormat="false" ht="15" hidden="false" customHeight="false" outlineLevel="0" collapsed="false">
      <c r="A1090" s="15"/>
      <c r="B1090" s="21"/>
      <c r="C1090" s="21" t="str">
        <f aca="false">IF(B1090="","",IFERROR(INDEX(代理店一覧!$B$5:$B$204,MATCH(B1090,代理店一覧!$A$5:$A$204,0)),"※未登録のID"))</f>
        <v/>
      </c>
      <c r="D1090" s="21"/>
      <c r="E1090" s="21"/>
      <c r="F1090" s="21"/>
      <c r="G1090" s="18"/>
      <c r="H1090" s="21"/>
      <c r="I1090" s="26"/>
      <c r="J1090" s="15"/>
      <c r="K1090" s="27"/>
      <c r="L1090" s="25" t="str">
        <f aca="false">IF(B1090="","",B1090&amp;"|"&amp;J1090)</f>
        <v/>
      </c>
    </row>
    <row r="1091" customFormat="false" ht="15" hidden="false" customHeight="false" outlineLevel="0" collapsed="false">
      <c r="A1091" s="15"/>
      <c r="B1091" s="21"/>
      <c r="C1091" s="21" t="str">
        <f aca="false">IF(B1091="","",IFERROR(INDEX(代理店一覧!$B$5:$B$204,MATCH(B1091,代理店一覧!$A$5:$A$204,0)),"※未登録のID"))</f>
        <v/>
      </c>
      <c r="D1091" s="21"/>
      <c r="E1091" s="21"/>
      <c r="F1091" s="21"/>
      <c r="G1091" s="18"/>
      <c r="H1091" s="21"/>
      <c r="I1091" s="26"/>
      <c r="J1091" s="15"/>
      <c r="K1091" s="27"/>
      <c r="L1091" s="25" t="str">
        <f aca="false">IF(B1091="","",B1091&amp;"|"&amp;J1091)</f>
        <v/>
      </c>
    </row>
    <row r="1092" customFormat="false" ht="15" hidden="false" customHeight="false" outlineLevel="0" collapsed="false">
      <c r="A1092" s="15"/>
      <c r="B1092" s="21"/>
      <c r="C1092" s="21" t="str">
        <f aca="false">IF(B1092="","",IFERROR(INDEX(代理店一覧!$B$5:$B$204,MATCH(B1092,代理店一覧!$A$5:$A$204,0)),"※未登録のID"))</f>
        <v/>
      </c>
      <c r="D1092" s="21"/>
      <c r="E1092" s="21"/>
      <c r="F1092" s="21"/>
      <c r="G1092" s="18"/>
      <c r="H1092" s="21"/>
      <c r="I1092" s="26"/>
      <c r="J1092" s="15"/>
      <c r="K1092" s="27"/>
      <c r="L1092" s="25" t="str">
        <f aca="false">IF(B1092="","",B1092&amp;"|"&amp;J1092)</f>
        <v/>
      </c>
    </row>
    <row r="1093" customFormat="false" ht="15" hidden="false" customHeight="false" outlineLevel="0" collapsed="false">
      <c r="A1093" s="15"/>
      <c r="B1093" s="21"/>
      <c r="C1093" s="21" t="str">
        <f aca="false">IF(B1093="","",IFERROR(INDEX(代理店一覧!$B$5:$B$204,MATCH(B1093,代理店一覧!$A$5:$A$204,0)),"※未登録のID"))</f>
        <v/>
      </c>
      <c r="D1093" s="21"/>
      <c r="E1093" s="21"/>
      <c r="F1093" s="21"/>
      <c r="G1093" s="18"/>
      <c r="H1093" s="21"/>
      <c r="I1093" s="26"/>
      <c r="J1093" s="15"/>
      <c r="K1093" s="27"/>
      <c r="L1093" s="25" t="str">
        <f aca="false">IF(B1093="","",B1093&amp;"|"&amp;J1093)</f>
        <v/>
      </c>
    </row>
    <row r="1094" customFormat="false" ht="15" hidden="false" customHeight="false" outlineLevel="0" collapsed="false">
      <c r="A1094" s="15"/>
      <c r="B1094" s="21"/>
      <c r="C1094" s="21" t="str">
        <f aca="false">IF(B1094="","",IFERROR(INDEX(代理店一覧!$B$5:$B$204,MATCH(B1094,代理店一覧!$A$5:$A$204,0)),"※未登録のID"))</f>
        <v/>
      </c>
      <c r="D1094" s="21"/>
      <c r="E1094" s="21"/>
      <c r="F1094" s="21"/>
      <c r="G1094" s="18"/>
      <c r="H1094" s="21"/>
      <c r="I1094" s="26"/>
      <c r="J1094" s="15"/>
      <c r="K1094" s="27"/>
      <c r="L1094" s="25" t="str">
        <f aca="false">IF(B1094="","",B1094&amp;"|"&amp;J1094)</f>
        <v/>
      </c>
    </row>
    <row r="1095" customFormat="false" ht="15" hidden="false" customHeight="false" outlineLevel="0" collapsed="false">
      <c r="A1095" s="15"/>
      <c r="B1095" s="21"/>
      <c r="C1095" s="21" t="str">
        <f aca="false">IF(B1095="","",IFERROR(INDEX(代理店一覧!$B$5:$B$204,MATCH(B1095,代理店一覧!$A$5:$A$204,0)),"※未登録のID"))</f>
        <v/>
      </c>
      <c r="D1095" s="21"/>
      <c r="E1095" s="21"/>
      <c r="F1095" s="21"/>
      <c r="G1095" s="18"/>
      <c r="H1095" s="21"/>
      <c r="I1095" s="26"/>
      <c r="J1095" s="15"/>
      <c r="K1095" s="27"/>
      <c r="L1095" s="25" t="str">
        <f aca="false">IF(B1095="","",B1095&amp;"|"&amp;J1095)</f>
        <v/>
      </c>
    </row>
    <row r="1096" customFormat="false" ht="15" hidden="false" customHeight="false" outlineLevel="0" collapsed="false">
      <c r="A1096" s="15"/>
      <c r="B1096" s="21"/>
      <c r="C1096" s="21" t="str">
        <f aca="false">IF(B1096="","",IFERROR(INDEX(代理店一覧!$B$5:$B$204,MATCH(B1096,代理店一覧!$A$5:$A$204,0)),"※未登録のID"))</f>
        <v/>
      </c>
      <c r="D1096" s="21"/>
      <c r="E1096" s="21"/>
      <c r="F1096" s="21"/>
      <c r="G1096" s="18"/>
      <c r="H1096" s="21"/>
      <c r="I1096" s="26"/>
      <c r="J1096" s="15"/>
      <c r="K1096" s="27"/>
      <c r="L1096" s="25" t="str">
        <f aca="false">IF(B1096="","",B1096&amp;"|"&amp;J1096)</f>
        <v/>
      </c>
    </row>
    <row r="1097" customFormat="false" ht="15" hidden="false" customHeight="false" outlineLevel="0" collapsed="false">
      <c r="A1097" s="15"/>
      <c r="B1097" s="21"/>
      <c r="C1097" s="21" t="str">
        <f aca="false">IF(B1097="","",IFERROR(INDEX(代理店一覧!$B$5:$B$204,MATCH(B1097,代理店一覧!$A$5:$A$204,0)),"※未登録のID"))</f>
        <v/>
      </c>
      <c r="D1097" s="21"/>
      <c r="E1097" s="21"/>
      <c r="F1097" s="21"/>
      <c r="G1097" s="18"/>
      <c r="H1097" s="21"/>
      <c r="I1097" s="26"/>
      <c r="J1097" s="15"/>
      <c r="K1097" s="27"/>
      <c r="L1097" s="25" t="str">
        <f aca="false">IF(B1097="","",B1097&amp;"|"&amp;J1097)</f>
        <v/>
      </c>
    </row>
    <row r="1098" customFormat="false" ht="15" hidden="false" customHeight="false" outlineLevel="0" collapsed="false">
      <c r="A1098" s="15"/>
      <c r="B1098" s="21"/>
      <c r="C1098" s="21" t="str">
        <f aca="false">IF(B1098="","",IFERROR(INDEX(代理店一覧!$B$5:$B$204,MATCH(B1098,代理店一覧!$A$5:$A$204,0)),"※未登録のID"))</f>
        <v/>
      </c>
      <c r="D1098" s="21"/>
      <c r="E1098" s="21"/>
      <c r="F1098" s="21"/>
      <c r="G1098" s="18"/>
      <c r="H1098" s="21"/>
      <c r="I1098" s="26"/>
      <c r="J1098" s="15"/>
      <c r="K1098" s="27"/>
      <c r="L1098" s="25" t="str">
        <f aca="false">IF(B1098="","",B1098&amp;"|"&amp;J1098)</f>
        <v/>
      </c>
    </row>
    <row r="1099" customFormat="false" ht="15" hidden="false" customHeight="false" outlineLevel="0" collapsed="false">
      <c r="A1099" s="15"/>
      <c r="B1099" s="21"/>
      <c r="C1099" s="21" t="str">
        <f aca="false">IF(B1099="","",IFERROR(INDEX(代理店一覧!$B$5:$B$204,MATCH(B1099,代理店一覧!$A$5:$A$204,0)),"※未登録のID"))</f>
        <v/>
      </c>
      <c r="D1099" s="21"/>
      <c r="E1099" s="21"/>
      <c r="F1099" s="21"/>
      <c r="G1099" s="18"/>
      <c r="H1099" s="21"/>
      <c r="I1099" s="26"/>
      <c r="J1099" s="15"/>
      <c r="K1099" s="27"/>
      <c r="L1099" s="25" t="str">
        <f aca="false">IF(B1099="","",B1099&amp;"|"&amp;J1099)</f>
        <v/>
      </c>
    </row>
    <row r="1100" customFormat="false" ht="15" hidden="false" customHeight="false" outlineLevel="0" collapsed="false">
      <c r="A1100" s="15"/>
      <c r="B1100" s="21"/>
      <c r="C1100" s="21" t="str">
        <f aca="false">IF(B1100="","",IFERROR(INDEX(代理店一覧!$B$5:$B$204,MATCH(B1100,代理店一覧!$A$5:$A$204,0)),"※未登録のID"))</f>
        <v/>
      </c>
      <c r="D1100" s="21"/>
      <c r="E1100" s="21"/>
      <c r="F1100" s="21"/>
      <c r="G1100" s="18"/>
      <c r="H1100" s="21"/>
      <c r="I1100" s="26"/>
      <c r="J1100" s="15"/>
      <c r="K1100" s="27"/>
      <c r="L1100" s="25" t="str">
        <f aca="false">IF(B1100="","",B1100&amp;"|"&amp;J1100)</f>
        <v/>
      </c>
    </row>
    <row r="1101" customFormat="false" ht="15" hidden="false" customHeight="false" outlineLevel="0" collapsed="false">
      <c r="A1101" s="15"/>
      <c r="B1101" s="21"/>
      <c r="C1101" s="21" t="str">
        <f aca="false">IF(B1101="","",IFERROR(INDEX(代理店一覧!$B$5:$B$204,MATCH(B1101,代理店一覧!$A$5:$A$204,0)),"※未登録のID"))</f>
        <v/>
      </c>
      <c r="D1101" s="21"/>
      <c r="E1101" s="21"/>
      <c r="F1101" s="21"/>
      <c r="G1101" s="18"/>
      <c r="H1101" s="21"/>
      <c r="I1101" s="26"/>
      <c r="J1101" s="15"/>
      <c r="K1101" s="27"/>
      <c r="L1101" s="25" t="str">
        <f aca="false">IF(B1101="","",B1101&amp;"|"&amp;J1101)</f>
        <v/>
      </c>
    </row>
    <row r="1102" customFormat="false" ht="15" hidden="false" customHeight="false" outlineLevel="0" collapsed="false">
      <c r="A1102" s="15"/>
      <c r="B1102" s="21"/>
      <c r="C1102" s="21" t="str">
        <f aca="false">IF(B1102="","",IFERROR(INDEX(代理店一覧!$B$5:$B$204,MATCH(B1102,代理店一覧!$A$5:$A$204,0)),"※未登録のID"))</f>
        <v/>
      </c>
      <c r="D1102" s="21"/>
      <c r="E1102" s="21"/>
      <c r="F1102" s="21"/>
      <c r="G1102" s="18"/>
      <c r="H1102" s="21"/>
      <c r="I1102" s="26"/>
      <c r="J1102" s="15"/>
      <c r="K1102" s="27"/>
      <c r="L1102" s="25" t="str">
        <f aca="false">IF(B1102="","",B1102&amp;"|"&amp;J1102)</f>
        <v/>
      </c>
    </row>
    <row r="1103" customFormat="false" ht="15" hidden="false" customHeight="false" outlineLevel="0" collapsed="false">
      <c r="A1103" s="15"/>
      <c r="B1103" s="21"/>
      <c r="C1103" s="21" t="str">
        <f aca="false">IF(B1103="","",IFERROR(INDEX(代理店一覧!$B$5:$B$204,MATCH(B1103,代理店一覧!$A$5:$A$204,0)),"※未登録のID"))</f>
        <v/>
      </c>
      <c r="D1103" s="21"/>
      <c r="E1103" s="21"/>
      <c r="F1103" s="21"/>
      <c r="G1103" s="18"/>
      <c r="H1103" s="21"/>
      <c r="I1103" s="26"/>
      <c r="J1103" s="15"/>
      <c r="K1103" s="27"/>
      <c r="L1103" s="25" t="str">
        <f aca="false">IF(B1103="","",B1103&amp;"|"&amp;J1103)</f>
        <v/>
      </c>
    </row>
    <row r="1104" customFormat="false" ht="15" hidden="false" customHeight="false" outlineLevel="0" collapsed="false">
      <c r="A1104" s="15"/>
      <c r="B1104" s="21"/>
      <c r="C1104" s="21" t="str">
        <f aca="false">IF(B1104="","",IFERROR(INDEX(代理店一覧!$B$5:$B$204,MATCH(B1104,代理店一覧!$A$5:$A$204,0)),"※未登録のID"))</f>
        <v/>
      </c>
      <c r="D1104" s="21"/>
      <c r="E1104" s="21"/>
      <c r="F1104" s="21"/>
      <c r="G1104" s="18"/>
      <c r="H1104" s="21"/>
      <c r="I1104" s="26"/>
      <c r="J1104" s="15"/>
      <c r="K1104" s="27"/>
      <c r="L1104" s="25" t="str">
        <f aca="false">IF(B1104="","",B1104&amp;"|"&amp;J1104)</f>
        <v/>
      </c>
    </row>
    <row r="1105" customFormat="false" ht="15" hidden="false" customHeight="false" outlineLevel="0" collapsed="false">
      <c r="A1105" s="15"/>
      <c r="B1105" s="21"/>
      <c r="C1105" s="21" t="str">
        <f aca="false">IF(B1105="","",IFERROR(INDEX(代理店一覧!$B$5:$B$204,MATCH(B1105,代理店一覧!$A$5:$A$204,0)),"※未登録のID"))</f>
        <v/>
      </c>
      <c r="D1105" s="21"/>
      <c r="E1105" s="21"/>
      <c r="F1105" s="21"/>
      <c r="G1105" s="18"/>
      <c r="H1105" s="21"/>
      <c r="I1105" s="26"/>
      <c r="J1105" s="15"/>
      <c r="K1105" s="27"/>
      <c r="L1105" s="25" t="str">
        <f aca="false">IF(B1105="","",B1105&amp;"|"&amp;J1105)</f>
        <v/>
      </c>
    </row>
    <row r="1106" customFormat="false" ht="15" hidden="false" customHeight="false" outlineLevel="0" collapsed="false">
      <c r="A1106" s="15"/>
      <c r="B1106" s="21"/>
      <c r="C1106" s="21" t="str">
        <f aca="false">IF(B1106="","",IFERROR(INDEX(代理店一覧!$B$5:$B$204,MATCH(B1106,代理店一覧!$A$5:$A$204,0)),"※未登録のID"))</f>
        <v/>
      </c>
      <c r="D1106" s="21"/>
      <c r="E1106" s="21"/>
      <c r="F1106" s="21"/>
      <c r="G1106" s="18"/>
      <c r="H1106" s="21"/>
      <c r="I1106" s="26"/>
      <c r="J1106" s="15"/>
      <c r="K1106" s="27"/>
      <c r="L1106" s="25" t="str">
        <f aca="false">IF(B1106="","",B1106&amp;"|"&amp;J1106)</f>
        <v/>
      </c>
    </row>
    <row r="1107" customFormat="false" ht="15" hidden="false" customHeight="false" outlineLevel="0" collapsed="false">
      <c r="A1107" s="15"/>
      <c r="B1107" s="21"/>
      <c r="C1107" s="21" t="str">
        <f aca="false">IF(B1107="","",IFERROR(INDEX(代理店一覧!$B$5:$B$204,MATCH(B1107,代理店一覧!$A$5:$A$204,0)),"※未登録のID"))</f>
        <v/>
      </c>
      <c r="D1107" s="21"/>
      <c r="E1107" s="21"/>
      <c r="F1107" s="21"/>
      <c r="G1107" s="18"/>
      <c r="H1107" s="21"/>
      <c r="I1107" s="26"/>
      <c r="J1107" s="15"/>
      <c r="K1107" s="27"/>
      <c r="L1107" s="25" t="str">
        <f aca="false">IF(B1107="","",B1107&amp;"|"&amp;J1107)</f>
        <v/>
      </c>
    </row>
    <row r="1108" customFormat="false" ht="15" hidden="false" customHeight="false" outlineLevel="0" collapsed="false">
      <c r="A1108" s="15"/>
      <c r="B1108" s="21"/>
      <c r="C1108" s="21" t="str">
        <f aca="false">IF(B1108="","",IFERROR(INDEX(代理店一覧!$B$5:$B$204,MATCH(B1108,代理店一覧!$A$5:$A$204,0)),"※未登録のID"))</f>
        <v/>
      </c>
      <c r="D1108" s="21"/>
      <c r="E1108" s="21"/>
      <c r="F1108" s="21"/>
      <c r="G1108" s="18"/>
      <c r="H1108" s="21"/>
      <c r="I1108" s="26"/>
      <c r="J1108" s="15"/>
      <c r="K1108" s="27"/>
      <c r="L1108" s="25" t="str">
        <f aca="false">IF(B1108="","",B1108&amp;"|"&amp;J1108)</f>
        <v/>
      </c>
    </row>
    <row r="1109" customFormat="false" ht="15" hidden="false" customHeight="false" outlineLevel="0" collapsed="false">
      <c r="A1109" s="15"/>
      <c r="B1109" s="21"/>
      <c r="C1109" s="21" t="str">
        <f aca="false">IF(B1109="","",IFERROR(INDEX(代理店一覧!$B$5:$B$204,MATCH(B1109,代理店一覧!$A$5:$A$204,0)),"※未登録のID"))</f>
        <v/>
      </c>
      <c r="D1109" s="21"/>
      <c r="E1109" s="21"/>
      <c r="F1109" s="21"/>
      <c r="G1109" s="18"/>
      <c r="H1109" s="21"/>
      <c r="I1109" s="26"/>
      <c r="J1109" s="15"/>
      <c r="K1109" s="27"/>
      <c r="L1109" s="25" t="str">
        <f aca="false">IF(B1109="","",B1109&amp;"|"&amp;J1109)</f>
        <v/>
      </c>
    </row>
    <row r="1110" customFormat="false" ht="15" hidden="false" customHeight="false" outlineLevel="0" collapsed="false">
      <c r="A1110" s="15"/>
      <c r="B1110" s="21"/>
      <c r="C1110" s="21" t="str">
        <f aca="false">IF(B1110="","",IFERROR(INDEX(代理店一覧!$B$5:$B$204,MATCH(B1110,代理店一覧!$A$5:$A$204,0)),"※未登録のID"))</f>
        <v/>
      </c>
      <c r="D1110" s="21"/>
      <c r="E1110" s="21"/>
      <c r="F1110" s="21"/>
      <c r="G1110" s="18"/>
      <c r="H1110" s="21"/>
      <c r="I1110" s="26"/>
      <c r="J1110" s="15"/>
      <c r="K1110" s="27"/>
      <c r="L1110" s="25" t="str">
        <f aca="false">IF(B1110="","",B1110&amp;"|"&amp;J1110)</f>
        <v/>
      </c>
    </row>
    <row r="1111" customFormat="false" ht="15" hidden="false" customHeight="false" outlineLevel="0" collapsed="false">
      <c r="A1111" s="15"/>
      <c r="B1111" s="21"/>
      <c r="C1111" s="21" t="str">
        <f aca="false">IF(B1111="","",IFERROR(INDEX(代理店一覧!$B$5:$B$204,MATCH(B1111,代理店一覧!$A$5:$A$204,0)),"※未登録のID"))</f>
        <v/>
      </c>
      <c r="D1111" s="21"/>
      <c r="E1111" s="21"/>
      <c r="F1111" s="21"/>
      <c r="G1111" s="18"/>
      <c r="H1111" s="21"/>
      <c r="I1111" s="26"/>
      <c r="J1111" s="15"/>
      <c r="K1111" s="27"/>
      <c r="L1111" s="25" t="str">
        <f aca="false">IF(B1111="","",B1111&amp;"|"&amp;J1111)</f>
        <v/>
      </c>
    </row>
    <row r="1112" customFormat="false" ht="15" hidden="false" customHeight="false" outlineLevel="0" collapsed="false">
      <c r="A1112" s="15"/>
      <c r="B1112" s="21"/>
      <c r="C1112" s="21" t="str">
        <f aca="false">IF(B1112="","",IFERROR(INDEX(代理店一覧!$B$5:$B$204,MATCH(B1112,代理店一覧!$A$5:$A$204,0)),"※未登録のID"))</f>
        <v/>
      </c>
      <c r="D1112" s="21"/>
      <c r="E1112" s="21"/>
      <c r="F1112" s="21"/>
      <c r="G1112" s="18"/>
      <c r="H1112" s="21"/>
      <c r="I1112" s="26"/>
      <c r="J1112" s="15"/>
      <c r="K1112" s="27"/>
      <c r="L1112" s="25" t="str">
        <f aca="false">IF(B1112="","",B1112&amp;"|"&amp;J1112)</f>
        <v/>
      </c>
    </row>
    <row r="1113" customFormat="false" ht="15" hidden="false" customHeight="false" outlineLevel="0" collapsed="false">
      <c r="A1113" s="15"/>
      <c r="B1113" s="21"/>
      <c r="C1113" s="21" t="str">
        <f aca="false">IF(B1113="","",IFERROR(INDEX(代理店一覧!$B$5:$B$204,MATCH(B1113,代理店一覧!$A$5:$A$204,0)),"※未登録のID"))</f>
        <v/>
      </c>
      <c r="D1113" s="21"/>
      <c r="E1113" s="21"/>
      <c r="F1113" s="21"/>
      <c r="G1113" s="18"/>
      <c r="H1113" s="21"/>
      <c r="I1113" s="26"/>
      <c r="J1113" s="15"/>
      <c r="K1113" s="27"/>
      <c r="L1113" s="25" t="str">
        <f aca="false">IF(B1113="","",B1113&amp;"|"&amp;J1113)</f>
        <v/>
      </c>
    </row>
    <row r="1114" customFormat="false" ht="15" hidden="false" customHeight="false" outlineLevel="0" collapsed="false">
      <c r="A1114" s="15"/>
      <c r="B1114" s="21"/>
      <c r="C1114" s="21" t="str">
        <f aca="false">IF(B1114="","",IFERROR(INDEX(代理店一覧!$B$5:$B$204,MATCH(B1114,代理店一覧!$A$5:$A$204,0)),"※未登録のID"))</f>
        <v/>
      </c>
      <c r="D1114" s="21"/>
      <c r="E1114" s="21"/>
      <c r="F1114" s="21"/>
      <c r="G1114" s="18"/>
      <c r="H1114" s="21"/>
      <c r="I1114" s="26"/>
      <c r="J1114" s="15"/>
      <c r="K1114" s="27"/>
      <c r="L1114" s="25" t="str">
        <f aca="false">IF(B1114="","",B1114&amp;"|"&amp;J1114)</f>
        <v/>
      </c>
    </row>
    <row r="1115" customFormat="false" ht="15" hidden="false" customHeight="false" outlineLevel="0" collapsed="false">
      <c r="A1115" s="15"/>
      <c r="B1115" s="21"/>
      <c r="C1115" s="21" t="str">
        <f aca="false">IF(B1115="","",IFERROR(INDEX(代理店一覧!$B$5:$B$204,MATCH(B1115,代理店一覧!$A$5:$A$204,0)),"※未登録のID"))</f>
        <v/>
      </c>
      <c r="D1115" s="21"/>
      <c r="E1115" s="21"/>
      <c r="F1115" s="21"/>
      <c r="G1115" s="18"/>
      <c r="H1115" s="21"/>
      <c r="I1115" s="26"/>
      <c r="J1115" s="15"/>
      <c r="K1115" s="27"/>
      <c r="L1115" s="25" t="str">
        <f aca="false">IF(B1115="","",B1115&amp;"|"&amp;J1115)</f>
        <v/>
      </c>
    </row>
    <row r="1116" customFormat="false" ht="15" hidden="false" customHeight="false" outlineLevel="0" collapsed="false">
      <c r="A1116" s="15"/>
      <c r="B1116" s="21"/>
      <c r="C1116" s="21" t="str">
        <f aca="false">IF(B1116="","",IFERROR(INDEX(代理店一覧!$B$5:$B$204,MATCH(B1116,代理店一覧!$A$5:$A$204,0)),"※未登録のID"))</f>
        <v/>
      </c>
      <c r="D1116" s="21"/>
      <c r="E1116" s="21"/>
      <c r="F1116" s="21"/>
      <c r="G1116" s="18"/>
      <c r="H1116" s="21"/>
      <c r="I1116" s="26"/>
      <c r="J1116" s="15"/>
      <c r="K1116" s="27"/>
      <c r="L1116" s="25" t="str">
        <f aca="false">IF(B1116="","",B1116&amp;"|"&amp;J1116)</f>
        <v/>
      </c>
    </row>
    <row r="1117" customFormat="false" ht="15" hidden="false" customHeight="false" outlineLevel="0" collapsed="false">
      <c r="A1117" s="15"/>
      <c r="B1117" s="21"/>
      <c r="C1117" s="21" t="str">
        <f aca="false">IF(B1117="","",IFERROR(INDEX(代理店一覧!$B$5:$B$204,MATCH(B1117,代理店一覧!$A$5:$A$204,0)),"※未登録のID"))</f>
        <v/>
      </c>
      <c r="D1117" s="21"/>
      <c r="E1117" s="21"/>
      <c r="F1117" s="21"/>
      <c r="G1117" s="18"/>
      <c r="H1117" s="21"/>
      <c r="I1117" s="26"/>
      <c r="J1117" s="15"/>
      <c r="K1117" s="27"/>
      <c r="L1117" s="25" t="str">
        <f aca="false">IF(B1117="","",B1117&amp;"|"&amp;J1117)</f>
        <v/>
      </c>
    </row>
    <row r="1118" customFormat="false" ht="15" hidden="false" customHeight="false" outlineLevel="0" collapsed="false">
      <c r="A1118" s="15"/>
      <c r="B1118" s="21"/>
      <c r="C1118" s="21" t="str">
        <f aca="false">IF(B1118="","",IFERROR(INDEX(代理店一覧!$B$5:$B$204,MATCH(B1118,代理店一覧!$A$5:$A$204,0)),"※未登録のID"))</f>
        <v/>
      </c>
      <c r="D1118" s="21"/>
      <c r="E1118" s="21"/>
      <c r="F1118" s="21"/>
      <c r="G1118" s="18"/>
      <c r="H1118" s="21"/>
      <c r="I1118" s="26"/>
      <c r="J1118" s="15"/>
      <c r="K1118" s="27"/>
      <c r="L1118" s="25" t="str">
        <f aca="false">IF(B1118="","",B1118&amp;"|"&amp;J1118)</f>
        <v/>
      </c>
    </row>
    <row r="1119" customFormat="false" ht="15" hidden="false" customHeight="false" outlineLevel="0" collapsed="false">
      <c r="A1119" s="15"/>
      <c r="B1119" s="21"/>
      <c r="C1119" s="21" t="str">
        <f aca="false">IF(B1119="","",IFERROR(INDEX(代理店一覧!$B$5:$B$204,MATCH(B1119,代理店一覧!$A$5:$A$204,0)),"※未登録のID"))</f>
        <v/>
      </c>
      <c r="D1119" s="21"/>
      <c r="E1119" s="21"/>
      <c r="F1119" s="21"/>
      <c r="G1119" s="18"/>
      <c r="H1119" s="21"/>
      <c r="I1119" s="26"/>
      <c r="J1119" s="15"/>
      <c r="K1119" s="27"/>
      <c r="L1119" s="25" t="str">
        <f aca="false">IF(B1119="","",B1119&amp;"|"&amp;J1119)</f>
        <v/>
      </c>
    </row>
    <row r="1120" customFormat="false" ht="15" hidden="false" customHeight="false" outlineLevel="0" collapsed="false">
      <c r="A1120" s="15"/>
      <c r="B1120" s="21"/>
      <c r="C1120" s="21" t="str">
        <f aca="false">IF(B1120="","",IFERROR(INDEX(代理店一覧!$B$5:$B$204,MATCH(B1120,代理店一覧!$A$5:$A$204,0)),"※未登録のID"))</f>
        <v/>
      </c>
      <c r="D1120" s="21"/>
      <c r="E1120" s="21"/>
      <c r="F1120" s="21"/>
      <c r="G1120" s="18"/>
      <c r="H1120" s="21"/>
      <c r="I1120" s="26"/>
      <c r="J1120" s="15"/>
      <c r="K1120" s="27"/>
      <c r="L1120" s="25" t="str">
        <f aca="false">IF(B1120="","",B1120&amp;"|"&amp;J1120)</f>
        <v/>
      </c>
    </row>
    <row r="1121" customFormat="false" ht="15" hidden="false" customHeight="false" outlineLevel="0" collapsed="false">
      <c r="A1121" s="15"/>
      <c r="B1121" s="21"/>
      <c r="C1121" s="21" t="str">
        <f aca="false">IF(B1121="","",IFERROR(INDEX(代理店一覧!$B$5:$B$204,MATCH(B1121,代理店一覧!$A$5:$A$204,0)),"※未登録のID"))</f>
        <v/>
      </c>
      <c r="D1121" s="21"/>
      <c r="E1121" s="21"/>
      <c r="F1121" s="21"/>
      <c r="G1121" s="18"/>
      <c r="H1121" s="21"/>
      <c r="I1121" s="26"/>
      <c r="J1121" s="15"/>
      <c r="K1121" s="27"/>
      <c r="L1121" s="25" t="str">
        <f aca="false">IF(B1121="","",B1121&amp;"|"&amp;J1121)</f>
        <v/>
      </c>
    </row>
    <row r="1122" customFormat="false" ht="15" hidden="false" customHeight="false" outlineLevel="0" collapsed="false">
      <c r="A1122" s="15"/>
      <c r="B1122" s="21"/>
      <c r="C1122" s="21" t="str">
        <f aca="false">IF(B1122="","",IFERROR(INDEX(代理店一覧!$B$5:$B$204,MATCH(B1122,代理店一覧!$A$5:$A$204,0)),"※未登録のID"))</f>
        <v/>
      </c>
      <c r="D1122" s="21"/>
      <c r="E1122" s="21"/>
      <c r="F1122" s="21"/>
      <c r="G1122" s="18"/>
      <c r="H1122" s="21"/>
      <c r="I1122" s="26"/>
      <c r="J1122" s="15"/>
      <c r="K1122" s="27"/>
      <c r="L1122" s="25" t="str">
        <f aca="false">IF(B1122="","",B1122&amp;"|"&amp;J1122)</f>
        <v/>
      </c>
    </row>
    <row r="1123" customFormat="false" ht="15" hidden="false" customHeight="false" outlineLevel="0" collapsed="false">
      <c r="A1123" s="15"/>
      <c r="B1123" s="21"/>
      <c r="C1123" s="21" t="str">
        <f aca="false">IF(B1123="","",IFERROR(INDEX(代理店一覧!$B$5:$B$204,MATCH(B1123,代理店一覧!$A$5:$A$204,0)),"※未登録のID"))</f>
        <v/>
      </c>
      <c r="D1123" s="21"/>
      <c r="E1123" s="21"/>
      <c r="F1123" s="21"/>
      <c r="G1123" s="18"/>
      <c r="H1123" s="21"/>
      <c r="I1123" s="26"/>
      <c r="J1123" s="15"/>
      <c r="K1123" s="27"/>
      <c r="L1123" s="25" t="str">
        <f aca="false">IF(B1123="","",B1123&amp;"|"&amp;J1123)</f>
        <v/>
      </c>
    </row>
    <row r="1124" customFormat="false" ht="15" hidden="false" customHeight="false" outlineLevel="0" collapsed="false">
      <c r="A1124" s="15"/>
      <c r="B1124" s="21"/>
      <c r="C1124" s="21" t="str">
        <f aca="false">IF(B1124="","",IFERROR(INDEX(代理店一覧!$B$5:$B$204,MATCH(B1124,代理店一覧!$A$5:$A$204,0)),"※未登録のID"))</f>
        <v/>
      </c>
      <c r="D1124" s="21"/>
      <c r="E1124" s="21"/>
      <c r="F1124" s="21"/>
      <c r="G1124" s="18"/>
      <c r="H1124" s="21"/>
      <c r="I1124" s="26"/>
      <c r="J1124" s="15"/>
      <c r="K1124" s="27"/>
      <c r="L1124" s="25" t="str">
        <f aca="false">IF(B1124="","",B1124&amp;"|"&amp;J1124)</f>
        <v/>
      </c>
    </row>
    <row r="1125" customFormat="false" ht="15" hidden="false" customHeight="false" outlineLevel="0" collapsed="false">
      <c r="A1125" s="15"/>
      <c r="B1125" s="21"/>
      <c r="C1125" s="21" t="str">
        <f aca="false">IF(B1125="","",IFERROR(INDEX(代理店一覧!$B$5:$B$204,MATCH(B1125,代理店一覧!$A$5:$A$204,0)),"※未登録のID"))</f>
        <v/>
      </c>
      <c r="D1125" s="21"/>
      <c r="E1125" s="21"/>
      <c r="F1125" s="21"/>
      <c r="G1125" s="18"/>
      <c r="H1125" s="21"/>
      <c r="I1125" s="26"/>
      <c r="J1125" s="15"/>
      <c r="K1125" s="27"/>
      <c r="L1125" s="25" t="str">
        <f aca="false">IF(B1125="","",B1125&amp;"|"&amp;J1125)</f>
        <v/>
      </c>
    </row>
    <row r="1126" customFormat="false" ht="15" hidden="false" customHeight="false" outlineLevel="0" collapsed="false">
      <c r="A1126" s="15"/>
      <c r="B1126" s="21"/>
      <c r="C1126" s="21" t="str">
        <f aca="false">IF(B1126="","",IFERROR(INDEX(代理店一覧!$B$5:$B$204,MATCH(B1126,代理店一覧!$A$5:$A$204,0)),"※未登録のID"))</f>
        <v/>
      </c>
      <c r="D1126" s="21"/>
      <c r="E1126" s="21"/>
      <c r="F1126" s="21"/>
      <c r="G1126" s="18"/>
      <c r="H1126" s="21"/>
      <c r="I1126" s="26"/>
      <c r="J1126" s="15"/>
      <c r="K1126" s="27"/>
      <c r="L1126" s="25" t="str">
        <f aca="false">IF(B1126="","",B1126&amp;"|"&amp;J1126)</f>
        <v/>
      </c>
    </row>
    <row r="1127" customFormat="false" ht="15" hidden="false" customHeight="false" outlineLevel="0" collapsed="false">
      <c r="A1127" s="15"/>
      <c r="B1127" s="21"/>
      <c r="C1127" s="21" t="str">
        <f aca="false">IF(B1127="","",IFERROR(INDEX(代理店一覧!$B$5:$B$204,MATCH(B1127,代理店一覧!$A$5:$A$204,0)),"※未登録のID"))</f>
        <v/>
      </c>
      <c r="D1127" s="21"/>
      <c r="E1127" s="21"/>
      <c r="F1127" s="21"/>
      <c r="G1127" s="18"/>
      <c r="H1127" s="21"/>
      <c r="I1127" s="26"/>
      <c r="J1127" s="15"/>
      <c r="K1127" s="27"/>
      <c r="L1127" s="25" t="str">
        <f aca="false">IF(B1127="","",B1127&amp;"|"&amp;J1127)</f>
        <v/>
      </c>
    </row>
    <row r="1128" customFormat="false" ht="15" hidden="false" customHeight="false" outlineLevel="0" collapsed="false">
      <c r="A1128" s="15"/>
      <c r="B1128" s="21"/>
      <c r="C1128" s="21" t="str">
        <f aca="false">IF(B1128="","",IFERROR(INDEX(代理店一覧!$B$5:$B$204,MATCH(B1128,代理店一覧!$A$5:$A$204,0)),"※未登録のID"))</f>
        <v/>
      </c>
      <c r="D1128" s="21"/>
      <c r="E1128" s="21"/>
      <c r="F1128" s="21"/>
      <c r="G1128" s="18"/>
      <c r="H1128" s="21"/>
      <c r="I1128" s="26"/>
      <c r="J1128" s="15"/>
      <c r="K1128" s="27"/>
      <c r="L1128" s="25" t="str">
        <f aca="false">IF(B1128="","",B1128&amp;"|"&amp;J1128)</f>
        <v/>
      </c>
    </row>
    <row r="1129" customFormat="false" ht="15" hidden="false" customHeight="false" outlineLevel="0" collapsed="false">
      <c r="A1129" s="15"/>
      <c r="B1129" s="21"/>
      <c r="C1129" s="21" t="str">
        <f aca="false">IF(B1129="","",IFERROR(INDEX(代理店一覧!$B$5:$B$204,MATCH(B1129,代理店一覧!$A$5:$A$204,0)),"※未登録のID"))</f>
        <v/>
      </c>
      <c r="D1129" s="21"/>
      <c r="E1129" s="21"/>
      <c r="F1129" s="21"/>
      <c r="G1129" s="18"/>
      <c r="H1129" s="21"/>
      <c r="I1129" s="26"/>
      <c r="J1129" s="15"/>
      <c r="K1129" s="27"/>
      <c r="L1129" s="25" t="str">
        <f aca="false">IF(B1129="","",B1129&amp;"|"&amp;J1129)</f>
        <v/>
      </c>
    </row>
    <row r="1130" customFormat="false" ht="15" hidden="false" customHeight="false" outlineLevel="0" collapsed="false">
      <c r="A1130" s="15"/>
      <c r="B1130" s="21"/>
      <c r="C1130" s="21" t="str">
        <f aca="false">IF(B1130="","",IFERROR(INDEX(代理店一覧!$B$5:$B$204,MATCH(B1130,代理店一覧!$A$5:$A$204,0)),"※未登録のID"))</f>
        <v/>
      </c>
      <c r="D1130" s="21"/>
      <c r="E1130" s="21"/>
      <c r="F1130" s="21"/>
      <c r="G1130" s="18"/>
      <c r="H1130" s="21"/>
      <c r="I1130" s="26"/>
      <c r="J1130" s="15"/>
      <c r="K1130" s="27"/>
      <c r="L1130" s="25" t="str">
        <f aca="false">IF(B1130="","",B1130&amp;"|"&amp;J1130)</f>
        <v/>
      </c>
    </row>
    <row r="1131" customFormat="false" ht="15" hidden="false" customHeight="false" outlineLevel="0" collapsed="false">
      <c r="A1131" s="15"/>
      <c r="B1131" s="21"/>
      <c r="C1131" s="21" t="str">
        <f aca="false">IF(B1131="","",IFERROR(INDEX(代理店一覧!$B$5:$B$204,MATCH(B1131,代理店一覧!$A$5:$A$204,0)),"※未登録のID"))</f>
        <v/>
      </c>
      <c r="D1131" s="21"/>
      <c r="E1131" s="21"/>
      <c r="F1131" s="21"/>
      <c r="G1131" s="18"/>
      <c r="H1131" s="21"/>
      <c r="I1131" s="26"/>
      <c r="J1131" s="15"/>
      <c r="K1131" s="27"/>
      <c r="L1131" s="25" t="str">
        <f aca="false">IF(B1131="","",B1131&amp;"|"&amp;J1131)</f>
        <v/>
      </c>
    </row>
    <row r="1132" customFormat="false" ht="15" hidden="false" customHeight="false" outlineLevel="0" collapsed="false">
      <c r="A1132" s="15"/>
      <c r="B1132" s="21"/>
      <c r="C1132" s="21" t="str">
        <f aca="false">IF(B1132="","",IFERROR(INDEX(代理店一覧!$B$5:$B$204,MATCH(B1132,代理店一覧!$A$5:$A$204,0)),"※未登録のID"))</f>
        <v/>
      </c>
      <c r="D1132" s="21"/>
      <c r="E1132" s="21"/>
      <c r="F1132" s="21"/>
      <c r="G1132" s="18"/>
      <c r="H1132" s="21"/>
      <c r="I1132" s="26"/>
      <c r="J1132" s="15"/>
      <c r="K1132" s="27"/>
      <c r="L1132" s="25" t="str">
        <f aca="false">IF(B1132="","",B1132&amp;"|"&amp;J1132)</f>
        <v/>
      </c>
    </row>
    <row r="1133" customFormat="false" ht="15" hidden="false" customHeight="false" outlineLevel="0" collapsed="false">
      <c r="A1133" s="15"/>
      <c r="B1133" s="21"/>
      <c r="C1133" s="21" t="str">
        <f aca="false">IF(B1133="","",IFERROR(INDEX(代理店一覧!$B$5:$B$204,MATCH(B1133,代理店一覧!$A$5:$A$204,0)),"※未登録のID"))</f>
        <v/>
      </c>
      <c r="D1133" s="21"/>
      <c r="E1133" s="21"/>
      <c r="F1133" s="21"/>
      <c r="G1133" s="18"/>
      <c r="H1133" s="21"/>
      <c r="I1133" s="26"/>
      <c r="J1133" s="15"/>
      <c r="K1133" s="27"/>
      <c r="L1133" s="25" t="str">
        <f aca="false">IF(B1133="","",B1133&amp;"|"&amp;J1133)</f>
        <v/>
      </c>
    </row>
    <row r="1134" customFormat="false" ht="15" hidden="false" customHeight="false" outlineLevel="0" collapsed="false">
      <c r="A1134" s="15"/>
      <c r="B1134" s="21"/>
      <c r="C1134" s="21" t="str">
        <f aca="false">IF(B1134="","",IFERROR(INDEX(代理店一覧!$B$5:$B$204,MATCH(B1134,代理店一覧!$A$5:$A$204,0)),"※未登録のID"))</f>
        <v/>
      </c>
      <c r="D1134" s="21"/>
      <c r="E1134" s="21"/>
      <c r="F1134" s="21"/>
      <c r="G1134" s="18"/>
      <c r="H1134" s="21"/>
      <c r="I1134" s="26"/>
      <c r="J1134" s="15"/>
      <c r="K1134" s="27"/>
      <c r="L1134" s="25" t="str">
        <f aca="false">IF(B1134="","",B1134&amp;"|"&amp;J1134)</f>
        <v/>
      </c>
    </row>
    <row r="1135" customFormat="false" ht="15" hidden="false" customHeight="false" outlineLevel="0" collapsed="false">
      <c r="A1135" s="15"/>
      <c r="B1135" s="21"/>
      <c r="C1135" s="21" t="str">
        <f aca="false">IF(B1135="","",IFERROR(INDEX(代理店一覧!$B$5:$B$204,MATCH(B1135,代理店一覧!$A$5:$A$204,0)),"※未登録のID"))</f>
        <v/>
      </c>
      <c r="D1135" s="21"/>
      <c r="E1135" s="21"/>
      <c r="F1135" s="21"/>
      <c r="G1135" s="18"/>
      <c r="H1135" s="21"/>
      <c r="I1135" s="26"/>
      <c r="J1135" s="15"/>
      <c r="K1135" s="27"/>
      <c r="L1135" s="25" t="str">
        <f aca="false">IF(B1135="","",B1135&amp;"|"&amp;J1135)</f>
        <v/>
      </c>
    </row>
    <row r="1136" customFormat="false" ht="15" hidden="false" customHeight="false" outlineLevel="0" collapsed="false">
      <c r="A1136" s="15"/>
      <c r="B1136" s="21"/>
      <c r="C1136" s="21" t="str">
        <f aca="false">IF(B1136="","",IFERROR(INDEX(代理店一覧!$B$5:$B$204,MATCH(B1136,代理店一覧!$A$5:$A$204,0)),"※未登録のID"))</f>
        <v/>
      </c>
      <c r="D1136" s="21"/>
      <c r="E1136" s="21"/>
      <c r="F1136" s="21"/>
      <c r="G1136" s="18"/>
      <c r="H1136" s="21"/>
      <c r="I1136" s="26"/>
      <c r="J1136" s="15"/>
      <c r="K1136" s="27"/>
      <c r="L1136" s="25" t="str">
        <f aca="false">IF(B1136="","",B1136&amp;"|"&amp;J1136)</f>
        <v/>
      </c>
    </row>
    <row r="1137" customFormat="false" ht="15" hidden="false" customHeight="false" outlineLevel="0" collapsed="false">
      <c r="A1137" s="15"/>
      <c r="B1137" s="21"/>
      <c r="C1137" s="21" t="str">
        <f aca="false">IF(B1137="","",IFERROR(INDEX(代理店一覧!$B$5:$B$204,MATCH(B1137,代理店一覧!$A$5:$A$204,0)),"※未登録のID"))</f>
        <v/>
      </c>
      <c r="D1137" s="21"/>
      <c r="E1137" s="21"/>
      <c r="F1137" s="21"/>
      <c r="G1137" s="18"/>
      <c r="H1137" s="21"/>
      <c r="I1137" s="26"/>
      <c r="J1137" s="15"/>
      <c r="K1137" s="27"/>
      <c r="L1137" s="25" t="str">
        <f aca="false">IF(B1137="","",B1137&amp;"|"&amp;J1137)</f>
        <v/>
      </c>
    </row>
    <row r="1138" customFormat="false" ht="15" hidden="false" customHeight="false" outlineLevel="0" collapsed="false">
      <c r="A1138" s="15"/>
      <c r="B1138" s="21"/>
      <c r="C1138" s="21" t="str">
        <f aca="false">IF(B1138="","",IFERROR(INDEX(代理店一覧!$B$5:$B$204,MATCH(B1138,代理店一覧!$A$5:$A$204,0)),"※未登録のID"))</f>
        <v/>
      </c>
      <c r="D1138" s="21"/>
      <c r="E1138" s="21"/>
      <c r="F1138" s="21"/>
      <c r="G1138" s="18"/>
      <c r="H1138" s="21"/>
      <c r="I1138" s="26"/>
      <c r="J1138" s="15"/>
      <c r="K1138" s="27"/>
      <c r="L1138" s="25" t="str">
        <f aca="false">IF(B1138="","",B1138&amp;"|"&amp;J1138)</f>
        <v/>
      </c>
    </row>
    <row r="1139" customFormat="false" ht="15" hidden="false" customHeight="false" outlineLevel="0" collapsed="false">
      <c r="A1139" s="15"/>
      <c r="B1139" s="21"/>
      <c r="C1139" s="21" t="str">
        <f aca="false">IF(B1139="","",IFERROR(INDEX(代理店一覧!$B$5:$B$204,MATCH(B1139,代理店一覧!$A$5:$A$204,0)),"※未登録のID"))</f>
        <v/>
      </c>
      <c r="D1139" s="21"/>
      <c r="E1139" s="21"/>
      <c r="F1139" s="21"/>
      <c r="G1139" s="18"/>
      <c r="H1139" s="21"/>
      <c r="I1139" s="26"/>
      <c r="J1139" s="15"/>
      <c r="K1139" s="27"/>
      <c r="L1139" s="25" t="str">
        <f aca="false">IF(B1139="","",B1139&amp;"|"&amp;J1139)</f>
        <v/>
      </c>
    </row>
    <row r="1140" customFormat="false" ht="15" hidden="false" customHeight="false" outlineLevel="0" collapsed="false">
      <c r="A1140" s="15"/>
      <c r="B1140" s="21"/>
      <c r="C1140" s="21" t="str">
        <f aca="false">IF(B1140="","",IFERROR(INDEX(代理店一覧!$B$5:$B$204,MATCH(B1140,代理店一覧!$A$5:$A$204,0)),"※未登録のID"))</f>
        <v/>
      </c>
      <c r="D1140" s="21"/>
      <c r="E1140" s="21"/>
      <c r="F1140" s="21"/>
      <c r="G1140" s="18"/>
      <c r="H1140" s="21"/>
      <c r="I1140" s="26"/>
      <c r="J1140" s="15"/>
      <c r="K1140" s="27"/>
      <c r="L1140" s="25" t="str">
        <f aca="false">IF(B1140="","",B1140&amp;"|"&amp;J1140)</f>
        <v/>
      </c>
    </row>
    <row r="1141" customFormat="false" ht="15" hidden="false" customHeight="false" outlineLevel="0" collapsed="false">
      <c r="A1141" s="15"/>
      <c r="B1141" s="21"/>
      <c r="C1141" s="21" t="str">
        <f aca="false">IF(B1141="","",IFERROR(INDEX(代理店一覧!$B$5:$B$204,MATCH(B1141,代理店一覧!$A$5:$A$204,0)),"※未登録のID"))</f>
        <v/>
      </c>
      <c r="D1141" s="21"/>
      <c r="E1141" s="21"/>
      <c r="F1141" s="21"/>
      <c r="G1141" s="18"/>
      <c r="H1141" s="21"/>
      <c r="I1141" s="26"/>
      <c r="J1141" s="15"/>
      <c r="K1141" s="27"/>
      <c r="L1141" s="25" t="str">
        <f aca="false">IF(B1141="","",B1141&amp;"|"&amp;J1141)</f>
        <v/>
      </c>
    </row>
    <row r="1142" customFormat="false" ht="15" hidden="false" customHeight="false" outlineLevel="0" collapsed="false">
      <c r="A1142" s="15"/>
      <c r="B1142" s="21"/>
      <c r="C1142" s="21" t="str">
        <f aca="false">IF(B1142="","",IFERROR(INDEX(代理店一覧!$B$5:$B$204,MATCH(B1142,代理店一覧!$A$5:$A$204,0)),"※未登録のID"))</f>
        <v/>
      </c>
      <c r="D1142" s="21"/>
      <c r="E1142" s="21"/>
      <c r="F1142" s="21"/>
      <c r="G1142" s="18"/>
      <c r="H1142" s="21"/>
      <c r="I1142" s="26"/>
      <c r="J1142" s="15"/>
      <c r="K1142" s="27"/>
      <c r="L1142" s="25" t="str">
        <f aca="false">IF(B1142="","",B1142&amp;"|"&amp;J1142)</f>
        <v/>
      </c>
    </row>
    <row r="1143" customFormat="false" ht="15" hidden="false" customHeight="false" outlineLevel="0" collapsed="false">
      <c r="A1143" s="15"/>
      <c r="B1143" s="21"/>
      <c r="C1143" s="21" t="str">
        <f aca="false">IF(B1143="","",IFERROR(INDEX(代理店一覧!$B$5:$B$204,MATCH(B1143,代理店一覧!$A$5:$A$204,0)),"※未登録のID"))</f>
        <v/>
      </c>
      <c r="D1143" s="21"/>
      <c r="E1143" s="21"/>
      <c r="F1143" s="21"/>
      <c r="G1143" s="18"/>
      <c r="H1143" s="21"/>
      <c r="I1143" s="26"/>
      <c r="J1143" s="15"/>
      <c r="K1143" s="27"/>
      <c r="L1143" s="25" t="str">
        <f aca="false">IF(B1143="","",B1143&amp;"|"&amp;J1143)</f>
        <v/>
      </c>
    </row>
    <row r="1144" customFormat="false" ht="15" hidden="false" customHeight="false" outlineLevel="0" collapsed="false">
      <c r="A1144" s="15"/>
      <c r="B1144" s="21"/>
      <c r="C1144" s="21" t="str">
        <f aca="false">IF(B1144="","",IFERROR(INDEX(代理店一覧!$B$5:$B$204,MATCH(B1144,代理店一覧!$A$5:$A$204,0)),"※未登録のID"))</f>
        <v/>
      </c>
      <c r="D1144" s="21"/>
      <c r="E1144" s="21"/>
      <c r="F1144" s="21"/>
      <c r="G1144" s="18"/>
      <c r="H1144" s="21"/>
      <c r="I1144" s="26"/>
      <c r="J1144" s="15"/>
      <c r="K1144" s="27"/>
      <c r="L1144" s="25" t="str">
        <f aca="false">IF(B1144="","",B1144&amp;"|"&amp;J1144)</f>
        <v/>
      </c>
    </row>
    <row r="1145" customFormat="false" ht="15" hidden="false" customHeight="false" outlineLevel="0" collapsed="false">
      <c r="A1145" s="15"/>
      <c r="B1145" s="21"/>
      <c r="C1145" s="21" t="str">
        <f aca="false">IF(B1145="","",IFERROR(INDEX(代理店一覧!$B$5:$B$204,MATCH(B1145,代理店一覧!$A$5:$A$204,0)),"※未登録のID"))</f>
        <v/>
      </c>
      <c r="D1145" s="21"/>
      <c r="E1145" s="21"/>
      <c r="F1145" s="21"/>
      <c r="G1145" s="18"/>
      <c r="H1145" s="21"/>
      <c r="I1145" s="26"/>
      <c r="J1145" s="15"/>
      <c r="K1145" s="27"/>
      <c r="L1145" s="25" t="str">
        <f aca="false">IF(B1145="","",B1145&amp;"|"&amp;J1145)</f>
        <v/>
      </c>
    </row>
    <row r="1146" customFormat="false" ht="15" hidden="false" customHeight="false" outlineLevel="0" collapsed="false">
      <c r="A1146" s="15"/>
      <c r="B1146" s="21"/>
      <c r="C1146" s="21" t="str">
        <f aca="false">IF(B1146="","",IFERROR(INDEX(代理店一覧!$B$5:$B$204,MATCH(B1146,代理店一覧!$A$5:$A$204,0)),"※未登録のID"))</f>
        <v/>
      </c>
      <c r="D1146" s="21"/>
      <c r="E1146" s="21"/>
      <c r="F1146" s="21"/>
      <c r="G1146" s="18"/>
      <c r="H1146" s="21"/>
      <c r="I1146" s="26"/>
      <c r="J1146" s="15"/>
      <c r="K1146" s="27"/>
      <c r="L1146" s="25" t="str">
        <f aca="false">IF(B1146="","",B1146&amp;"|"&amp;J1146)</f>
        <v/>
      </c>
    </row>
    <row r="1147" customFormat="false" ht="15" hidden="false" customHeight="false" outlineLevel="0" collapsed="false">
      <c r="A1147" s="15"/>
      <c r="B1147" s="21"/>
      <c r="C1147" s="21" t="str">
        <f aca="false">IF(B1147="","",IFERROR(INDEX(代理店一覧!$B$5:$B$204,MATCH(B1147,代理店一覧!$A$5:$A$204,0)),"※未登録のID"))</f>
        <v/>
      </c>
      <c r="D1147" s="21"/>
      <c r="E1147" s="21"/>
      <c r="F1147" s="21"/>
      <c r="G1147" s="18"/>
      <c r="H1147" s="21"/>
      <c r="I1147" s="26"/>
      <c r="J1147" s="15"/>
      <c r="K1147" s="27"/>
      <c r="L1147" s="25" t="str">
        <f aca="false">IF(B1147="","",B1147&amp;"|"&amp;J1147)</f>
        <v/>
      </c>
    </row>
    <row r="1148" customFormat="false" ht="15" hidden="false" customHeight="false" outlineLevel="0" collapsed="false">
      <c r="A1148" s="15"/>
      <c r="B1148" s="21"/>
      <c r="C1148" s="21" t="str">
        <f aca="false">IF(B1148="","",IFERROR(INDEX(代理店一覧!$B$5:$B$204,MATCH(B1148,代理店一覧!$A$5:$A$204,0)),"※未登録のID"))</f>
        <v/>
      </c>
      <c r="D1148" s="21"/>
      <c r="E1148" s="21"/>
      <c r="F1148" s="21"/>
      <c r="G1148" s="18"/>
      <c r="H1148" s="21"/>
      <c r="I1148" s="26"/>
      <c r="J1148" s="15"/>
      <c r="K1148" s="27"/>
      <c r="L1148" s="25" t="str">
        <f aca="false">IF(B1148="","",B1148&amp;"|"&amp;J1148)</f>
        <v/>
      </c>
    </row>
    <row r="1149" customFormat="false" ht="15" hidden="false" customHeight="false" outlineLevel="0" collapsed="false">
      <c r="A1149" s="15"/>
      <c r="B1149" s="21"/>
      <c r="C1149" s="21" t="str">
        <f aca="false">IF(B1149="","",IFERROR(INDEX(代理店一覧!$B$5:$B$204,MATCH(B1149,代理店一覧!$A$5:$A$204,0)),"※未登録のID"))</f>
        <v/>
      </c>
      <c r="D1149" s="21"/>
      <c r="E1149" s="21"/>
      <c r="F1149" s="21"/>
      <c r="G1149" s="18"/>
      <c r="H1149" s="21"/>
      <c r="I1149" s="26"/>
      <c r="J1149" s="15"/>
      <c r="K1149" s="27"/>
      <c r="L1149" s="25" t="str">
        <f aca="false">IF(B1149="","",B1149&amp;"|"&amp;J1149)</f>
        <v/>
      </c>
    </row>
    <row r="1150" customFormat="false" ht="15" hidden="false" customHeight="false" outlineLevel="0" collapsed="false">
      <c r="A1150" s="15"/>
      <c r="B1150" s="21"/>
      <c r="C1150" s="21" t="str">
        <f aca="false">IF(B1150="","",IFERROR(INDEX(代理店一覧!$B$5:$B$204,MATCH(B1150,代理店一覧!$A$5:$A$204,0)),"※未登録のID"))</f>
        <v/>
      </c>
      <c r="D1150" s="21"/>
      <c r="E1150" s="21"/>
      <c r="F1150" s="21"/>
      <c r="G1150" s="18"/>
      <c r="H1150" s="21"/>
      <c r="I1150" s="26"/>
      <c r="J1150" s="15"/>
      <c r="K1150" s="27"/>
      <c r="L1150" s="25" t="str">
        <f aca="false">IF(B1150="","",B1150&amp;"|"&amp;J1150)</f>
        <v/>
      </c>
    </row>
    <row r="1151" customFormat="false" ht="15" hidden="false" customHeight="false" outlineLevel="0" collapsed="false">
      <c r="A1151" s="15"/>
      <c r="B1151" s="21"/>
      <c r="C1151" s="21" t="str">
        <f aca="false">IF(B1151="","",IFERROR(INDEX(代理店一覧!$B$5:$B$204,MATCH(B1151,代理店一覧!$A$5:$A$204,0)),"※未登録のID"))</f>
        <v/>
      </c>
      <c r="D1151" s="21"/>
      <c r="E1151" s="21"/>
      <c r="F1151" s="21"/>
      <c r="G1151" s="18"/>
      <c r="H1151" s="21"/>
      <c r="I1151" s="26"/>
      <c r="J1151" s="15"/>
      <c r="K1151" s="27"/>
      <c r="L1151" s="25" t="str">
        <f aca="false">IF(B1151="","",B1151&amp;"|"&amp;J1151)</f>
        <v/>
      </c>
    </row>
    <row r="1152" customFormat="false" ht="15" hidden="false" customHeight="false" outlineLevel="0" collapsed="false">
      <c r="A1152" s="15"/>
      <c r="B1152" s="21"/>
      <c r="C1152" s="21" t="str">
        <f aca="false">IF(B1152="","",IFERROR(INDEX(代理店一覧!$B$5:$B$204,MATCH(B1152,代理店一覧!$A$5:$A$204,0)),"※未登録のID"))</f>
        <v/>
      </c>
      <c r="D1152" s="21"/>
      <c r="E1152" s="21"/>
      <c r="F1152" s="21"/>
      <c r="G1152" s="18"/>
      <c r="H1152" s="21"/>
      <c r="I1152" s="26"/>
      <c r="J1152" s="15"/>
      <c r="K1152" s="27"/>
      <c r="L1152" s="25" t="str">
        <f aca="false">IF(B1152="","",B1152&amp;"|"&amp;J1152)</f>
        <v/>
      </c>
    </row>
    <row r="1153" customFormat="false" ht="15" hidden="false" customHeight="false" outlineLevel="0" collapsed="false">
      <c r="A1153" s="15"/>
      <c r="B1153" s="21"/>
      <c r="C1153" s="21" t="str">
        <f aca="false">IF(B1153="","",IFERROR(INDEX(代理店一覧!$B$5:$B$204,MATCH(B1153,代理店一覧!$A$5:$A$204,0)),"※未登録のID"))</f>
        <v/>
      </c>
      <c r="D1153" s="21"/>
      <c r="E1153" s="21"/>
      <c r="F1153" s="21"/>
      <c r="G1153" s="18"/>
      <c r="H1153" s="21"/>
      <c r="I1153" s="26"/>
      <c r="J1153" s="15"/>
      <c r="K1153" s="27"/>
      <c r="L1153" s="25" t="str">
        <f aca="false">IF(B1153="","",B1153&amp;"|"&amp;J1153)</f>
        <v/>
      </c>
    </row>
    <row r="1154" customFormat="false" ht="15" hidden="false" customHeight="false" outlineLevel="0" collapsed="false">
      <c r="A1154" s="15"/>
      <c r="B1154" s="21"/>
      <c r="C1154" s="21" t="str">
        <f aca="false">IF(B1154="","",IFERROR(INDEX(代理店一覧!$B$5:$B$204,MATCH(B1154,代理店一覧!$A$5:$A$204,0)),"※未登録のID"))</f>
        <v/>
      </c>
      <c r="D1154" s="21"/>
      <c r="E1154" s="21"/>
      <c r="F1154" s="21"/>
      <c r="G1154" s="18"/>
      <c r="H1154" s="21"/>
      <c r="I1154" s="26"/>
      <c r="J1154" s="15"/>
      <c r="K1154" s="27"/>
      <c r="L1154" s="25" t="str">
        <f aca="false">IF(B1154="","",B1154&amp;"|"&amp;J1154)</f>
        <v/>
      </c>
    </row>
    <row r="1155" customFormat="false" ht="15" hidden="false" customHeight="false" outlineLevel="0" collapsed="false">
      <c r="A1155" s="15"/>
      <c r="B1155" s="21"/>
      <c r="C1155" s="21" t="str">
        <f aca="false">IF(B1155="","",IFERROR(INDEX(代理店一覧!$B$5:$B$204,MATCH(B1155,代理店一覧!$A$5:$A$204,0)),"※未登録のID"))</f>
        <v/>
      </c>
      <c r="D1155" s="21"/>
      <c r="E1155" s="21"/>
      <c r="F1155" s="21"/>
      <c r="G1155" s="18"/>
      <c r="H1155" s="21"/>
      <c r="I1155" s="26"/>
      <c r="J1155" s="15"/>
      <c r="K1155" s="27"/>
      <c r="L1155" s="25" t="str">
        <f aca="false">IF(B1155="","",B1155&amp;"|"&amp;J1155)</f>
        <v/>
      </c>
    </row>
    <row r="1156" customFormat="false" ht="15" hidden="false" customHeight="false" outlineLevel="0" collapsed="false">
      <c r="A1156" s="15"/>
      <c r="B1156" s="21"/>
      <c r="C1156" s="21" t="str">
        <f aca="false">IF(B1156="","",IFERROR(INDEX(代理店一覧!$B$5:$B$204,MATCH(B1156,代理店一覧!$A$5:$A$204,0)),"※未登録のID"))</f>
        <v/>
      </c>
      <c r="D1156" s="21"/>
      <c r="E1156" s="21"/>
      <c r="F1156" s="21"/>
      <c r="G1156" s="18"/>
      <c r="H1156" s="21"/>
      <c r="I1156" s="26"/>
      <c r="J1156" s="15"/>
      <c r="K1156" s="27"/>
      <c r="L1156" s="25" t="str">
        <f aca="false">IF(B1156="","",B1156&amp;"|"&amp;J1156)</f>
        <v/>
      </c>
    </row>
    <row r="1157" customFormat="false" ht="15" hidden="false" customHeight="false" outlineLevel="0" collapsed="false">
      <c r="A1157" s="15"/>
      <c r="B1157" s="21"/>
      <c r="C1157" s="21" t="str">
        <f aca="false">IF(B1157="","",IFERROR(INDEX(代理店一覧!$B$5:$B$204,MATCH(B1157,代理店一覧!$A$5:$A$204,0)),"※未登録のID"))</f>
        <v/>
      </c>
      <c r="D1157" s="21"/>
      <c r="E1157" s="21"/>
      <c r="F1157" s="21"/>
      <c r="G1157" s="18"/>
      <c r="H1157" s="21"/>
      <c r="I1157" s="26"/>
      <c r="J1157" s="15"/>
      <c r="K1157" s="27"/>
      <c r="L1157" s="25" t="str">
        <f aca="false">IF(B1157="","",B1157&amp;"|"&amp;J1157)</f>
        <v/>
      </c>
    </row>
    <row r="1158" customFormat="false" ht="15" hidden="false" customHeight="false" outlineLevel="0" collapsed="false">
      <c r="A1158" s="15"/>
      <c r="B1158" s="21"/>
      <c r="C1158" s="21" t="str">
        <f aca="false">IF(B1158="","",IFERROR(INDEX(代理店一覧!$B$5:$B$204,MATCH(B1158,代理店一覧!$A$5:$A$204,0)),"※未登録のID"))</f>
        <v/>
      </c>
      <c r="D1158" s="21"/>
      <c r="E1158" s="21"/>
      <c r="F1158" s="21"/>
      <c r="G1158" s="18"/>
      <c r="H1158" s="21"/>
      <c r="I1158" s="26"/>
      <c r="J1158" s="15"/>
      <c r="K1158" s="27"/>
      <c r="L1158" s="25" t="str">
        <f aca="false">IF(B1158="","",B1158&amp;"|"&amp;J1158)</f>
        <v/>
      </c>
    </row>
    <row r="1159" customFormat="false" ht="15" hidden="false" customHeight="false" outlineLevel="0" collapsed="false">
      <c r="A1159" s="15"/>
      <c r="B1159" s="21"/>
      <c r="C1159" s="21" t="str">
        <f aca="false">IF(B1159="","",IFERROR(INDEX(代理店一覧!$B$5:$B$204,MATCH(B1159,代理店一覧!$A$5:$A$204,0)),"※未登録のID"))</f>
        <v/>
      </c>
      <c r="D1159" s="21"/>
      <c r="E1159" s="21"/>
      <c r="F1159" s="21"/>
      <c r="G1159" s="18"/>
      <c r="H1159" s="21"/>
      <c r="I1159" s="26"/>
      <c r="J1159" s="15"/>
      <c r="K1159" s="27"/>
      <c r="L1159" s="25" t="str">
        <f aca="false">IF(B1159="","",B1159&amp;"|"&amp;J1159)</f>
        <v/>
      </c>
    </row>
    <row r="1160" customFormat="false" ht="15" hidden="false" customHeight="false" outlineLevel="0" collapsed="false">
      <c r="A1160" s="15"/>
      <c r="B1160" s="21"/>
      <c r="C1160" s="21" t="str">
        <f aca="false">IF(B1160="","",IFERROR(INDEX(代理店一覧!$B$5:$B$204,MATCH(B1160,代理店一覧!$A$5:$A$204,0)),"※未登録のID"))</f>
        <v/>
      </c>
      <c r="D1160" s="21"/>
      <c r="E1160" s="21"/>
      <c r="F1160" s="21"/>
      <c r="G1160" s="18"/>
      <c r="H1160" s="21"/>
      <c r="I1160" s="26"/>
      <c r="J1160" s="15"/>
      <c r="K1160" s="27"/>
      <c r="L1160" s="25" t="str">
        <f aca="false">IF(B1160="","",B1160&amp;"|"&amp;J1160)</f>
        <v/>
      </c>
    </row>
    <row r="1161" customFormat="false" ht="15" hidden="false" customHeight="false" outlineLevel="0" collapsed="false">
      <c r="A1161" s="15"/>
      <c r="B1161" s="21"/>
      <c r="C1161" s="21" t="str">
        <f aca="false">IF(B1161="","",IFERROR(INDEX(代理店一覧!$B$5:$B$204,MATCH(B1161,代理店一覧!$A$5:$A$204,0)),"※未登録のID"))</f>
        <v/>
      </c>
      <c r="D1161" s="21"/>
      <c r="E1161" s="21"/>
      <c r="F1161" s="21"/>
      <c r="G1161" s="18"/>
      <c r="H1161" s="21"/>
      <c r="I1161" s="26"/>
      <c r="J1161" s="15"/>
      <c r="K1161" s="27"/>
      <c r="L1161" s="25" t="str">
        <f aca="false">IF(B1161="","",B1161&amp;"|"&amp;J1161)</f>
        <v/>
      </c>
    </row>
    <row r="1162" customFormat="false" ht="15" hidden="false" customHeight="false" outlineLevel="0" collapsed="false">
      <c r="A1162" s="15"/>
      <c r="B1162" s="21"/>
      <c r="C1162" s="21" t="str">
        <f aca="false">IF(B1162="","",IFERROR(INDEX(代理店一覧!$B$5:$B$204,MATCH(B1162,代理店一覧!$A$5:$A$204,0)),"※未登録のID"))</f>
        <v/>
      </c>
      <c r="D1162" s="21"/>
      <c r="E1162" s="21"/>
      <c r="F1162" s="21"/>
      <c r="G1162" s="18"/>
      <c r="H1162" s="21"/>
      <c r="I1162" s="26"/>
      <c r="J1162" s="15"/>
      <c r="K1162" s="27"/>
      <c r="L1162" s="25" t="str">
        <f aca="false">IF(B1162="","",B1162&amp;"|"&amp;J1162)</f>
        <v/>
      </c>
    </row>
    <row r="1163" customFormat="false" ht="15" hidden="false" customHeight="false" outlineLevel="0" collapsed="false">
      <c r="A1163" s="15"/>
      <c r="B1163" s="21"/>
      <c r="C1163" s="21" t="str">
        <f aca="false">IF(B1163="","",IFERROR(INDEX(代理店一覧!$B$5:$B$204,MATCH(B1163,代理店一覧!$A$5:$A$204,0)),"※未登録のID"))</f>
        <v/>
      </c>
      <c r="D1163" s="21"/>
      <c r="E1163" s="21"/>
      <c r="F1163" s="21"/>
      <c r="G1163" s="18"/>
      <c r="H1163" s="21"/>
      <c r="I1163" s="26"/>
      <c r="J1163" s="15"/>
      <c r="K1163" s="27"/>
      <c r="L1163" s="25" t="str">
        <f aca="false">IF(B1163="","",B1163&amp;"|"&amp;J1163)</f>
        <v/>
      </c>
    </row>
    <row r="1164" customFormat="false" ht="15" hidden="false" customHeight="false" outlineLevel="0" collapsed="false">
      <c r="A1164" s="15"/>
      <c r="B1164" s="21"/>
      <c r="C1164" s="21" t="str">
        <f aca="false">IF(B1164="","",IFERROR(INDEX(代理店一覧!$B$5:$B$204,MATCH(B1164,代理店一覧!$A$5:$A$204,0)),"※未登録のID"))</f>
        <v/>
      </c>
      <c r="D1164" s="21"/>
      <c r="E1164" s="21"/>
      <c r="F1164" s="21"/>
      <c r="G1164" s="18"/>
      <c r="H1164" s="21"/>
      <c r="I1164" s="26"/>
      <c r="J1164" s="15"/>
      <c r="K1164" s="27"/>
      <c r="L1164" s="25" t="str">
        <f aca="false">IF(B1164="","",B1164&amp;"|"&amp;J1164)</f>
        <v/>
      </c>
    </row>
    <row r="1165" customFormat="false" ht="15" hidden="false" customHeight="false" outlineLevel="0" collapsed="false">
      <c r="A1165" s="15"/>
      <c r="B1165" s="21"/>
      <c r="C1165" s="21" t="str">
        <f aca="false">IF(B1165="","",IFERROR(INDEX(代理店一覧!$B$5:$B$204,MATCH(B1165,代理店一覧!$A$5:$A$204,0)),"※未登録のID"))</f>
        <v/>
      </c>
      <c r="D1165" s="21"/>
      <c r="E1165" s="21"/>
      <c r="F1165" s="21"/>
      <c r="G1165" s="18"/>
      <c r="H1165" s="21"/>
      <c r="I1165" s="26"/>
      <c r="J1165" s="15"/>
      <c r="K1165" s="27"/>
      <c r="L1165" s="25" t="str">
        <f aca="false">IF(B1165="","",B1165&amp;"|"&amp;J1165)</f>
        <v/>
      </c>
    </row>
    <row r="1166" customFormat="false" ht="15" hidden="false" customHeight="false" outlineLevel="0" collapsed="false">
      <c r="A1166" s="15"/>
      <c r="B1166" s="21"/>
      <c r="C1166" s="21" t="str">
        <f aca="false">IF(B1166="","",IFERROR(INDEX(代理店一覧!$B$5:$B$204,MATCH(B1166,代理店一覧!$A$5:$A$204,0)),"※未登録のID"))</f>
        <v/>
      </c>
      <c r="D1166" s="21"/>
      <c r="E1166" s="21"/>
      <c r="F1166" s="21"/>
      <c r="G1166" s="18"/>
      <c r="H1166" s="21"/>
      <c r="I1166" s="26"/>
      <c r="J1166" s="15"/>
      <c r="K1166" s="27"/>
      <c r="L1166" s="25" t="str">
        <f aca="false">IF(B1166="","",B1166&amp;"|"&amp;J1166)</f>
        <v/>
      </c>
    </row>
    <row r="1167" customFormat="false" ht="15" hidden="false" customHeight="false" outlineLevel="0" collapsed="false">
      <c r="A1167" s="15"/>
      <c r="B1167" s="21"/>
      <c r="C1167" s="21" t="str">
        <f aca="false">IF(B1167="","",IFERROR(INDEX(代理店一覧!$B$5:$B$204,MATCH(B1167,代理店一覧!$A$5:$A$204,0)),"※未登録のID"))</f>
        <v/>
      </c>
      <c r="D1167" s="21"/>
      <c r="E1167" s="21"/>
      <c r="F1167" s="21"/>
      <c r="G1167" s="18"/>
      <c r="H1167" s="21"/>
      <c r="I1167" s="26"/>
      <c r="J1167" s="15"/>
      <c r="K1167" s="27"/>
      <c r="L1167" s="25" t="str">
        <f aca="false">IF(B1167="","",B1167&amp;"|"&amp;J1167)</f>
        <v/>
      </c>
    </row>
    <row r="1168" customFormat="false" ht="15" hidden="false" customHeight="false" outlineLevel="0" collapsed="false">
      <c r="A1168" s="15"/>
      <c r="B1168" s="21"/>
      <c r="C1168" s="21" t="str">
        <f aca="false">IF(B1168="","",IFERROR(INDEX(代理店一覧!$B$5:$B$204,MATCH(B1168,代理店一覧!$A$5:$A$204,0)),"※未登録のID"))</f>
        <v/>
      </c>
      <c r="D1168" s="21"/>
      <c r="E1168" s="21"/>
      <c r="F1168" s="21"/>
      <c r="G1168" s="18"/>
      <c r="H1168" s="21"/>
      <c r="I1168" s="26"/>
      <c r="J1168" s="15"/>
      <c r="K1168" s="27"/>
      <c r="L1168" s="25" t="str">
        <f aca="false">IF(B1168="","",B1168&amp;"|"&amp;J1168)</f>
        <v/>
      </c>
    </row>
    <row r="1169" customFormat="false" ht="15" hidden="false" customHeight="false" outlineLevel="0" collapsed="false">
      <c r="A1169" s="15"/>
      <c r="B1169" s="21"/>
      <c r="C1169" s="21" t="str">
        <f aca="false">IF(B1169="","",IFERROR(INDEX(代理店一覧!$B$5:$B$204,MATCH(B1169,代理店一覧!$A$5:$A$204,0)),"※未登録のID"))</f>
        <v/>
      </c>
      <c r="D1169" s="21"/>
      <c r="E1169" s="21"/>
      <c r="F1169" s="21"/>
      <c r="G1169" s="18"/>
      <c r="H1169" s="21"/>
      <c r="I1169" s="26"/>
      <c r="J1169" s="15"/>
      <c r="K1169" s="27"/>
      <c r="L1169" s="25" t="str">
        <f aca="false">IF(B1169="","",B1169&amp;"|"&amp;J1169)</f>
        <v/>
      </c>
    </row>
    <row r="1170" customFormat="false" ht="15" hidden="false" customHeight="false" outlineLevel="0" collapsed="false">
      <c r="A1170" s="15"/>
      <c r="B1170" s="21"/>
      <c r="C1170" s="21" t="str">
        <f aca="false">IF(B1170="","",IFERROR(INDEX(代理店一覧!$B$5:$B$204,MATCH(B1170,代理店一覧!$A$5:$A$204,0)),"※未登録のID"))</f>
        <v/>
      </c>
      <c r="D1170" s="21"/>
      <c r="E1170" s="21"/>
      <c r="F1170" s="21"/>
      <c r="G1170" s="18"/>
      <c r="H1170" s="21"/>
      <c r="I1170" s="26"/>
      <c r="J1170" s="15"/>
      <c r="K1170" s="27"/>
      <c r="L1170" s="25" t="str">
        <f aca="false">IF(B1170="","",B1170&amp;"|"&amp;J1170)</f>
        <v/>
      </c>
    </row>
    <row r="1171" customFormat="false" ht="15" hidden="false" customHeight="false" outlineLevel="0" collapsed="false">
      <c r="A1171" s="15"/>
      <c r="B1171" s="21"/>
      <c r="C1171" s="21" t="str">
        <f aca="false">IF(B1171="","",IFERROR(INDEX(代理店一覧!$B$5:$B$204,MATCH(B1171,代理店一覧!$A$5:$A$204,0)),"※未登録のID"))</f>
        <v/>
      </c>
      <c r="D1171" s="21"/>
      <c r="E1171" s="21"/>
      <c r="F1171" s="21"/>
      <c r="G1171" s="18"/>
      <c r="H1171" s="21"/>
      <c r="I1171" s="26"/>
      <c r="J1171" s="15"/>
      <c r="K1171" s="27"/>
      <c r="L1171" s="25" t="str">
        <f aca="false">IF(B1171="","",B1171&amp;"|"&amp;J1171)</f>
        <v/>
      </c>
    </row>
    <row r="1172" customFormat="false" ht="15" hidden="false" customHeight="false" outlineLevel="0" collapsed="false">
      <c r="A1172" s="15"/>
      <c r="B1172" s="21"/>
      <c r="C1172" s="21" t="str">
        <f aca="false">IF(B1172="","",IFERROR(INDEX(代理店一覧!$B$5:$B$204,MATCH(B1172,代理店一覧!$A$5:$A$204,0)),"※未登録のID"))</f>
        <v/>
      </c>
      <c r="D1172" s="21"/>
      <c r="E1172" s="21"/>
      <c r="F1172" s="21"/>
      <c r="G1172" s="18"/>
      <c r="H1172" s="21"/>
      <c r="I1172" s="26"/>
      <c r="J1172" s="15"/>
      <c r="K1172" s="27"/>
      <c r="L1172" s="25" t="str">
        <f aca="false">IF(B1172="","",B1172&amp;"|"&amp;J1172)</f>
        <v/>
      </c>
    </row>
    <row r="1173" customFormat="false" ht="15" hidden="false" customHeight="false" outlineLevel="0" collapsed="false">
      <c r="A1173" s="15"/>
      <c r="B1173" s="21"/>
      <c r="C1173" s="21" t="str">
        <f aca="false">IF(B1173="","",IFERROR(INDEX(代理店一覧!$B$5:$B$204,MATCH(B1173,代理店一覧!$A$5:$A$204,0)),"※未登録のID"))</f>
        <v/>
      </c>
      <c r="D1173" s="21"/>
      <c r="E1173" s="21"/>
      <c r="F1173" s="21"/>
      <c r="G1173" s="18"/>
      <c r="H1173" s="21"/>
      <c r="I1173" s="26"/>
      <c r="J1173" s="15"/>
      <c r="K1173" s="27"/>
      <c r="L1173" s="25" t="str">
        <f aca="false">IF(B1173="","",B1173&amp;"|"&amp;J1173)</f>
        <v/>
      </c>
    </row>
    <row r="1174" customFormat="false" ht="15" hidden="false" customHeight="false" outlineLevel="0" collapsed="false">
      <c r="A1174" s="15"/>
      <c r="B1174" s="21"/>
      <c r="C1174" s="21" t="str">
        <f aca="false">IF(B1174="","",IFERROR(INDEX(代理店一覧!$B$5:$B$204,MATCH(B1174,代理店一覧!$A$5:$A$204,0)),"※未登録のID"))</f>
        <v/>
      </c>
      <c r="D1174" s="21"/>
      <c r="E1174" s="21"/>
      <c r="F1174" s="21"/>
      <c r="G1174" s="18"/>
      <c r="H1174" s="21"/>
      <c r="I1174" s="26"/>
      <c r="J1174" s="15"/>
      <c r="K1174" s="27"/>
      <c r="L1174" s="25" t="str">
        <f aca="false">IF(B1174="","",B1174&amp;"|"&amp;J1174)</f>
        <v/>
      </c>
    </row>
    <row r="1175" customFormat="false" ht="15" hidden="false" customHeight="false" outlineLevel="0" collapsed="false">
      <c r="A1175" s="15"/>
      <c r="B1175" s="21"/>
      <c r="C1175" s="21" t="str">
        <f aca="false">IF(B1175="","",IFERROR(INDEX(代理店一覧!$B$5:$B$204,MATCH(B1175,代理店一覧!$A$5:$A$204,0)),"※未登録のID"))</f>
        <v/>
      </c>
      <c r="D1175" s="21"/>
      <c r="E1175" s="21"/>
      <c r="F1175" s="21"/>
      <c r="G1175" s="18"/>
      <c r="H1175" s="21"/>
      <c r="I1175" s="26"/>
      <c r="J1175" s="15"/>
      <c r="K1175" s="27"/>
      <c r="L1175" s="25" t="str">
        <f aca="false">IF(B1175="","",B1175&amp;"|"&amp;J1175)</f>
        <v/>
      </c>
    </row>
    <row r="1176" customFormat="false" ht="15" hidden="false" customHeight="false" outlineLevel="0" collapsed="false">
      <c r="A1176" s="15"/>
      <c r="B1176" s="21"/>
      <c r="C1176" s="21" t="str">
        <f aca="false">IF(B1176="","",IFERROR(INDEX(代理店一覧!$B$5:$B$204,MATCH(B1176,代理店一覧!$A$5:$A$204,0)),"※未登録のID"))</f>
        <v/>
      </c>
      <c r="D1176" s="21"/>
      <c r="E1176" s="21"/>
      <c r="F1176" s="21"/>
      <c r="G1176" s="18"/>
      <c r="H1176" s="21"/>
      <c r="I1176" s="26"/>
      <c r="J1176" s="15"/>
      <c r="K1176" s="27"/>
      <c r="L1176" s="25" t="str">
        <f aca="false">IF(B1176="","",B1176&amp;"|"&amp;J1176)</f>
        <v/>
      </c>
    </row>
    <row r="1177" customFormat="false" ht="15" hidden="false" customHeight="false" outlineLevel="0" collapsed="false">
      <c r="A1177" s="15"/>
      <c r="B1177" s="21"/>
      <c r="C1177" s="21" t="str">
        <f aca="false">IF(B1177="","",IFERROR(INDEX(代理店一覧!$B$5:$B$204,MATCH(B1177,代理店一覧!$A$5:$A$204,0)),"※未登録のID"))</f>
        <v/>
      </c>
      <c r="D1177" s="21"/>
      <c r="E1177" s="21"/>
      <c r="F1177" s="21"/>
      <c r="G1177" s="18"/>
      <c r="H1177" s="21"/>
      <c r="I1177" s="26"/>
      <c r="J1177" s="15"/>
      <c r="K1177" s="27"/>
      <c r="L1177" s="25" t="str">
        <f aca="false">IF(B1177="","",B1177&amp;"|"&amp;J1177)</f>
        <v/>
      </c>
    </row>
    <row r="1178" customFormat="false" ht="15" hidden="false" customHeight="false" outlineLevel="0" collapsed="false">
      <c r="A1178" s="15"/>
      <c r="B1178" s="21"/>
      <c r="C1178" s="21" t="str">
        <f aca="false">IF(B1178="","",IFERROR(INDEX(代理店一覧!$B$5:$B$204,MATCH(B1178,代理店一覧!$A$5:$A$204,0)),"※未登録のID"))</f>
        <v/>
      </c>
      <c r="D1178" s="21"/>
      <c r="E1178" s="21"/>
      <c r="F1178" s="21"/>
      <c r="G1178" s="18"/>
      <c r="H1178" s="21"/>
      <c r="I1178" s="26"/>
      <c r="J1178" s="15"/>
      <c r="K1178" s="27"/>
      <c r="L1178" s="25" t="str">
        <f aca="false">IF(B1178="","",B1178&amp;"|"&amp;J1178)</f>
        <v/>
      </c>
    </row>
    <row r="1179" customFormat="false" ht="15" hidden="false" customHeight="false" outlineLevel="0" collapsed="false">
      <c r="A1179" s="15"/>
      <c r="B1179" s="21"/>
      <c r="C1179" s="21" t="str">
        <f aca="false">IF(B1179="","",IFERROR(INDEX(代理店一覧!$B$5:$B$204,MATCH(B1179,代理店一覧!$A$5:$A$204,0)),"※未登録のID"))</f>
        <v/>
      </c>
      <c r="D1179" s="21"/>
      <c r="E1179" s="21"/>
      <c r="F1179" s="21"/>
      <c r="G1179" s="18"/>
      <c r="H1179" s="21"/>
      <c r="I1179" s="26"/>
      <c r="J1179" s="15"/>
      <c r="K1179" s="27"/>
      <c r="L1179" s="25" t="str">
        <f aca="false">IF(B1179="","",B1179&amp;"|"&amp;J1179)</f>
        <v/>
      </c>
    </row>
    <row r="1180" customFormat="false" ht="15" hidden="false" customHeight="false" outlineLevel="0" collapsed="false">
      <c r="A1180" s="15"/>
      <c r="B1180" s="21"/>
      <c r="C1180" s="21" t="str">
        <f aca="false">IF(B1180="","",IFERROR(INDEX(代理店一覧!$B$5:$B$204,MATCH(B1180,代理店一覧!$A$5:$A$204,0)),"※未登録のID"))</f>
        <v/>
      </c>
      <c r="D1180" s="21"/>
      <c r="E1180" s="21"/>
      <c r="F1180" s="21"/>
      <c r="G1180" s="18"/>
      <c r="H1180" s="21"/>
      <c r="I1180" s="26"/>
      <c r="J1180" s="15"/>
      <c r="K1180" s="27"/>
      <c r="L1180" s="25" t="str">
        <f aca="false">IF(B1180="","",B1180&amp;"|"&amp;J1180)</f>
        <v/>
      </c>
    </row>
    <row r="1181" customFormat="false" ht="15" hidden="false" customHeight="false" outlineLevel="0" collapsed="false">
      <c r="A1181" s="15"/>
      <c r="B1181" s="21"/>
      <c r="C1181" s="21" t="str">
        <f aca="false">IF(B1181="","",IFERROR(INDEX(代理店一覧!$B$5:$B$204,MATCH(B1181,代理店一覧!$A$5:$A$204,0)),"※未登録のID"))</f>
        <v/>
      </c>
      <c r="D1181" s="21"/>
      <c r="E1181" s="21"/>
      <c r="F1181" s="21"/>
      <c r="G1181" s="18"/>
      <c r="H1181" s="21"/>
      <c r="I1181" s="26"/>
      <c r="J1181" s="15"/>
      <c r="K1181" s="27"/>
      <c r="L1181" s="25" t="str">
        <f aca="false">IF(B1181="","",B1181&amp;"|"&amp;J1181)</f>
        <v/>
      </c>
    </row>
    <row r="1182" customFormat="false" ht="15" hidden="false" customHeight="false" outlineLevel="0" collapsed="false">
      <c r="A1182" s="15"/>
      <c r="B1182" s="21"/>
      <c r="C1182" s="21" t="str">
        <f aca="false">IF(B1182="","",IFERROR(INDEX(代理店一覧!$B$5:$B$204,MATCH(B1182,代理店一覧!$A$5:$A$204,0)),"※未登録のID"))</f>
        <v/>
      </c>
      <c r="D1182" s="21"/>
      <c r="E1182" s="21"/>
      <c r="F1182" s="21"/>
      <c r="G1182" s="18"/>
      <c r="H1182" s="21"/>
      <c r="I1182" s="26"/>
      <c r="J1182" s="15"/>
      <c r="K1182" s="27"/>
      <c r="L1182" s="25" t="str">
        <f aca="false">IF(B1182="","",B1182&amp;"|"&amp;J1182)</f>
        <v/>
      </c>
    </row>
    <row r="1183" customFormat="false" ht="15" hidden="false" customHeight="false" outlineLevel="0" collapsed="false">
      <c r="A1183" s="15"/>
      <c r="B1183" s="21"/>
      <c r="C1183" s="21" t="str">
        <f aca="false">IF(B1183="","",IFERROR(INDEX(代理店一覧!$B$5:$B$204,MATCH(B1183,代理店一覧!$A$5:$A$204,0)),"※未登録のID"))</f>
        <v/>
      </c>
      <c r="D1183" s="21"/>
      <c r="E1183" s="21"/>
      <c r="F1183" s="21"/>
      <c r="G1183" s="18"/>
      <c r="H1183" s="21"/>
      <c r="I1183" s="26"/>
      <c r="J1183" s="15"/>
      <c r="K1183" s="27"/>
      <c r="L1183" s="25" t="str">
        <f aca="false">IF(B1183="","",B1183&amp;"|"&amp;J1183)</f>
        <v/>
      </c>
    </row>
    <row r="1184" customFormat="false" ht="15" hidden="false" customHeight="false" outlineLevel="0" collapsed="false">
      <c r="A1184" s="15"/>
      <c r="B1184" s="21"/>
      <c r="C1184" s="21" t="str">
        <f aca="false">IF(B1184="","",IFERROR(INDEX(代理店一覧!$B$5:$B$204,MATCH(B1184,代理店一覧!$A$5:$A$204,0)),"※未登録のID"))</f>
        <v/>
      </c>
      <c r="D1184" s="21"/>
      <c r="E1184" s="21"/>
      <c r="F1184" s="21"/>
      <c r="G1184" s="18"/>
      <c r="H1184" s="21"/>
      <c r="I1184" s="26"/>
      <c r="J1184" s="15"/>
      <c r="K1184" s="27"/>
      <c r="L1184" s="25" t="str">
        <f aca="false">IF(B1184="","",B1184&amp;"|"&amp;J1184)</f>
        <v/>
      </c>
    </row>
    <row r="1185" customFormat="false" ht="15" hidden="false" customHeight="false" outlineLevel="0" collapsed="false">
      <c r="A1185" s="15"/>
      <c r="B1185" s="21"/>
      <c r="C1185" s="21" t="str">
        <f aca="false">IF(B1185="","",IFERROR(INDEX(代理店一覧!$B$5:$B$204,MATCH(B1185,代理店一覧!$A$5:$A$204,0)),"※未登録のID"))</f>
        <v/>
      </c>
      <c r="D1185" s="21"/>
      <c r="E1185" s="21"/>
      <c r="F1185" s="21"/>
      <c r="G1185" s="18"/>
      <c r="H1185" s="21"/>
      <c r="I1185" s="26"/>
      <c r="J1185" s="15"/>
      <c r="K1185" s="27"/>
      <c r="L1185" s="25" t="str">
        <f aca="false">IF(B1185="","",B1185&amp;"|"&amp;J1185)</f>
        <v/>
      </c>
    </row>
    <row r="1186" customFormat="false" ht="15" hidden="false" customHeight="false" outlineLevel="0" collapsed="false">
      <c r="A1186" s="15"/>
      <c r="B1186" s="21"/>
      <c r="C1186" s="21" t="str">
        <f aca="false">IF(B1186="","",IFERROR(INDEX(代理店一覧!$B$5:$B$204,MATCH(B1186,代理店一覧!$A$5:$A$204,0)),"※未登録のID"))</f>
        <v/>
      </c>
      <c r="D1186" s="21"/>
      <c r="E1186" s="21"/>
      <c r="F1186" s="21"/>
      <c r="G1186" s="18"/>
      <c r="H1186" s="21"/>
      <c r="I1186" s="26"/>
      <c r="J1186" s="15"/>
      <c r="K1186" s="27"/>
      <c r="L1186" s="25" t="str">
        <f aca="false">IF(B1186="","",B1186&amp;"|"&amp;J1186)</f>
        <v/>
      </c>
    </row>
    <row r="1187" customFormat="false" ht="15" hidden="false" customHeight="false" outlineLevel="0" collapsed="false">
      <c r="A1187" s="15"/>
      <c r="B1187" s="21"/>
      <c r="C1187" s="21" t="str">
        <f aca="false">IF(B1187="","",IFERROR(INDEX(代理店一覧!$B$5:$B$204,MATCH(B1187,代理店一覧!$A$5:$A$204,0)),"※未登録のID"))</f>
        <v/>
      </c>
      <c r="D1187" s="21"/>
      <c r="E1187" s="21"/>
      <c r="F1187" s="21"/>
      <c r="G1187" s="18"/>
      <c r="H1187" s="21"/>
      <c r="I1187" s="26"/>
      <c r="J1187" s="15"/>
      <c r="K1187" s="27"/>
      <c r="L1187" s="25" t="str">
        <f aca="false">IF(B1187="","",B1187&amp;"|"&amp;J1187)</f>
        <v/>
      </c>
    </row>
    <row r="1188" customFormat="false" ht="15" hidden="false" customHeight="false" outlineLevel="0" collapsed="false">
      <c r="A1188" s="15"/>
      <c r="B1188" s="21"/>
      <c r="C1188" s="21" t="str">
        <f aca="false">IF(B1188="","",IFERROR(INDEX(代理店一覧!$B$5:$B$204,MATCH(B1188,代理店一覧!$A$5:$A$204,0)),"※未登録のID"))</f>
        <v/>
      </c>
      <c r="D1188" s="21"/>
      <c r="E1188" s="21"/>
      <c r="F1188" s="21"/>
      <c r="G1188" s="18"/>
      <c r="H1188" s="21"/>
      <c r="I1188" s="26"/>
      <c r="J1188" s="15"/>
      <c r="K1188" s="27"/>
      <c r="L1188" s="25" t="str">
        <f aca="false">IF(B1188="","",B1188&amp;"|"&amp;J1188)</f>
        <v/>
      </c>
    </row>
    <row r="1189" customFormat="false" ht="15" hidden="false" customHeight="false" outlineLevel="0" collapsed="false">
      <c r="A1189" s="15"/>
      <c r="B1189" s="21"/>
      <c r="C1189" s="21" t="str">
        <f aca="false">IF(B1189="","",IFERROR(INDEX(代理店一覧!$B$5:$B$204,MATCH(B1189,代理店一覧!$A$5:$A$204,0)),"※未登録のID"))</f>
        <v/>
      </c>
      <c r="D1189" s="21"/>
      <c r="E1189" s="21"/>
      <c r="F1189" s="21"/>
      <c r="G1189" s="18"/>
      <c r="H1189" s="21"/>
      <c r="I1189" s="26"/>
      <c r="J1189" s="15"/>
      <c r="K1189" s="27"/>
      <c r="L1189" s="25" t="str">
        <f aca="false">IF(B1189="","",B1189&amp;"|"&amp;J1189)</f>
        <v/>
      </c>
    </row>
    <row r="1190" customFormat="false" ht="15" hidden="false" customHeight="false" outlineLevel="0" collapsed="false">
      <c r="A1190" s="15"/>
      <c r="B1190" s="21"/>
      <c r="C1190" s="21" t="str">
        <f aca="false">IF(B1190="","",IFERROR(INDEX(代理店一覧!$B$5:$B$204,MATCH(B1190,代理店一覧!$A$5:$A$204,0)),"※未登録のID"))</f>
        <v/>
      </c>
      <c r="D1190" s="21"/>
      <c r="E1190" s="21"/>
      <c r="F1190" s="21"/>
      <c r="G1190" s="18"/>
      <c r="H1190" s="21"/>
      <c r="I1190" s="26"/>
      <c r="J1190" s="15"/>
      <c r="K1190" s="27"/>
      <c r="L1190" s="25" t="str">
        <f aca="false">IF(B1190="","",B1190&amp;"|"&amp;J1190)</f>
        <v/>
      </c>
    </row>
    <row r="1191" customFormat="false" ht="15" hidden="false" customHeight="false" outlineLevel="0" collapsed="false">
      <c r="A1191" s="15"/>
      <c r="B1191" s="21"/>
      <c r="C1191" s="21" t="str">
        <f aca="false">IF(B1191="","",IFERROR(INDEX(代理店一覧!$B$5:$B$204,MATCH(B1191,代理店一覧!$A$5:$A$204,0)),"※未登録のID"))</f>
        <v/>
      </c>
      <c r="D1191" s="21"/>
      <c r="E1191" s="21"/>
      <c r="F1191" s="21"/>
      <c r="G1191" s="18"/>
      <c r="H1191" s="21"/>
      <c r="I1191" s="26"/>
      <c r="J1191" s="15"/>
      <c r="K1191" s="27"/>
      <c r="L1191" s="25" t="str">
        <f aca="false">IF(B1191="","",B1191&amp;"|"&amp;J1191)</f>
        <v/>
      </c>
    </row>
    <row r="1192" customFormat="false" ht="15" hidden="false" customHeight="false" outlineLevel="0" collapsed="false">
      <c r="A1192" s="15"/>
      <c r="B1192" s="21"/>
      <c r="C1192" s="21" t="str">
        <f aca="false">IF(B1192="","",IFERROR(INDEX(代理店一覧!$B$5:$B$204,MATCH(B1192,代理店一覧!$A$5:$A$204,0)),"※未登録のID"))</f>
        <v/>
      </c>
      <c r="D1192" s="21"/>
      <c r="E1192" s="21"/>
      <c r="F1192" s="21"/>
      <c r="G1192" s="18"/>
      <c r="H1192" s="21"/>
      <c r="I1192" s="26"/>
      <c r="J1192" s="15"/>
      <c r="K1192" s="27"/>
      <c r="L1192" s="25" t="str">
        <f aca="false">IF(B1192="","",B1192&amp;"|"&amp;J1192)</f>
        <v/>
      </c>
    </row>
    <row r="1193" customFormat="false" ht="15" hidden="false" customHeight="false" outlineLevel="0" collapsed="false">
      <c r="A1193" s="15"/>
      <c r="B1193" s="21"/>
      <c r="C1193" s="21" t="str">
        <f aca="false">IF(B1193="","",IFERROR(INDEX(代理店一覧!$B$5:$B$204,MATCH(B1193,代理店一覧!$A$5:$A$204,0)),"※未登録のID"))</f>
        <v/>
      </c>
      <c r="D1193" s="21"/>
      <c r="E1193" s="21"/>
      <c r="F1193" s="21"/>
      <c r="G1193" s="18"/>
      <c r="H1193" s="21"/>
      <c r="I1193" s="26"/>
      <c r="J1193" s="15"/>
      <c r="K1193" s="27"/>
      <c r="L1193" s="25" t="str">
        <f aca="false">IF(B1193="","",B1193&amp;"|"&amp;J1193)</f>
        <v/>
      </c>
    </row>
    <row r="1194" customFormat="false" ht="15" hidden="false" customHeight="false" outlineLevel="0" collapsed="false">
      <c r="A1194" s="15"/>
      <c r="B1194" s="21"/>
      <c r="C1194" s="21" t="str">
        <f aca="false">IF(B1194="","",IFERROR(INDEX(代理店一覧!$B$5:$B$204,MATCH(B1194,代理店一覧!$A$5:$A$204,0)),"※未登録のID"))</f>
        <v/>
      </c>
      <c r="D1194" s="21"/>
      <c r="E1194" s="21"/>
      <c r="F1194" s="21"/>
      <c r="G1194" s="18"/>
      <c r="H1194" s="21"/>
      <c r="I1194" s="26"/>
      <c r="J1194" s="15"/>
      <c r="K1194" s="27"/>
      <c r="L1194" s="25" t="str">
        <f aca="false">IF(B1194="","",B1194&amp;"|"&amp;J1194)</f>
        <v/>
      </c>
    </row>
    <row r="1195" customFormat="false" ht="15" hidden="false" customHeight="false" outlineLevel="0" collapsed="false">
      <c r="A1195" s="15"/>
      <c r="B1195" s="21"/>
      <c r="C1195" s="21" t="str">
        <f aca="false">IF(B1195="","",IFERROR(INDEX(代理店一覧!$B$5:$B$204,MATCH(B1195,代理店一覧!$A$5:$A$204,0)),"※未登録のID"))</f>
        <v/>
      </c>
      <c r="D1195" s="21"/>
      <c r="E1195" s="21"/>
      <c r="F1195" s="21"/>
      <c r="G1195" s="18"/>
      <c r="H1195" s="21"/>
      <c r="I1195" s="26"/>
      <c r="J1195" s="15"/>
      <c r="K1195" s="27"/>
      <c r="L1195" s="25" t="str">
        <f aca="false">IF(B1195="","",B1195&amp;"|"&amp;J1195)</f>
        <v/>
      </c>
    </row>
    <row r="1196" customFormat="false" ht="15" hidden="false" customHeight="false" outlineLevel="0" collapsed="false">
      <c r="A1196" s="15"/>
      <c r="B1196" s="21"/>
      <c r="C1196" s="21" t="str">
        <f aca="false">IF(B1196="","",IFERROR(INDEX(代理店一覧!$B$5:$B$204,MATCH(B1196,代理店一覧!$A$5:$A$204,0)),"※未登録のID"))</f>
        <v/>
      </c>
      <c r="D1196" s="21"/>
      <c r="E1196" s="21"/>
      <c r="F1196" s="21"/>
      <c r="G1196" s="18"/>
      <c r="H1196" s="21"/>
      <c r="I1196" s="26"/>
      <c r="J1196" s="15"/>
      <c r="K1196" s="27"/>
      <c r="L1196" s="25" t="str">
        <f aca="false">IF(B1196="","",B1196&amp;"|"&amp;J1196)</f>
        <v/>
      </c>
    </row>
    <row r="1197" customFormat="false" ht="15" hidden="false" customHeight="false" outlineLevel="0" collapsed="false">
      <c r="A1197" s="15"/>
      <c r="B1197" s="21"/>
      <c r="C1197" s="21" t="str">
        <f aca="false">IF(B1197="","",IFERROR(INDEX(代理店一覧!$B$5:$B$204,MATCH(B1197,代理店一覧!$A$5:$A$204,0)),"※未登録のID"))</f>
        <v/>
      </c>
      <c r="D1197" s="21"/>
      <c r="E1197" s="21"/>
      <c r="F1197" s="21"/>
      <c r="G1197" s="18"/>
      <c r="H1197" s="21"/>
      <c r="I1197" s="26"/>
      <c r="J1197" s="15"/>
      <c r="K1197" s="27"/>
      <c r="L1197" s="25" t="str">
        <f aca="false">IF(B1197="","",B1197&amp;"|"&amp;J1197)</f>
        <v/>
      </c>
    </row>
    <row r="1198" customFormat="false" ht="15" hidden="false" customHeight="false" outlineLevel="0" collapsed="false">
      <c r="A1198" s="15"/>
      <c r="B1198" s="21"/>
      <c r="C1198" s="21" t="str">
        <f aca="false">IF(B1198="","",IFERROR(INDEX(代理店一覧!$B$5:$B$204,MATCH(B1198,代理店一覧!$A$5:$A$204,0)),"※未登録のID"))</f>
        <v/>
      </c>
      <c r="D1198" s="21"/>
      <c r="E1198" s="21"/>
      <c r="F1198" s="21"/>
      <c r="G1198" s="18"/>
      <c r="H1198" s="21"/>
      <c r="I1198" s="26"/>
      <c r="J1198" s="15"/>
      <c r="K1198" s="27"/>
      <c r="L1198" s="25" t="str">
        <f aca="false">IF(B1198="","",B1198&amp;"|"&amp;J1198)</f>
        <v/>
      </c>
    </row>
    <row r="1199" customFormat="false" ht="15" hidden="false" customHeight="false" outlineLevel="0" collapsed="false">
      <c r="A1199" s="15"/>
      <c r="B1199" s="21"/>
      <c r="C1199" s="21" t="str">
        <f aca="false">IF(B1199="","",IFERROR(INDEX(代理店一覧!$B$5:$B$204,MATCH(B1199,代理店一覧!$A$5:$A$204,0)),"※未登録のID"))</f>
        <v/>
      </c>
      <c r="D1199" s="21"/>
      <c r="E1199" s="21"/>
      <c r="F1199" s="21"/>
      <c r="G1199" s="18"/>
      <c r="H1199" s="21"/>
      <c r="I1199" s="26"/>
      <c r="J1199" s="15"/>
      <c r="K1199" s="27"/>
      <c r="L1199" s="25" t="str">
        <f aca="false">IF(B1199="","",B1199&amp;"|"&amp;J1199)</f>
        <v/>
      </c>
    </row>
    <row r="1200" customFormat="false" ht="15" hidden="false" customHeight="false" outlineLevel="0" collapsed="false">
      <c r="A1200" s="15"/>
      <c r="B1200" s="21"/>
      <c r="C1200" s="21" t="str">
        <f aca="false">IF(B1200="","",IFERROR(INDEX(代理店一覧!$B$5:$B$204,MATCH(B1200,代理店一覧!$A$5:$A$204,0)),"※未登録のID"))</f>
        <v/>
      </c>
      <c r="D1200" s="21"/>
      <c r="E1200" s="21"/>
      <c r="F1200" s="21"/>
      <c r="G1200" s="18"/>
      <c r="H1200" s="21"/>
      <c r="I1200" s="26"/>
      <c r="J1200" s="15"/>
      <c r="K1200" s="27"/>
      <c r="L1200" s="25" t="str">
        <f aca="false">IF(B1200="","",B1200&amp;"|"&amp;J1200)</f>
        <v/>
      </c>
    </row>
    <row r="1201" customFormat="false" ht="15" hidden="false" customHeight="false" outlineLevel="0" collapsed="false">
      <c r="A1201" s="15"/>
      <c r="B1201" s="21"/>
      <c r="C1201" s="21" t="str">
        <f aca="false">IF(B1201="","",IFERROR(INDEX(代理店一覧!$B$5:$B$204,MATCH(B1201,代理店一覧!$A$5:$A$204,0)),"※未登録のID"))</f>
        <v/>
      </c>
      <c r="D1201" s="21"/>
      <c r="E1201" s="21"/>
      <c r="F1201" s="21"/>
      <c r="G1201" s="18"/>
      <c r="H1201" s="21"/>
      <c r="I1201" s="26"/>
      <c r="J1201" s="15"/>
      <c r="K1201" s="27"/>
      <c r="L1201" s="25" t="str">
        <f aca="false">IF(B1201="","",B1201&amp;"|"&amp;J1201)</f>
        <v/>
      </c>
    </row>
    <row r="1202" customFormat="false" ht="15" hidden="false" customHeight="false" outlineLevel="0" collapsed="false">
      <c r="A1202" s="15"/>
      <c r="B1202" s="21"/>
      <c r="C1202" s="21" t="str">
        <f aca="false">IF(B1202="","",IFERROR(INDEX(代理店一覧!$B$5:$B$204,MATCH(B1202,代理店一覧!$A$5:$A$204,0)),"※未登録のID"))</f>
        <v/>
      </c>
      <c r="D1202" s="21"/>
      <c r="E1202" s="21"/>
      <c r="F1202" s="21"/>
      <c r="G1202" s="18"/>
      <c r="H1202" s="21"/>
      <c r="I1202" s="26"/>
      <c r="J1202" s="15"/>
      <c r="K1202" s="27"/>
      <c r="L1202" s="25" t="str">
        <f aca="false">IF(B1202="","",B1202&amp;"|"&amp;J1202)</f>
        <v/>
      </c>
    </row>
    <row r="1203" customFormat="false" ht="15" hidden="false" customHeight="false" outlineLevel="0" collapsed="false">
      <c r="A1203" s="15"/>
      <c r="B1203" s="21"/>
      <c r="C1203" s="21" t="str">
        <f aca="false">IF(B1203="","",IFERROR(INDEX(代理店一覧!$B$5:$B$204,MATCH(B1203,代理店一覧!$A$5:$A$204,0)),"※未登録のID"))</f>
        <v/>
      </c>
      <c r="D1203" s="21"/>
      <c r="E1203" s="21"/>
      <c r="F1203" s="21"/>
      <c r="G1203" s="18"/>
      <c r="H1203" s="21"/>
      <c r="I1203" s="26"/>
      <c r="J1203" s="15"/>
      <c r="K1203" s="27"/>
      <c r="L1203" s="25" t="str">
        <f aca="false">IF(B1203="","",B1203&amp;"|"&amp;J1203)</f>
        <v/>
      </c>
    </row>
    <row r="1204" customFormat="false" ht="15" hidden="false" customHeight="false" outlineLevel="0" collapsed="false">
      <c r="A1204" s="15"/>
      <c r="B1204" s="21"/>
      <c r="C1204" s="21" t="str">
        <f aca="false">IF(B1204="","",IFERROR(INDEX(代理店一覧!$B$5:$B$204,MATCH(B1204,代理店一覧!$A$5:$A$204,0)),"※未登録のID"))</f>
        <v/>
      </c>
      <c r="D1204" s="21"/>
      <c r="E1204" s="21"/>
      <c r="F1204" s="21"/>
      <c r="G1204" s="18"/>
      <c r="H1204" s="21"/>
      <c r="I1204" s="26"/>
      <c r="J1204" s="15"/>
      <c r="K1204" s="27"/>
      <c r="L1204" s="25" t="str">
        <f aca="false">IF(B1204="","",B1204&amp;"|"&amp;J1204)</f>
        <v/>
      </c>
    </row>
    <row r="1205" customFormat="false" ht="15" hidden="false" customHeight="false" outlineLevel="0" collapsed="false">
      <c r="A1205" s="15"/>
      <c r="B1205" s="21"/>
      <c r="C1205" s="21" t="str">
        <f aca="false">IF(B1205="","",IFERROR(INDEX(代理店一覧!$B$5:$B$204,MATCH(B1205,代理店一覧!$A$5:$A$204,0)),"※未登録のID"))</f>
        <v/>
      </c>
      <c r="D1205" s="21"/>
      <c r="E1205" s="21"/>
      <c r="F1205" s="21"/>
      <c r="G1205" s="18"/>
      <c r="H1205" s="21"/>
      <c r="I1205" s="26"/>
      <c r="J1205" s="15"/>
      <c r="K1205" s="27"/>
      <c r="L1205" s="25" t="str">
        <f aca="false">IF(B1205="","",B1205&amp;"|"&amp;J1205)</f>
        <v/>
      </c>
    </row>
    <row r="1206" customFormat="false" ht="15" hidden="false" customHeight="false" outlineLevel="0" collapsed="false">
      <c r="A1206" s="15"/>
      <c r="B1206" s="21"/>
      <c r="C1206" s="21" t="str">
        <f aca="false">IF(B1206="","",IFERROR(INDEX(代理店一覧!$B$5:$B$204,MATCH(B1206,代理店一覧!$A$5:$A$204,0)),"※未登録のID"))</f>
        <v/>
      </c>
      <c r="D1206" s="21"/>
      <c r="E1206" s="21"/>
      <c r="F1206" s="21"/>
      <c r="G1206" s="18"/>
      <c r="H1206" s="21"/>
      <c r="I1206" s="26"/>
      <c r="J1206" s="15"/>
      <c r="K1206" s="27"/>
      <c r="L1206" s="25" t="str">
        <f aca="false">IF(B1206="","",B1206&amp;"|"&amp;J1206)</f>
        <v/>
      </c>
    </row>
    <row r="1207" customFormat="false" ht="15" hidden="false" customHeight="false" outlineLevel="0" collapsed="false">
      <c r="A1207" s="15"/>
      <c r="B1207" s="21"/>
      <c r="C1207" s="21" t="str">
        <f aca="false">IF(B1207="","",IFERROR(INDEX(代理店一覧!$B$5:$B$204,MATCH(B1207,代理店一覧!$A$5:$A$204,0)),"※未登録のID"))</f>
        <v/>
      </c>
      <c r="D1207" s="21"/>
      <c r="E1207" s="21"/>
      <c r="F1207" s="21"/>
      <c r="G1207" s="18"/>
      <c r="H1207" s="21"/>
      <c r="I1207" s="26"/>
      <c r="J1207" s="15"/>
      <c r="K1207" s="27"/>
      <c r="L1207" s="25" t="str">
        <f aca="false">IF(B1207="","",B1207&amp;"|"&amp;J1207)</f>
        <v/>
      </c>
    </row>
    <row r="1208" customFormat="false" ht="15" hidden="false" customHeight="false" outlineLevel="0" collapsed="false">
      <c r="A1208" s="15"/>
      <c r="B1208" s="21"/>
      <c r="C1208" s="21" t="str">
        <f aca="false">IF(B1208="","",IFERROR(INDEX(代理店一覧!$B$5:$B$204,MATCH(B1208,代理店一覧!$A$5:$A$204,0)),"※未登録のID"))</f>
        <v/>
      </c>
      <c r="D1208" s="21"/>
      <c r="E1208" s="21"/>
      <c r="F1208" s="21"/>
      <c r="G1208" s="18"/>
      <c r="H1208" s="21"/>
      <c r="I1208" s="26"/>
      <c r="J1208" s="15"/>
      <c r="K1208" s="27"/>
      <c r="L1208" s="25" t="str">
        <f aca="false">IF(B1208="","",B1208&amp;"|"&amp;J1208)</f>
        <v/>
      </c>
    </row>
    <row r="1209" customFormat="false" ht="15" hidden="false" customHeight="false" outlineLevel="0" collapsed="false">
      <c r="A1209" s="15"/>
      <c r="B1209" s="21"/>
      <c r="C1209" s="21" t="str">
        <f aca="false">IF(B1209="","",IFERROR(INDEX(代理店一覧!$B$5:$B$204,MATCH(B1209,代理店一覧!$A$5:$A$204,0)),"※未登録のID"))</f>
        <v/>
      </c>
      <c r="D1209" s="21"/>
      <c r="E1209" s="21"/>
      <c r="F1209" s="21"/>
      <c r="G1209" s="18"/>
      <c r="H1209" s="21"/>
      <c r="I1209" s="26"/>
      <c r="J1209" s="15"/>
      <c r="K1209" s="27"/>
      <c r="L1209" s="25" t="str">
        <f aca="false">IF(B1209="","",B1209&amp;"|"&amp;J1209)</f>
        <v/>
      </c>
    </row>
    <row r="1210" customFormat="false" ht="15" hidden="false" customHeight="false" outlineLevel="0" collapsed="false">
      <c r="A1210" s="15"/>
      <c r="B1210" s="21"/>
      <c r="C1210" s="21" t="str">
        <f aca="false">IF(B1210="","",IFERROR(INDEX(代理店一覧!$B$5:$B$204,MATCH(B1210,代理店一覧!$A$5:$A$204,0)),"※未登録のID"))</f>
        <v/>
      </c>
      <c r="D1210" s="21"/>
      <c r="E1210" s="21"/>
      <c r="F1210" s="21"/>
      <c r="G1210" s="18"/>
      <c r="H1210" s="21"/>
      <c r="I1210" s="26"/>
      <c r="J1210" s="15"/>
      <c r="K1210" s="27"/>
      <c r="L1210" s="25" t="str">
        <f aca="false">IF(B1210="","",B1210&amp;"|"&amp;J1210)</f>
        <v/>
      </c>
    </row>
    <row r="1211" customFormat="false" ht="15" hidden="false" customHeight="false" outlineLevel="0" collapsed="false">
      <c r="A1211" s="15"/>
      <c r="B1211" s="21"/>
      <c r="C1211" s="21" t="str">
        <f aca="false">IF(B1211="","",IFERROR(INDEX(代理店一覧!$B$5:$B$204,MATCH(B1211,代理店一覧!$A$5:$A$204,0)),"※未登録のID"))</f>
        <v/>
      </c>
      <c r="D1211" s="21"/>
      <c r="E1211" s="21"/>
      <c r="F1211" s="21"/>
      <c r="G1211" s="18"/>
      <c r="H1211" s="21"/>
      <c r="I1211" s="26"/>
      <c r="J1211" s="15"/>
      <c r="K1211" s="27"/>
      <c r="L1211" s="25" t="str">
        <f aca="false">IF(B1211="","",B1211&amp;"|"&amp;J1211)</f>
        <v/>
      </c>
    </row>
    <row r="1212" customFormat="false" ht="15" hidden="false" customHeight="false" outlineLevel="0" collapsed="false">
      <c r="A1212" s="15"/>
      <c r="B1212" s="21"/>
      <c r="C1212" s="21" t="str">
        <f aca="false">IF(B1212="","",IFERROR(INDEX(代理店一覧!$B$5:$B$204,MATCH(B1212,代理店一覧!$A$5:$A$204,0)),"※未登録のID"))</f>
        <v/>
      </c>
      <c r="D1212" s="21"/>
      <c r="E1212" s="21"/>
      <c r="F1212" s="21"/>
      <c r="G1212" s="18"/>
      <c r="H1212" s="21"/>
      <c r="I1212" s="26"/>
      <c r="J1212" s="15"/>
      <c r="K1212" s="27"/>
      <c r="L1212" s="25" t="str">
        <f aca="false">IF(B1212="","",B1212&amp;"|"&amp;J1212)</f>
        <v/>
      </c>
    </row>
    <row r="1213" customFormat="false" ht="15" hidden="false" customHeight="false" outlineLevel="0" collapsed="false">
      <c r="A1213" s="15"/>
      <c r="B1213" s="21"/>
      <c r="C1213" s="21" t="str">
        <f aca="false">IF(B1213="","",IFERROR(INDEX(代理店一覧!$B$5:$B$204,MATCH(B1213,代理店一覧!$A$5:$A$204,0)),"※未登録のID"))</f>
        <v/>
      </c>
      <c r="D1213" s="21"/>
      <c r="E1213" s="21"/>
      <c r="F1213" s="21"/>
      <c r="G1213" s="18"/>
      <c r="H1213" s="21"/>
      <c r="I1213" s="26"/>
      <c r="J1213" s="15"/>
      <c r="K1213" s="27"/>
      <c r="L1213" s="25" t="str">
        <f aca="false">IF(B1213="","",B1213&amp;"|"&amp;J1213)</f>
        <v/>
      </c>
    </row>
    <row r="1214" customFormat="false" ht="15" hidden="false" customHeight="false" outlineLevel="0" collapsed="false">
      <c r="A1214" s="15"/>
      <c r="B1214" s="21"/>
      <c r="C1214" s="21" t="str">
        <f aca="false">IF(B1214="","",IFERROR(INDEX(代理店一覧!$B$5:$B$204,MATCH(B1214,代理店一覧!$A$5:$A$204,0)),"※未登録のID"))</f>
        <v/>
      </c>
      <c r="D1214" s="21"/>
      <c r="E1214" s="21"/>
      <c r="F1214" s="21"/>
      <c r="G1214" s="18"/>
      <c r="H1214" s="21"/>
      <c r="I1214" s="26"/>
      <c r="J1214" s="15"/>
      <c r="K1214" s="27"/>
      <c r="L1214" s="25" t="str">
        <f aca="false">IF(B1214="","",B1214&amp;"|"&amp;J1214)</f>
        <v/>
      </c>
    </row>
    <row r="1215" customFormat="false" ht="15" hidden="false" customHeight="false" outlineLevel="0" collapsed="false">
      <c r="A1215" s="15"/>
      <c r="B1215" s="21"/>
      <c r="C1215" s="21" t="str">
        <f aca="false">IF(B1215="","",IFERROR(INDEX(代理店一覧!$B$5:$B$204,MATCH(B1215,代理店一覧!$A$5:$A$204,0)),"※未登録のID"))</f>
        <v/>
      </c>
      <c r="D1215" s="21"/>
      <c r="E1215" s="21"/>
      <c r="F1215" s="21"/>
      <c r="G1215" s="18"/>
      <c r="H1215" s="21"/>
      <c r="I1215" s="26"/>
      <c r="J1215" s="15"/>
      <c r="K1215" s="27"/>
      <c r="L1215" s="25" t="str">
        <f aca="false">IF(B1215="","",B1215&amp;"|"&amp;J1215)</f>
        <v/>
      </c>
    </row>
    <row r="1216" customFormat="false" ht="15" hidden="false" customHeight="false" outlineLevel="0" collapsed="false">
      <c r="A1216" s="15"/>
      <c r="B1216" s="21"/>
      <c r="C1216" s="21" t="str">
        <f aca="false">IF(B1216="","",IFERROR(INDEX(代理店一覧!$B$5:$B$204,MATCH(B1216,代理店一覧!$A$5:$A$204,0)),"※未登録のID"))</f>
        <v/>
      </c>
      <c r="D1216" s="21"/>
      <c r="E1216" s="21"/>
      <c r="F1216" s="21"/>
      <c r="G1216" s="18"/>
      <c r="H1216" s="21"/>
      <c r="I1216" s="26"/>
      <c r="J1216" s="15"/>
      <c r="K1216" s="27"/>
      <c r="L1216" s="25" t="str">
        <f aca="false">IF(B1216="","",B1216&amp;"|"&amp;J1216)</f>
        <v/>
      </c>
    </row>
    <row r="1217" customFormat="false" ht="15" hidden="false" customHeight="false" outlineLevel="0" collapsed="false">
      <c r="A1217" s="15"/>
      <c r="B1217" s="21"/>
      <c r="C1217" s="21" t="str">
        <f aca="false">IF(B1217="","",IFERROR(INDEX(代理店一覧!$B$5:$B$204,MATCH(B1217,代理店一覧!$A$5:$A$204,0)),"※未登録のID"))</f>
        <v/>
      </c>
      <c r="D1217" s="21"/>
      <c r="E1217" s="21"/>
      <c r="F1217" s="21"/>
      <c r="G1217" s="18"/>
      <c r="H1217" s="21"/>
      <c r="I1217" s="26"/>
      <c r="J1217" s="15"/>
      <c r="K1217" s="27"/>
      <c r="L1217" s="25" t="str">
        <f aca="false">IF(B1217="","",B1217&amp;"|"&amp;J1217)</f>
        <v/>
      </c>
    </row>
    <row r="1218" customFormat="false" ht="15" hidden="false" customHeight="false" outlineLevel="0" collapsed="false">
      <c r="A1218" s="15"/>
      <c r="B1218" s="21"/>
      <c r="C1218" s="21" t="str">
        <f aca="false">IF(B1218="","",IFERROR(INDEX(代理店一覧!$B$5:$B$204,MATCH(B1218,代理店一覧!$A$5:$A$204,0)),"※未登録のID"))</f>
        <v/>
      </c>
      <c r="D1218" s="21"/>
      <c r="E1218" s="21"/>
      <c r="F1218" s="21"/>
      <c r="G1218" s="18"/>
      <c r="H1218" s="21"/>
      <c r="I1218" s="26"/>
      <c r="J1218" s="15"/>
      <c r="K1218" s="27"/>
      <c r="L1218" s="25" t="str">
        <f aca="false">IF(B1218="","",B1218&amp;"|"&amp;J1218)</f>
        <v/>
      </c>
    </row>
    <row r="1219" customFormat="false" ht="15" hidden="false" customHeight="false" outlineLevel="0" collapsed="false">
      <c r="A1219" s="15"/>
      <c r="B1219" s="21"/>
      <c r="C1219" s="21" t="str">
        <f aca="false">IF(B1219="","",IFERROR(INDEX(代理店一覧!$B$5:$B$204,MATCH(B1219,代理店一覧!$A$5:$A$204,0)),"※未登録のID"))</f>
        <v/>
      </c>
      <c r="D1219" s="21"/>
      <c r="E1219" s="21"/>
      <c r="F1219" s="21"/>
      <c r="G1219" s="18"/>
      <c r="H1219" s="21"/>
      <c r="I1219" s="26"/>
      <c r="J1219" s="15"/>
      <c r="K1219" s="27"/>
      <c r="L1219" s="25" t="str">
        <f aca="false">IF(B1219="","",B1219&amp;"|"&amp;J1219)</f>
        <v/>
      </c>
    </row>
    <row r="1220" customFormat="false" ht="15" hidden="false" customHeight="false" outlineLevel="0" collapsed="false">
      <c r="A1220" s="15"/>
      <c r="B1220" s="21"/>
      <c r="C1220" s="21" t="str">
        <f aca="false">IF(B1220="","",IFERROR(INDEX(代理店一覧!$B$5:$B$204,MATCH(B1220,代理店一覧!$A$5:$A$204,0)),"※未登録のID"))</f>
        <v/>
      </c>
      <c r="D1220" s="21"/>
      <c r="E1220" s="21"/>
      <c r="F1220" s="21"/>
      <c r="G1220" s="18"/>
      <c r="H1220" s="21"/>
      <c r="I1220" s="26"/>
      <c r="J1220" s="15"/>
      <c r="K1220" s="27"/>
      <c r="L1220" s="25" t="str">
        <f aca="false">IF(B1220="","",B1220&amp;"|"&amp;J1220)</f>
        <v/>
      </c>
    </row>
    <row r="1221" customFormat="false" ht="15" hidden="false" customHeight="false" outlineLevel="0" collapsed="false">
      <c r="A1221" s="15"/>
      <c r="B1221" s="21"/>
      <c r="C1221" s="21" t="str">
        <f aca="false">IF(B1221="","",IFERROR(INDEX(代理店一覧!$B$5:$B$204,MATCH(B1221,代理店一覧!$A$5:$A$204,0)),"※未登録のID"))</f>
        <v/>
      </c>
      <c r="D1221" s="21"/>
      <c r="E1221" s="21"/>
      <c r="F1221" s="21"/>
      <c r="G1221" s="18"/>
      <c r="H1221" s="21"/>
      <c r="I1221" s="26"/>
      <c r="J1221" s="15"/>
      <c r="K1221" s="27"/>
      <c r="L1221" s="25" t="str">
        <f aca="false">IF(B1221="","",B1221&amp;"|"&amp;J1221)</f>
        <v/>
      </c>
    </row>
    <row r="1222" customFormat="false" ht="15" hidden="false" customHeight="false" outlineLevel="0" collapsed="false">
      <c r="A1222" s="15"/>
      <c r="B1222" s="21"/>
      <c r="C1222" s="21" t="str">
        <f aca="false">IF(B1222="","",IFERROR(INDEX(代理店一覧!$B$5:$B$204,MATCH(B1222,代理店一覧!$A$5:$A$204,0)),"※未登録のID"))</f>
        <v/>
      </c>
      <c r="D1222" s="21"/>
      <c r="E1222" s="21"/>
      <c r="F1222" s="21"/>
      <c r="G1222" s="18"/>
      <c r="H1222" s="21"/>
      <c r="I1222" s="26"/>
      <c r="J1222" s="15"/>
      <c r="K1222" s="27"/>
      <c r="L1222" s="25" t="str">
        <f aca="false">IF(B1222="","",B1222&amp;"|"&amp;J1222)</f>
        <v/>
      </c>
    </row>
    <row r="1223" customFormat="false" ht="15" hidden="false" customHeight="false" outlineLevel="0" collapsed="false">
      <c r="A1223" s="15"/>
      <c r="B1223" s="21"/>
      <c r="C1223" s="21" t="str">
        <f aca="false">IF(B1223="","",IFERROR(INDEX(代理店一覧!$B$5:$B$204,MATCH(B1223,代理店一覧!$A$5:$A$204,0)),"※未登録のID"))</f>
        <v/>
      </c>
      <c r="D1223" s="21"/>
      <c r="E1223" s="21"/>
      <c r="F1223" s="21"/>
      <c r="G1223" s="18"/>
      <c r="H1223" s="21"/>
      <c r="I1223" s="26"/>
      <c r="J1223" s="15"/>
      <c r="K1223" s="27"/>
      <c r="L1223" s="25" t="str">
        <f aca="false">IF(B1223="","",B1223&amp;"|"&amp;J1223)</f>
        <v/>
      </c>
    </row>
    <row r="1224" customFormat="false" ht="15" hidden="false" customHeight="false" outlineLevel="0" collapsed="false">
      <c r="A1224" s="15"/>
      <c r="B1224" s="21"/>
      <c r="C1224" s="21" t="str">
        <f aca="false">IF(B1224="","",IFERROR(INDEX(代理店一覧!$B$5:$B$204,MATCH(B1224,代理店一覧!$A$5:$A$204,0)),"※未登録のID"))</f>
        <v/>
      </c>
      <c r="D1224" s="21"/>
      <c r="E1224" s="21"/>
      <c r="F1224" s="21"/>
      <c r="G1224" s="18"/>
      <c r="H1224" s="21"/>
      <c r="I1224" s="26"/>
      <c r="J1224" s="15"/>
      <c r="K1224" s="27"/>
      <c r="L1224" s="25" t="str">
        <f aca="false">IF(B1224="","",B1224&amp;"|"&amp;J1224)</f>
        <v/>
      </c>
    </row>
    <row r="1225" customFormat="false" ht="15" hidden="false" customHeight="false" outlineLevel="0" collapsed="false">
      <c r="A1225" s="15"/>
      <c r="B1225" s="21"/>
      <c r="C1225" s="21" t="str">
        <f aca="false">IF(B1225="","",IFERROR(INDEX(代理店一覧!$B$5:$B$204,MATCH(B1225,代理店一覧!$A$5:$A$204,0)),"※未登録のID"))</f>
        <v/>
      </c>
      <c r="D1225" s="21"/>
      <c r="E1225" s="21"/>
      <c r="F1225" s="21"/>
      <c r="G1225" s="18"/>
      <c r="H1225" s="21"/>
      <c r="I1225" s="26"/>
      <c r="J1225" s="15"/>
      <c r="K1225" s="27"/>
      <c r="L1225" s="25" t="str">
        <f aca="false">IF(B1225="","",B1225&amp;"|"&amp;J1225)</f>
        <v/>
      </c>
    </row>
    <row r="1226" customFormat="false" ht="15" hidden="false" customHeight="false" outlineLevel="0" collapsed="false">
      <c r="A1226" s="15"/>
      <c r="B1226" s="21"/>
      <c r="C1226" s="21" t="str">
        <f aca="false">IF(B1226="","",IFERROR(INDEX(代理店一覧!$B$5:$B$204,MATCH(B1226,代理店一覧!$A$5:$A$204,0)),"※未登録のID"))</f>
        <v/>
      </c>
      <c r="D1226" s="21"/>
      <c r="E1226" s="21"/>
      <c r="F1226" s="21"/>
      <c r="G1226" s="18"/>
      <c r="H1226" s="21"/>
      <c r="I1226" s="26"/>
      <c r="J1226" s="15"/>
      <c r="K1226" s="27"/>
      <c r="L1226" s="25" t="str">
        <f aca="false">IF(B1226="","",B1226&amp;"|"&amp;J1226)</f>
        <v/>
      </c>
    </row>
    <row r="1227" customFormat="false" ht="15" hidden="false" customHeight="false" outlineLevel="0" collapsed="false">
      <c r="A1227" s="15"/>
      <c r="B1227" s="21"/>
      <c r="C1227" s="21" t="str">
        <f aca="false">IF(B1227="","",IFERROR(INDEX(代理店一覧!$B$5:$B$204,MATCH(B1227,代理店一覧!$A$5:$A$204,0)),"※未登録のID"))</f>
        <v/>
      </c>
      <c r="D1227" s="21"/>
      <c r="E1227" s="21"/>
      <c r="F1227" s="21"/>
      <c r="G1227" s="18"/>
      <c r="H1227" s="21"/>
      <c r="I1227" s="26"/>
      <c r="J1227" s="15"/>
      <c r="K1227" s="27"/>
      <c r="L1227" s="25" t="str">
        <f aca="false">IF(B1227="","",B1227&amp;"|"&amp;J1227)</f>
        <v/>
      </c>
    </row>
    <row r="1228" customFormat="false" ht="15" hidden="false" customHeight="false" outlineLevel="0" collapsed="false">
      <c r="A1228" s="15"/>
      <c r="B1228" s="21"/>
      <c r="C1228" s="21" t="str">
        <f aca="false">IF(B1228="","",IFERROR(INDEX(代理店一覧!$B$5:$B$204,MATCH(B1228,代理店一覧!$A$5:$A$204,0)),"※未登録のID"))</f>
        <v/>
      </c>
      <c r="D1228" s="21"/>
      <c r="E1228" s="21"/>
      <c r="F1228" s="21"/>
      <c r="G1228" s="18"/>
      <c r="H1228" s="21"/>
      <c r="I1228" s="26"/>
      <c r="J1228" s="15"/>
      <c r="K1228" s="27"/>
      <c r="L1228" s="25" t="str">
        <f aca="false">IF(B1228="","",B1228&amp;"|"&amp;J1228)</f>
        <v/>
      </c>
    </row>
    <row r="1229" customFormat="false" ht="15" hidden="false" customHeight="false" outlineLevel="0" collapsed="false">
      <c r="A1229" s="15"/>
      <c r="B1229" s="21"/>
      <c r="C1229" s="21" t="str">
        <f aca="false">IF(B1229="","",IFERROR(INDEX(代理店一覧!$B$5:$B$204,MATCH(B1229,代理店一覧!$A$5:$A$204,0)),"※未登録のID"))</f>
        <v/>
      </c>
      <c r="D1229" s="21"/>
      <c r="E1229" s="21"/>
      <c r="F1229" s="21"/>
      <c r="G1229" s="18"/>
      <c r="H1229" s="21"/>
      <c r="I1229" s="26"/>
      <c r="J1229" s="15"/>
      <c r="K1229" s="27"/>
      <c r="L1229" s="25" t="str">
        <f aca="false">IF(B1229="","",B1229&amp;"|"&amp;J1229)</f>
        <v/>
      </c>
    </row>
    <row r="1230" customFormat="false" ht="15" hidden="false" customHeight="false" outlineLevel="0" collapsed="false">
      <c r="A1230" s="15"/>
      <c r="B1230" s="21"/>
      <c r="C1230" s="21" t="str">
        <f aca="false">IF(B1230="","",IFERROR(INDEX(代理店一覧!$B$5:$B$204,MATCH(B1230,代理店一覧!$A$5:$A$204,0)),"※未登録のID"))</f>
        <v/>
      </c>
      <c r="D1230" s="21"/>
      <c r="E1230" s="21"/>
      <c r="F1230" s="21"/>
      <c r="G1230" s="18"/>
      <c r="H1230" s="21"/>
      <c r="I1230" s="26"/>
      <c r="J1230" s="15"/>
      <c r="K1230" s="27"/>
      <c r="L1230" s="25" t="str">
        <f aca="false">IF(B1230="","",B1230&amp;"|"&amp;J1230)</f>
        <v/>
      </c>
    </row>
    <row r="1231" customFormat="false" ht="15" hidden="false" customHeight="false" outlineLevel="0" collapsed="false">
      <c r="A1231" s="15"/>
      <c r="B1231" s="21"/>
      <c r="C1231" s="21" t="str">
        <f aca="false">IF(B1231="","",IFERROR(INDEX(代理店一覧!$B$5:$B$204,MATCH(B1231,代理店一覧!$A$5:$A$204,0)),"※未登録のID"))</f>
        <v/>
      </c>
      <c r="D1231" s="21"/>
      <c r="E1231" s="21"/>
      <c r="F1231" s="21"/>
      <c r="G1231" s="18"/>
      <c r="H1231" s="21"/>
      <c r="I1231" s="26"/>
      <c r="J1231" s="15"/>
      <c r="K1231" s="27"/>
      <c r="L1231" s="25" t="str">
        <f aca="false">IF(B1231="","",B1231&amp;"|"&amp;J1231)</f>
        <v/>
      </c>
    </row>
    <row r="1232" customFormat="false" ht="15" hidden="false" customHeight="false" outlineLevel="0" collapsed="false">
      <c r="A1232" s="15"/>
      <c r="B1232" s="21"/>
      <c r="C1232" s="21" t="str">
        <f aca="false">IF(B1232="","",IFERROR(INDEX(代理店一覧!$B$5:$B$204,MATCH(B1232,代理店一覧!$A$5:$A$204,0)),"※未登録のID"))</f>
        <v/>
      </c>
      <c r="D1232" s="21"/>
      <c r="E1232" s="21"/>
      <c r="F1232" s="21"/>
      <c r="G1232" s="18"/>
      <c r="H1232" s="21"/>
      <c r="I1232" s="26"/>
      <c r="J1232" s="15"/>
      <c r="K1232" s="27"/>
      <c r="L1232" s="25" t="str">
        <f aca="false">IF(B1232="","",B1232&amp;"|"&amp;J1232)</f>
        <v/>
      </c>
    </row>
    <row r="1233" customFormat="false" ht="15" hidden="false" customHeight="false" outlineLevel="0" collapsed="false">
      <c r="A1233" s="15"/>
      <c r="B1233" s="21"/>
      <c r="C1233" s="21" t="str">
        <f aca="false">IF(B1233="","",IFERROR(INDEX(代理店一覧!$B$5:$B$204,MATCH(B1233,代理店一覧!$A$5:$A$204,0)),"※未登録のID"))</f>
        <v/>
      </c>
      <c r="D1233" s="21"/>
      <c r="E1233" s="21"/>
      <c r="F1233" s="21"/>
      <c r="G1233" s="18"/>
      <c r="H1233" s="21"/>
      <c r="I1233" s="26"/>
      <c r="J1233" s="15"/>
      <c r="K1233" s="27"/>
      <c r="L1233" s="25" t="str">
        <f aca="false">IF(B1233="","",B1233&amp;"|"&amp;J1233)</f>
        <v/>
      </c>
    </row>
    <row r="1234" customFormat="false" ht="15" hidden="false" customHeight="false" outlineLevel="0" collapsed="false">
      <c r="A1234" s="15"/>
      <c r="B1234" s="21"/>
      <c r="C1234" s="21" t="str">
        <f aca="false">IF(B1234="","",IFERROR(INDEX(代理店一覧!$B$5:$B$204,MATCH(B1234,代理店一覧!$A$5:$A$204,0)),"※未登録のID"))</f>
        <v/>
      </c>
      <c r="D1234" s="21"/>
      <c r="E1234" s="21"/>
      <c r="F1234" s="21"/>
      <c r="G1234" s="18"/>
      <c r="H1234" s="21"/>
      <c r="I1234" s="26"/>
      <c r="J1234" s="15"/>
      <c r="K1234" s="27"/>
      <c r="L1234" s="25" t="str">
        <f aca="false">IF(B1234="","",B1234&amp;"|"&amp;J1234)</f>
        <v/>
      </c>
    </row>
    <row r="1235" customFormat="false" ht="15" hidden="false" customHeight="false" outlineLevel="0" collapsed="false">
      <c r="A1235" s="15"/>
      <c r="B1235" s="21"/>
      <c r="C1235" s="21" t="str">
        <f aca="false">IF(B1235="","",IFERROR(INDEX(代理店一覧!$B$5:$B$204,MATCH(B1235,代理店一覧!$A$5:$A$204,0)),"※未登録のID"))</f>
        <v/>
      </c>
      <c r="D1235" s="21"/>
      <c r="E1235" s="21"/>
      <c r="F1235" s="21"/>
      <c r="G1235" s="18"/>
      <c r="H1235" s="21"/>
      <c r="I1235" s="26"/>
      <c r="J1235" s="15"/>
      <c r="K1235" s="27"/>
      <c r="L1235" s="25" t="str">
        <f aca="false">IF(B1235="","",B1235&amp;"|"&amp;J1235)</f>
        <v/>
      </c>
    </row>
    <row r="1236" customFormat="false" ht="15" hidden="false" customHeight="false" outlineLevel="0" collapsed="false">
      <c r="A1236" s="15"/>
      <c r="B1236" s="21"/>
      <c r="C1236" s="21" t="str">
        <f aca="false">IF(B1236="","",IFERROR(INDEX(代理店一覧!$B$5:$B$204,MATCH(B1236,代理店一覧!$A$5:$A$204,0)),"※未登録のID"))</f>
        <v/>
      </c>
      <c r="D1236" s="21"/>
      <c r="E1236" s="21"/>
      <c r="F1236" s="21"/>
      <c r="G1236" s="18"/>
      <c r="H1236" s="21"/>
      <c r="I1236" s="26"/>
      <c r="J1236" s="15"/>
      <c r="K1236" s="27"/>
      <c r="L1236" s="25" t="str">
        <f aca="false">IF(B1236="","",B1236&amp;"|"&amp;J1236)</f>
        <v/>
      </c>
    </row>
    <row r="1237" customFormat="false" ht="15" hidden="false" customHeight="false" outlineLevel="0" collapsed="false">
      <c r="A1237" s="15"/>
      <c r="B1237" s="21"/>
      <c r="C1237" s="21" t="str">
        <f aca="false">IF(B1237="","",IFERROR(INDEX(代理店一覧!$B$5:$B$204,MATCH(B1237,代理店一覧!$A$5:$A$204,0)),"※未登録のID"))</f>
        <v/>
      </c>
      <c r="D1237" s="21"/>
      <c r="E1237" s="21"/>
      <c r="F1237" s="21"/>
      <c r="G1237" s="18"/>
      <c r="H1237" s="21"/>
      <c r="I1237" s="26"/>
      <c r="J1237" s="15"/>
      <c r="K1237" s="27"/>
      <c r="L1237" s="25" t="str">
        <f aca="false">IF(B1237="","",B1237&amp;"|"&amp;J1237)</f>
        <v/>
      </c>
    </row>
    <row r="1238" customFormat="false" ht="15" hidden="false" customHeight="false" outlineLevel="0" collapsed="false">
      <c r="A1238" s="15"/>
      <c r="B1238" s="21"/>
      <c r="C1238" s="21" t="str">
        <f aca="false">IF(B1238="","",IFERROR(INDEX(代理店一覧!$B$5:$B$204,MATCH(B1238,代理店一覧!$A$5:$A$204,0)),"※未登録のID"))</f>
        <v/>
      </c>
      <c r="D1238" s="21"/>
      <c r="E1238" s="21"/>
      <c r="F1238" s="21"/>
      <c r="G1238" s="18"/>
      <c r="H1238" s="21"/>
      <c r="I1238" s="26"/>
      <c r="J1238" s="15"/>
      <c r="K1238" s="27"/>
      <c r="L1238" s="25" t="str">
        <f aca="false">IF(B1238="","",B1238&amp;"|"&amp;J1238)</f>
        <v/>
      </c>
    </row>
    <row r="1239" customFormat="false" ht="15" hidden="false" customHeight="false" outlineLevel="0" collapsed="false">
      <c r="A1239" s="15"/>
      <c r="B1239" s="21"/>
      <c r="C1239" s="21" t="str">
        <f aca="false">IF(B1239="","",IFERROR(INDEX(代理店一覧!$B$5:$B$204,MATCH(B1239,代理店一覧!$A$5:$A$204,0)),"※未登録のID"))</f>
        <v/>
      </c>
      <c r="D1239" s="21"/>
      <c r="E1239" s="21"/>
      <c r="F1239" s="21"/>
      <c r="G1239" s="18"/>
      <c r="H1239" s="21"/>
      <c r="I1239" s="26"/>
      <c r="J1239" s="15"/>
      <c r="K1239" s="27"/>
      <c r="L1239" s="25" t="str">
        <f aca="false">IF(B1239="","",B1239&amp;"|"&amp;J1239)</f>
        <v/>
      </c>
    </row>
    <row r="1240" customFormat="false" ht="15" hidden="false" customHeight="false" outlineLevel="0" collapsed="false">
      <c r="A1240" s="15"/>
      <c r="B1240" s="21"/>
      <c r="C1240" s="21" t="str">
        <f aca="false">IF(B1240="","",IFERROR(INDEX(代理店一覧!$B$5:$B$204,MATCH(B1240,代理店一覧!$A$5:$A$204,0)),"※未登録のID"))</f>
        <v/>
      </c>
      <c r="D1240" s="21"/>
      <c r="E1240" s="21"/>
      <c r="F1240" s="21"/>
      <c r="G1240" s="18"/>
      <c r="H1240" s="21"/>
      <c r="I1240" s="26"/>
      <c r="J1240" s="15"/>
      <c r="K1240" s="27"/>
      <c r="L1240" s="25" t="str">
        <f aca="false">IF(B1240="","",B1240&amp;"|"&amp;J1240)</f>
        <v/>
      </c>
    </row>
    <row r="1241" customFormat="false" ht="15" hidden="false" customHeight="false" outlineLevel="0" collapsed="false">
      <c r="A1241" s="15"/>
      <c r="B1241" s="21"/>
      <c r="C1241" s="21" t="str">
        <f aca="false">IF(B1241="","",IFERROR(INDEX(代理店一覧!$B$5:$B$204,MATCH(B1241,代理店一覧!$A$5:$A$204,0)),"※未登録のID"))</f>
        <v/>
      </c>
      <c r="D1241" s="21"/>
      <c r="E1241" s="21"/>
      <c r="F1241" s="21"/>
      <c r="G1241" s="18"/>
      <c r="H1241" s="21"/>
      <c r="I1241" s="26"/>
      <c r="J1241" s="15"/>
      <c r="K1241" s="27"/>
      <c r="L1241" s="25" t="str">
        <f aca="false">IF(B1241="","",B1241&amp;"|"&amp;J1241)</f>
        <v/>
      </c>
    </row>
    <row r="1242" customFormat="false" ht="15" hidden="false" customHeight="false" outlineLevel="0" collapsed="false">
      <c r="A1242" s="15"/>
      <c r="B1242" s="21"/>
      <c r="C1242" s="21" t="str">
        <f aca="false">IF(B1242="","",IFERROR(INDEX(代理店一覧!$B$5:$B$204,MATCH(B1242,代理店一覧!$A$5:$A$204,0)),"※未登録のID"))</f>
        <v/>
      </c>
      <c r="D1242" s="21"/>
      <c r="E1242" s="21"/>
      <c r="F1242" s="21"/>
      <c r="G1242" s="18"/>
      <c r="H1242" s="21"/>
      <c r="I1242" s="26"/>
      <c r="J1242" s="15"/>
      <c r="K1242" s="27"/>
      <c r="L1242" s="25" t="str">
        <f aca="false">IF(B1242="","",B1242&amp;"|"&amp;J1242)</f>
        <v/>
      </c>
    </row>
    <row r="1243" customFormat="false" ht="15" hidden="false" customHeight="false" outlineLevel="0" collapsed="false">
      <c r="A1243" s="15"/>
      <c r="B1243" s="21"/>
      <c r="C1243" s="21" t="str">
        <f aca="false">IF(B1243="","",IFERROR(INDEX(代理店一覧!$B$5:$B$204,MATCH(B1243,代理店一覧!$A$5:$A$204,0)),"※未登録のID"))</f>
        <v/>
      </c>
      <c r="D1243" s="21"/>
      <c r="E1243" s="21"/>
      <c r="F1243" s="21"/>
      <c r="G1243" s="18"/>
      <c r="H1243" s="21"/>
      <c r="I1243" s="26"/>
      <c r="J1243" s="15"/>
      <c r="K1243" s="27"/>
      <c r="L1243" s="25" t="str">
        <f aca="false">IF(B1243="","",B1243&amp;"|"&amp;J1243)</f>
        <v/>
      </c>
    </row>
    <row r="1244" customFormat="false" ht="15" hidden="false" customHeight="false" outlineLevel="0" collapsed="false">
      <c r="A1244" s="15"/>
      <c r="B1244" s="21"/>
      <c r="C1244" s="21" t="str">
        <f aca="false">IF(B1244="","",IFERROR(INDEX(代理店一覧!$B$5:$B$204,MATCH(B1244,代理店一覧!$A$5:$A$204,0)),"※未登録のID"))</f>
        <v/>
      </c>
      <c r="D1244" s="21"/>
      <c r="E1244" s="21"/>
      <c r="F1244" s="21"/>
      <c r="G1244" s="18"/>
      <c r="H1244" s="21"/>
      <c r="I1244" s="26"/>
      <c r="J1244" s="15"/>
      <c r="K1244" s="27"/>
      <c r="L1244" s="25" t="str">
        <f aca="false">IF(B1244="","",B1244&amp;"|"&amp;J1244)</f>
        <v/>
      </c>
    </row>
    <row r="1245" customFormat="false" ht="15" hidden="false" customHeight="false" outlineLevel="0" collapsed="false">
      <c r="A1245" s="15"/>
      <c r="B1245" s="21"/>
      <c r="C1245" s="21" t="str">
        <f aca="false">IF(B1245="","",IFERROR(INDEX(代理店一覧!$B$5:$B$204,MATCH(B1245,代理店一覧!$A$5:$A$204,0)),"※未登録のID"))</f>
        <v/>
      </c>
      <c r="D1245" s="21"/>
      <c r="E1245" s="21"/>
      <c r="F1245" s="21"/>
      <c r="G1245" s="18"/>
      <c r="H1245" s="21"/>
      <c r="I1245" s="26"/>
      <c r="J1245" s="15"/>
      <c r="K1245" s="27"/>
      <c r="L1245" s="25" t="str">
        <f aca="false">IF(B1245="","",B1245&amp;"|"&amp;J1245)</f>
        <v/>
      </c>
    </row>
    <row r="1246" customFormat="false" ht="15" hidden="false" customHeight="false" outlineLevel="0" collapsed="false">
      <c r="A1246" s="15"/>
      <c r="B1246" s="21"/>
      <c r="C1246" s="21" t="str">
        <f aca="false">IF(B1246="","",IFERROR(INDEX(代理店一覧!$B$5:$B$204,MATCH(B1246,代理店一覧!$A$5:$A$204,0)),"※未登録のID"))</f>
        <v/>
      </c>
      <c r="D1246" s="21"/>
      <c r="E1246" s="21"/>
      <c r="F1246" s="21"/>
      <c r="G1246" s="18"/>
      <c r="H1246" s="21"/>
      <c r="I1246" s="26"/>
      <c r="J1246" s="15"/>
      <c r="K1246" s="27"/>
      <c r="L1246" s="25" t="str">
        <f aca="false">IF(B1246="","",B1246&amp;"|"&amp;J1246)</f>
        <v/>
      </c>
    </row>
    <row r="1247" customFormat="false" ht="15" hidden="false" customHeight="false" outlineLevel="0" collapsed="false">
      <c r="A1247" s="15"/>
      <c r="B1247" s="21"/>
      <c r="C1247" s="21" t="str">
        <f aca="false">IF(B1247="","",IFERROR(INDEX(代理店一覧!$B$5:$B$204,MATCH(B1247,代理店一覧!$A$5:$A$204,0)),"※未登録のID"))</f>
        <v/>
      </c>
      <c r="D1247" s="21"/>
      <c r="E1247" s="21"/>
      <c r="F1247" s="21"/>
      <c r="G1247" s="18"/>
      <c r="H1247" s="21"/>
      <c r="I1247" s="26"/>
      <c r="J1247" s="15"/>
      <c r="K1247" s="27"/>
      <c r="L1247" s="25" t="str">
        <f aca="false">IF(B1247="","",B1247&amp;"|"&amp;J1247)</f>
        <v/>
      </c>
    </row>
    <row r="1248" customFormat="false" ht="15" hidden="false" customHeight="false" outlineLevel="0" collapsed="false">
      <c r="A1248" s="15"/>
      <c r="B1248" s="21"/>
      <c r="C1248" s="21" t="str">
        <f aca="false">IF(B1248="","",IFERROR(INDEX(代理店一覧!$B$5:$B$204,MATCH(B1248,代理店一覧!$A$5:$A$204,0)),"※未登録のID"))</f>
        <v/>
      </c>
      <c r="D1248" s="21"/>
      <c r="E1248" s="21"/>
      <c r="F1248" s="21"/>
      <c r="G1248" s="18"/>
      <c r="H1248" s="21"/>
      <c r="I1248" s="26"/>
      <c r="J1248" s="15"/>
      <c r="K1248" s="27"/>
      <c r="L1248" s="25" t="str">
        <f aca="false">IF(B1248="","",B1248&amp;"|"&amp;J1248)</f>
        <v/>
      </c>
    </row>
    <row r="1249" customFormat="false" ht="15" hidden="false" customHeight="false" outlineLevel="0" collapsed="false">
      <c r="A1249" s="15"/>
      <c r="B1249" s="21"/>
      <c r="C1249" s="21" t="str">
        <f aca="false">IF(B1249="","",IFERROR(INDEX(代理店一覧!$B$5:$B$204,MATCH(B1249,代理店一覧!$A$5:$A$204,0)),"※未登録のID"))</f>
        <v/>
      </c>
      <c r="D1249" s="21"/>
      <c r="E1249" s="21"/>
      <c r="F1249" s="21"/>
      <c r="G1249" s="18"/>
      <c r="H1249" s="21"/>
      <c r="I1249" s="26"/>
      <c r="J1249" s="15"/>
      <c r="K1249" s="27"/>
      <c r="L1249" s="25" t="str">
        <f aca="false">IF(B1249="","",B1249&amp;"|"&amp;J1249)</f>
        <v/>
      </c>
    </row>
    <row r="1250" customFormat="false" ht="15" hidden="false" customHeight="false" outlineLevel="0" collapsed="false">
      <c r="A1250" s="15"/>
      <c r="B1250" s="21"/>
      <c r="C1250" s="21" t="str">
        <f aca="false">IF(B1250="","",IFERROR(INDEX(代理店一覧!$B$5:$B$204,MATCH(B1250,代理店一覧!$A$5:$A$204,0)),"※未登録のID"))</f>
        <v/>
      </c>
      <c r="D1250" s="21"/>
      <c r="E1250" s="21"/>
      <c r="F1250" s="21"/>
      <c r="G1250" s="18"/>
      <c r="H1250" s="21"/>
      <c r="I1250" s="26"/>
      <c r="J1250" s="15"/>
      <c r="K1250" s="27"/>
      <c r="L1250" s="25" t="str">
        <f aca="false">IF(B1250="","",B1250&amp;"|"&amp;J1250)</f>
        <v/>
      </c>
    </row>
    <row r="1251" customFormat="false" ht="15" hidden="false" customHeight="false" outlineLevel="0" collapsed="false">
      <c r="A1251" s="15"/>
      <c r="B1251" s="21"/>
      <c r="C1251" s="21" t="str">
        <f aca="false">IF(B1251="","",IFERROR(INDEX(代理店一覧!$B$5:$B$204,MATCH(B1251,代理店一覧!$A$5:$A$204,0)),"※未登録のID"))</f>
        <v/>
      </c>
      <c r="D1251" s="21"/>
      <c r="E1251" s="21"/>
      <c r="F1251" s="21"/>
      <c r="G1251" s="18"/>
      <c r="H1251" s="21"/>
      <c r="I1251" s="26"/>
      <c r="J1251" s="15"/>
      <c r="K1251" s="27"/>
      <c r="L1251" s="25" t="str">
        <f aca="false">IF(B1251="","",B1251&amp;"|"&amp;J1251)</f>
        <v/>
      </c>
    </row>
    <row r="1252" customFormat="false" ht="15" hidden="false" customHeight="false" outlineLevel="0" collapsed="false">
      <c r="A1252" s="15"/>
      <c r="B1252" s="21"/>
      <c r="C1252" s="21" t="str">
        <f aca="false">IF(B1252="","",IFERROR(INDEX(代理店一覧!$B$5:$B$204,MATCH(B1252,代理店一覧!$A$5:$A$204,0)),"※未登録のID"))</f>
        <v/>
      </c>
      <c r="D1252" s="21"/>
      <c r="E1252" s="21"/>
      <c r="F1252" s="21"/>
      <c r="G1252" s="18"/>
      <c r="H1252" s="21"/>
      <c r="I1252" s="26"/>
      <c r="J1252" s="15"/>
      <c r="K1252" s="27"/>
      <c r="L1252" s="25" t="str">
        <f aca="false">IF(B1252="","",B1252&amp;"|"&amp;J1252)</f>
        <v/>
      </c>
    </row>
    <row r="1253" customFormat="false" ht="15" hidden="false" customHeight="false" outlineLevel="0" collapsed="false">
      <c r="A1253" s="15"/>
      <c r="B1253" s="21"/>
      <c r="C1253" s="21" t="str">
        <f aca="false">IF(B1253="","",IFERROR(INDEX(代理店一覧!$B$5:$B$204,MATCH(B1253,代理店一覧!$A$5:$A$204,0)),"※未登録のID"))</f>
        <v/>
      </c>
      <c r="D1253" s="21"/>
      <c r="E1253" s="21"/>
      <c r="F1253" s="21"/>
      <c r="G1253" s="18"/>
      <c r="H1253" s="21"/>
      <c r="I1253" s="26"/>
      <c r="J1253" s="15"/>
      <c r="K1253" s="27"/>
      <c r="L1253" s="25" t="str">
        <f aca="false">IF(B1253="","",B1253&amp;"|"&amp;J1253)</f>
        <v/>
      </c>
    </row>
    <row r="1254" customFormat="false" ht="15" hidden="false" customHeight="false" outlineLevel="0" collapsed="false">
      <c r="A1254" s="15"/>
      <c r="B1254" s="21"/>
      <c r="C1254" s="21" t="str">
        <f aca="false">IF(B1254="","",IFERROR(INDEX(代理店一覧!$B$5:$B$204,MATCH(B1254,代理店一覧!$A$5:$A$204,0)),"※未登録のID"))</f>
        <v/>
      </c>
      <c r="D1254" s="21"/>
      <c r="E1254" s="21"/>
      <c r="F1254" s="21"/>
      <c r="G1254" s="18"/>
      <c r="H1254" s="21"/>
      <c r="I1254" s="26"/>
      <c r="J1254" s="15"/>
      <c r="K1254" s="27"/>
      <c r="L1254" s="25" t="str">
        <f aca="false">IF(B1254="","",B1254&amp;"|"&amp;J1254)</f>
        <v/>
      </c>
    </row>
    <row r="1255" customFormat="false" ht="15" hidden="false" customHeight="false" outlineLevel="0" collapsed="false">
      <c r="A1255" s="15"/>
      <c r="B1255" s="21"/>
      <c r="C1255" s="21" t="str">
        <f aca="false">IF(B1255="","",IFERROR(INDEX(代理店一覧!$B$5:$B$204,MATCH(B1255,代理店一覧!$A$5:$A$204,0)),"※未登録のID"))</f>
        <v/>
      </c>
      <c r="D1255" s="21"/>
      <c r="E1255" s="21"/>
      <c r="F1255" s="21"/>
      <c r="G1255" s="18"/>
      <c r="H1255" s="21"/>
      <c r="I1255" s="26"/>
      <c r="J1255" s="15"/>
      <c r="K1255" s="27"/>
      <c r="L1255" s="25" t="str">
        <f aca="false">IF(B1255="","",B1255&amp;"|"&amp;J1255)</f>
        <v/>
      </c>
    </row>
    <row r="1256" customFormat="false" ht="15" hidden="false" customHeight="false" outlineLevel="0" collapsed="false">
      <c r="A1256" s="15"/>
      <c r="B1256" s="21"/>
      <c r="C1256" s="21" t="str">
        <f aca="false">IF(B1256="","",IFERROR(INDEX(代理店一覧!$B$5:$B$204,MATCH(B1256,代理店一覧!$A$5:$A$204,0)),"※未登録のID"))</f>
        <v/>
      </c>
      <c r="D1256" s="21"/>
      <c r="E1256" s="21"/>
      <c r="F1256" s="21"/>
      <c r="G1256" s="18"/>
      <c r="H1256" s="21"/>
      <c r="I1256" s="26"/>
      <c r="J1256" s="15"/>
      <c r="K1256" s="27"/>
      <c r="L1256" s="25" t="str">
        <f aca="false">IF(B1256="","",B1256&amp;"|"&amp;J1256)</f>
        <v/>
      </c>
    </row>
    <row r="1257" customFormat="false" ht="15" hidden="false" customHeight="false" outlineLevel="0" collapsed="false">
      <c r="A1257" s="15"/>
      <c r="B1257" s="21"/>
      <c r="C1257" s="21" t="str">
        <f aca="false">IF(B1257="","",IFERROR(INDEX(代理店一覧!$B$5:$B$204,MATCH(B1257,代理店一覧!$A$5:$A$204,0)),"※未登録のID"))</f>
        <v/>
      </c>
      <c r="D1257" s="21"/>
      <c r="E1257" s="21"/>
      <c r="F1257" s="21"/>
      <c r="G1257" s="18"/>
      <c r="H1257" s="21"/>
      <c r="I1257" s="26"/>
      <c r="J1257" s="15"/>
      <c r="K1257" s="27"/>
      <c r="L1257" s="25" t="str">
        <f aca="false">IF(B1257="","",B1257&amp;"|"&amp;J1257)</f>
        <v/>
      </c>
    </row>
    <row r="1258" customFormat="false" ht="15" hidden="false" customHeight="false" outlineLevel="0" collapsed="false">
      <c r="A1258" s="15"/>
      <c r="B1258" s="21"/>
      <c r="C1258" s="21" t="str">
        <f aca="false">IF(B1258="","",IFERROR(INDEX(代理店一覧!$B$5:$B$204,MATCH(B1258,代理店一覧!$A$5:$A$204,0)),"※未登録のID"))</f>
        <v/>
      </c>
      <c r="D1258" s="21"/>
      <c r="E1258" s="21"/>
      <c r="F1258" s="21"/>
      <c r="G1258" s="18"/>
      <c r="H1258" s="21"/>
      <c r="I1258" s="26"/>
      <c r="J1258" s="15"/>
      <c r="K1258" s="27"/>
      <c r="L1258" s="25" t="str">
        <f aca="false">IF(B1258="","",B1258&amp;"|"&amp;J1258)</f>
        <v/>
      </c>
    </row>
    <row r="1259" customFormat="false" ht="15" hidden="false" customHeight="false" outlineLevel="0" collapsed="false">
      <c r="A1259" s="15"/>
      <c r="B1259" s="21"/>
      <c r="C1259" s="21" t="str">
        <f aca="false">IF(B1259="","",IFERROR(INDEX(代理店一覧!$B$5:$B$204,MATCH(B1259,代理店一覧!$A$5:$A$204,0)),"※未登録のID"))</f>
        <v/>
      </c>
      <c r="D1259" s="21"/>
      <c r="E1259" s="21"/>
      <c r="F1259" s="21"/>
      <c r="G1259" s="18"/>
      <c r="H1259" s="21"/>
      <c r="I1259" s="26"/>
      <c r="J1259" s="15"/>
      <c r="K1259" s="27"/>
      <c r="L1259" s="25" t="str">
        <f aca="false">IF(B1259="","",B1259&amp;"|"&amp;J1259)</f>
        <v/>
      </c>
    </row>
    <row r="1260" customFormat="false" ht="15" hidden="false" customHeight="false" outlineLevel="0" collapsed="false">
      <c r="A1260" s="15"/>
      <c r="B1260" s="21"/>
      <c r="C1260" s="21" t="str">
        <f aca="false">IF(B1260="","",IFERROR(INDEX(代理店一覧!$B$5:$B$204,MATCH(B1260,代理店一覧!$A$5:$A$204,0)),"※未登録のID"))</f>
        <v/>
      </c>
      <c r="D1260" s="21"/>
      <c r="E1260" s="21"/>
      <c r="F1260" s="21"/>
      <c r="G1260" s="18"/>
      <c r="H1260" s="21"/>
      <c r="I1260" s="26"/>
      <c r="J1260" s="15"/>
      <c r="K1260" s="27"/>
      <c r="L1260" s="25" t="str">
        <f aca="false">IF(B1260="","",B1260&amp;"|"&amp;J1260)</f>
        <v/>
      </c>
    </row>
    <row r="1261" customFormat="false" ht="15" hidden="false" customHeight="false" outlineLevel="0" collapsed="false">
      <c r="A1261" s="15"/>
      <c r="B1261" s="21"/>
      <c r="C1261" s="21" t="str">
        <f aca="false">IF(B1261="","",IFERROR(INDEX(代理店一覧!$B$5:$B$204,MATCH(B1261,代理店一覧!$A$5:$A$204,0)),"※未登録のID"))</f>
        <v/>
      </c>
      <c r="D1261" s="21"/>
      <c r="E1261" s="21"/>
      <c r="F1261" s="21"/>
      <c r="G1261" s="18"/>
      <c r="H1261" s="21"/>
      <c r="I1261" s="26"/>
      <c r="J1261" s="15"/>
      <c r="K1261" s="27"/>
      <c r="L1261" s="25" t="str">
        <f aca="false">IF(B1261="","",B1261&amp;"|"&amp;J1261)</f>
        <v/>
      </c>
    </row>
    <row r="1262" customFormat="false" ht="15" hidden="false" customHeight="false" outlineLevel="0" collapsed="false">
      <c r="A1262" s="15"/>
      <c r="B1262" s="21"/>
      <c r="C1262" s="21" t="str">
        <f aca="false">IF(B1262="","",IFERROR(INDEX(代理店一覧!$B$5:$B$204,MATCH(B1262,代理店一覧!$A$5:$A$204,0)),"※未登録のID"))</f>
        <v/>
      </c>
      <c r="D1262" s="21"/>
      <c r="E1262" s="21"/>
      <c r="F1262" s="21"/>
      <c r="G1262" s="18"/>
      <c r="H1262" s="21"/>
      <c r="I1262" s="26"/>
      <c r="J1262" s="15"/>
      <c r="K1262" s="27"/>
      <c r="L1262" s="25" t="str">
        <f aca="false">IF(B1262="","",B1262&amp;"|"&amp;J1262)</f>
        <v/>
      </c>
    </row>
    <row r="1263" customFormat="false" ht="15" hidden="false" customHeight="false" outlineLevel="0" collapsed="false">
      <c r="A1263" s="15"/>
      <c r="B1263" s="21"/>
      <c r="C1263" s="21" t="str">
        <f aca="false">IF(B1263="","",IFERROR(INDEX(代理店一覧!$B$5:$B$204,MATCH(B1263,代理店一覧!$A$5:$A$204,0)),"※未登録のID"))</f>
        <v/>
      </c>
      <c r="D1263" s="21"/>
      <c r="E1263" s="21"/>
      <c r="F1263" s="21"/>
      <c r="G1263" s="18"/>
      <c r="H1263" s="21"/>
      <c r="I1263" s="26"/>
      <c r="J1263" s="15"/>
      <c r="K1263" s="27"/>
      <c r="L1263" s="25" t="str">
        <f aca="false">IF(B1263="","",B1263&amp;"|"&amp;J1263)</f>
        <v/>
      </c>
    </row>
    <row r="1264" customFormat="false" ht="15" hidden="false" customHeight="false" outlineLevel="0" collapsed="false">
      <c r="A1264" s="15"/>
      <c r="B1264" s="21"/>
      <c r="C1264" s="21" t="str">
        <f aca="false">IF(B1264="","",IFERROR(INDEX(代理店一覧!$B$5:$B$204,MATCH(B1264,代理店一覧!$A$5:$A$204,0)),"※未登録のID"))</f>
        <v/>
      </c>
      <c r="D1264" s="21"/>
      <c r="E1264" s="21"/>
      <c r="F1264" s="21"/>
      <c r="G1264" s="18"/>
      <c r="H1264" s="21"/>
      <c r="I1264" s="26"/>
      <c r="J1264" s="15"/>
      <c r="K1264" s="27"/>
      <c r="L1264" s="25" t="str">
        <f aca="false">IF(B1264="","",B1264&amp;"|"&amp;J1264)</f>
        <v/>
      </c>
    </row>
    <row r="1265" customFormat="false" ht="15" hidden="false" customHeight="false" outlineLevel="0" collapsed="false">
      <c r="A1265" s="15"/>
      <c r="B1265" s="21"/>
      <c r="C1265" s="21" t="str">
        <f aca="false">IF(B1265="","",IFERROR(INDEX(代理店一覧!$B$5:$B$204,MATCH(B1265,代理店一覧!$A$5:$A$204,0)),"※未登録のID"))</f>
        <v/>
      </c>
      <c r="D1265" s="21"/>
      <c r="E1265" s="21"/>
      <c r="F1265" s="21"/>
      <c r="G1265" s="18"/>
      <c r="H1265" s="21"/>
      <c r="I1265" s="26"/>
      <c r="J1265" s="15"/>
      <c r="K1265" s="27"/>
      <c r="L1265" s="25" t="str">
        <f aca="false">IF(B1265="","",B1265&amp;"|"&amp;J1265)</f>
        <v/>
      </c>
    </row>
    <row r="1266" customFormat="false" ht="15" hidden="false" customHeight="false" outlineLevel="0" collapsed="false">
      <c r="A1266" s="15"/>
      <c r="B1266" s="21"/>
      <c r="C1266" s="21" t="str">
        <f aca="false">IF(B1266="","",IFERROR(INDEX(代理店一覧!$B$5:$B$204,MATCH(B1266,代理店一覧!$A$5:$A$204,0)),"※未登録のID"))</f>
        <v/>
      </c>
      <c r="D1266" s="21"/>
      <c r="E1266" s="21"/>
      <c r="F1266" s="21"/>
      <c r="G1266" s="18"/>
      <c r="H1266" s="21"/>
      <c r="I1266" s="26"/>
      <c r="J1266" s="15"/>
      <c r="K1266" s="27"/>
      <c r="L1266" s="25" t="str">
        <f aca="false">IF(B1266="","",B1266&amp;"|"&amp;J1266)</f>
        <v/>
      </c>
    </row>
    <row r="1267" customFormat="false" ht="15" hidden="false" customHeight="false" outlineLevel="0" collapsed="false">
      <c r="A1267" s="15"/>
      <c r="B1267" s="21"/>
      <c r="C1267" s="21" t="str">
        <f aca="false">IF(B1267="","",IFERROR(INDEX(代理店一覧!$B$5:$B$204,MATCH(B1267,代理店一覧!$A$5:$A$204,0)),"※未登録のID"))</f>
        <v/>
      </c>
      <c r="D1267" s="21"/>
      <c r="E1267" s="21"/>
      <c r="F1267" s="21"/>
      <c r="G1267" s="18"/>
      <c r="H1267" s="21"/>
      <c r="I1267" s="26"/>
      <c r="J1267" s="15"/>
      <c r="K1267" s="27"/>
      <c r="L1267" s="25" t="str">
        <f aca="false">IF(B1267="","",B1267&amp;"|"&amp;J1267)</f>
        <v/>
      </c>
    </row>
    <row r="1268" customFormat="false" ht="15" hidden="false" customHeight="false" outlineLevel="0" collapsed="false">
      <c r="A1268" s="15"/>
      <c r="B1268" s="21"/>
      <c r="C1268" s="21" t="str">
        <f aca="false">IF(B1268="","",IFERROR(INDEX(代理店一覧!$B$5:$B$204,MATCH(B1268,代理店一覧!$A$5:$A$204,0)),"※未登録のID"))</f>
        <v/>
      </c>
      <c r="D1268" s="21"/>
      <c r="E1268" s="21"/>
      <c r="F1268" s="21"/>
      <c r="G1268" s="18"/>
      <c r="H1268" s="21"/>
      <c r="I1268" s="26"/>
      <c r="J1268" s="15"/>
      <c r="K1268" s="27"/>
      <c r="L1268" s="25" t="str">
        <f aca="false">IF(B1268="","",B1268&amp;"|"&amp;J1268)</f>
        <v/>
      </c>
    </row>
    <row r="1269" customFormat="false" ht="15" hidden="false" customHeight="false" outlineLevel="0" collapsed="false">
      <c r="A1269" s="15"/>
      <c r="B1269" s="21"/>
      <c r="C1269" s="21" t="str">
        <f aca="false">IF(B1269="","",IFERROR(INDEX(代理店一覧!$B$5:$B$204,MATCH(B1269,代理店一覧!$A$5:$A$204,0)),"※未登録のID"))</f>
        <v/>
      </c>
      <c r="D1269" s="21"/>
      <c r="E1269" s="21"/>
      <c r="F1269" s="21"/>
      <c r="G1269" s="18"/>
      <c r="H1269" s="21"/>
      <c r="I1269" s="26"/>
      <c r="J1269" s="15"/>
      <c r="K1269" s="27"/>
      <c r="L1269" s="25" t="str">
        <f aca="false">IF(B1269="","",B1269&amp;"|"&amp;J1269)</f>
        <v/>
      </c>
    </row>
    <row r="1270" customFormat="false" ht="15" hidden="false" customHeight="false" outlineLevel="0" collapsed="false">
      <c r="A1270" s="15"/>
      <c r="B1270" s="21"/>
      <c r="C1270" s="21" t="str">
        <f aca="false">IF(B1270="","",IFERROR(INDEX(代理店一覧!$B$5:$B$204,MATCH(B1270,代理店一覧!$A$5:$A$204,0)),"※未登録のID"))</f>
        <v/>
      </c>
      <c r="D1270" s="21"/>
      <c r="E1270" s="21"/>
      <c r="F1270" s="21"/>
      <c r="G1270" s="18"/>
      <c r="H1270" s="21"/>
      <c r="I1270" s="26"/>
      <c r="J1270" s="15"/>
      <c r="K1270" s="27"/>
      <c r="L1270" s="25" t="str">
        <f aca="false">IF(B1270="","",B1270&amp;"|"&amp;J1270)</f>
        <v/>
      </c>
    </row>
    <row r="1271" customFormat="false" ht="15" hidden="false" customHeight="false" outlineLevel="0" collapsed="false">
      <c r="A1271" s="15"/>
      <c r="B1271" s="21"/>
      <c r="C1271" s="21" t="str">
        <f aca="false">IF(B1271="","",IFERROR(INDEX(代理店一覧!$B$5:$B$204,MATCH(B1271,代理店一覧!$A$5:$A$204,0)),"※未登録のID"))</f>
        <v/>
      </c>
      <c r="D1271" s="21"/>
      <c r="E1271" s="21"/>
      <c r="F1271" s="21"/>
      <c r="G1271" s="18"/>
      <c r="H1271" s="21"/>
      <c r="I1271" s="26"/>
      <c r="J1271" s="15"/>
      <c r="K1271" s="27"/>
      <c r="L1271" s="25" t="str">
        <f aca="false">IF(B1271="","",B1271&amp;"|"&amp;J1271)</f>
        <v/>
      </c>
    </row>
    <row r="1272" customFormat="false" ht="15" hidden="false" customHeight="false" outlineLevel="0" collapsed="false">
      <c r="A1272" s="15"/>
      <c r="B1272" s="21"/>
      <c r="C1272" s="21" t="str">
        <f aca="false">IF(B1272="","",IFERROR(INDEX(代理店一覧!$B$5:$B$204,MATCH(B1272,代理店一覧!$A$5:$A$204,0)),"※未登録のID"))</f>
        <v/>
      </c>
      <c r="D1272" s="21"/>
      <c r="E1272" s="21"/>
      <c r="F1272" s="21"/>
      <c r="G1272" s="18"/>
      <c r="H1272" s="21"/>
      <c r="I1272" s="26"/>
      <c r="J1272" s="15"/>
      <c r="K1272" s="27"/>
      <c r="L1272" s="25" t="str">
        <f aca="false">IF(B1272="","",B1272&amp;"|"&amp;J1272)</f>
        <v/>
      </c>
    </row>
    <row r="1273" customFormat="false" ht="15" hidden="false" customHeight="false" outlineLevel="0" collapsed="false">
      <c r="A1273" s="15"/>
      <c r="B1273" s="21"/>
      <c r="C1273" s="21" t="str">
        <f aca="false">IF(B1273="","",IFERROR(INDEX(代理店一覧!$B$5:$B$204,MATCH(B1273,代理店一覧!$A$5:$A$204,0)),"※未登録のID"))</f>
        <v/>
      </c>
      <c r="D1273" s="21"/>
      <c r="E1273" s="21"/>
      <c r="F1273" s="21"/>
      <c r="G1273" s="18"/>
      <c r="H1273" s="21"/>
      <c r="I1273" s="26"/>
      <c r="J1273" s="15"/>
      <c r="K1273" s="27"/>
      <c r="L1273" s="25" t="str">
        <f aca="false">IF(B1273="","",B1273&amp;"|"&amp;J1273)</f>
        <v/>
      </c>
    </row>
    <row r="1274" customFormat="false" ht="15" hidden="false" customHeight="false" outlineLevel="0" collapsed="false">
      <c r="A1274" s="15"/>
      <c r="B1274" s="21"/>
      <c r="C1274" s="21" t="str">
        <f aca="false">IF(B1274="","",IFERROR(INDEX(代理店一覧!$B$5:$B$204,MATCH(B1274,代理店一覧!$A$5:$A$204,0)),"※未登録のID"))</f>
        <v/>
      </c>
      <c r="D1274" s="21"/>
      <c r="E1274" s="21"/>
      <c r="F1274" s="21"/>
      <c r="G1274" s="18"/>
      <c r="H1274" s="21"/>
      <c r="I1274" s="26"/>
      <c r="J1274" s="15"/>
      <c r="K1274" s="27"/>
      <c r="L1274" s="25" t="str">
        <f aca="false">IF(B1274="","",B1274&amp;"|"&amp;J1274)</f>
        <v/>
      </c>
    </row>
    <row r="1275" customFormat="false" ht="15" hidden="false" customHeight="false" outlineLevel="0" collapsed="false">
      <c r="A1275" s="15"/>
      <c r="B1275" s="21"/>
      <c r="C1275" s="21" t="str">
        <f aca="false">IF(B1275="","",IFERROR(INDEX(代理店一覧!$B$5:$B$204,MATCH(B1275,代理店一覧!$A$5:$A$204,0)),"※未登録のID"))</f>
        <v/>
      </c>
      <c r="D1275" s="21"/>
      <c r="E1275" s="21"/>
      <c r="F1275" s="21"/>
      <c r="G1275" s="18"/>
      <c r="H1275" s="21"/>
      <c r="I1275" s="26"/>
      <c r="J1275" s="15"/>
      <c r="K1275" s="27"/>
      <c r="L1275" s="25" t="str">
        <f aca="false">IF(B1275="","",B1275&amp;"|"&amp;J1275)</f>
        <v/>
      </c>
    </row>
    <row r="1276" customFormat="false" ht="15" hidden="false" customHeight="false" outlineLevel="0" collapsed="false">
      <c r="A1276" s="15"/>
      <c r="B1276" s="21"/>
      <c r="C1276" s="21" t="str">
        <f aca="false">IF(B1276="","",IFERROR(INDEX(代理店一覧!$B$5:$B$204,MATCH(B1276,代理店一覧!$A$5:$A$204,0)),"※未登録のID"))</f>
        <v/>
      </c>
      <c r="D1276" s="21"/>
      <c r="E1276" s="21"/>
      <c r="F1276" s="21"/>
      <c r="G1276" s="18"/>
      <c r="H1276" s="21"/>
      <c r="I1276" s="26"/>
      <c r="J1276" s="15"/>
      <c r="K1276" s="27"/>
      <c r="L1276" s="25" t="str">
        <f aca="false">IF(B1276="","",B1276&amp;"|"&amp;J1276)</f>
        <v/>
      </c>
    </row>
    <row r="1277" customFormat="false" ht="15" hidden="false" customHeight="false" outlineLevel="0" collapsed="false">
      <c r="A1277" s="15"/>
      <c r="B1277" s="21"/>
      <c r="C1277" s="21" t="str">
        <f aca="false">IF(B1277="","",IFERROR(INDEX(代理店一覧!$B$5:$B$204,MATCH(B1277,代理店一覧!$A$5:$A$204,0)),"※未登録のID"))</f>
        <v/>
      </c>
      <c r="D1277" s="21"/>
      <c r="E1277" s="21"/>
      <c r="F1277" s="21"/>
      <c r="G1277" s="18"/>
      <c r="H1277" s="21"/>
      <c r="I1277" s="26"/>
      <c r="J1277" s="15"/>
      <c r="K1277" s="27"/>
      <c r="L1277" s="25" t="str">
        <f aca="false">IF(B1277="","",B1277&amp;"|"&amp;J1277)</f>
        <v/>
      </c>
    </row>
    <row r="1278" customFormat="false" ht="15" hidden="false" customHeight="false" outlineLevel="0" collapsed="false">
      <c r="A1278" s="15"/>
      <c r="B1278" s="21"/>
      <c r="C1278" s="21" t="str">
        <f aca="false">IF(B1278="","",IFERROR(INDEX(代理店一覧!$B$5:$B$204,MATCH(B1278,代理店一覧!$A$5:$A$204,0)),"※未登録のID"))</f>
        <v/>
      </c>
      <c r="D1278" s="21"/>
      <c r="E1278" s="21"/>
      <c r="F1278" s="21"/>
      <c r="G1278" s="18"/>
      <c r="H1278" s="21"/>
      <c r="I1278" s="26"/>
      <c r="J1278" s="15"/>
      <c r="K1278" s="27"/>
      <c r="L1278" s="25" t="str">
        <f aca="false">IF(B1278="","",B1278&amp;"|"&amp;J1278)</f>
        <v/>
      </c>
    </row>
    <row r="1279" customFormat="false" ht="15" hidden="false" customHeight="false" outlineLevel="0" collapsed="false">
      <c r="A1279" s="15"/>
      <c r="B1279" s="21"/>
      <c r="C1279" s="21" t="str">
        <f aca="false">IF(B1279="","",IFERROR(INDEX(代理店一覧!$B$5:$B$204,MATCH(B1279,代理店一覧!$A$5:$A$204,0)),"※未登録のID"))</f>
        <v/>
      </c>
      <c r="D1279" s="21"/>
      <c r="E1279" s="21"/>
      <c r="F1279" s="21"/>
      <c r="G1279" s="18"/>
      <c r="H1279" s="21"/>
      <c r="I1279" s="26"/>
      <c r="J1279" s="15"/>
      <c r="K1279" s="27"/>
      <c r="L1279" s="25" t="str">
        <f aca="false">IF(B1279="","",B1279&amp;"|"&amp;J1279)</f>
        <v/>
      </c>
    </row>
    <row r="1280" customFormat="false" ht="15" hidden="false" customHeight="false" outlineLevel="0" collapsed="false">
      <c r="A1280" s="15"/>
      <c r="B1280" s="21"/>
      <c r="C1280" s="21" t="str">
        <f aca="false">IF(B1280="","",IFERROR(INDEX(代理店一覧!$B$5:$B$204,MATCH(B1280,代理店一覧!$A$5:$A$204,0)),"※未登録のID"))</f>
        <v/>
      </c>
      <c r="D1280" s="21"/>
      <c r="E1280" s="21"/>
      <c r="F1280" s="21"/>
      <c r="G1280" s="18"/>
      <c r="H1280" s="21"/>
      <c r="I1280" s="26"/>
      <c r="J1280" s="15"/>
      <c r="K1280" s="27"/>
      <c r="L1280" s="25" t="str">
        <f aca="false">IF(B1280="","",B1280&amp;"|"&amp;J1280)</f>
        <v/>
      </c>
    </row>
    <row r="1281" customFormat="false" ht="15" hidden="false" customHeight="false" outlineLevel="0" collapsed="false">
      <c r="A1281" s="15"/>
      <c r="B1281" s="21"/>
      <c r="C1281" s="21" t="str">
        <f aca="false">IF(B1281="","",IFERROR(INDEX(代理店一覧!$B$5:$B$204,MATCH(B1281,代理店一覧!$A$5:$A$204,0)),"※未登録のID"))</f>
        <v/>
      </c>
      <c r="D1281" s="21"/>
      <c r="E1281" s="21"/>
      <c r="F1281" s="21"/>
      <c r="G1281" s="18"/>
      <c r="H1281" s="21"/>
      <c r="I1281" s="26"/>
      <c r="J1281" s="15"/>
      <c r="K1281" s="27"/>
      <c r="L1281" s="25" t="str">
        <f aca="false">IF(B1281="","",B1281&amp;"|"&amp;J1281)</f>
        <v/>
      </c>
    </row>
    <row r="1282" customFormat="false" ht="15" hidden="false" customHeight="false" outlineLevel="0" collapsed="false">
      <c r="A1282" s="15"/>
      <c r="B1282" s="21"/>
      <c r="C1282" s="21" t="str">
        <f aca="false">IF(B1282="","",IFERROR(INDEX(代理店一覧!$B$5:$B$204,MATCH(B1282,代理店一覧!$A$5:$A$204,0)),"※未登録のID"))</f>
        <v/>
      </c>
      <c r="D1282" s="21"/>
      <c r="E1282" s="21"/>
      <c r="F1282" s="21"/>
      <c r="G1282" s="18"/>
      <c r="H1282" s="21"/>
      <c r="I1282" s="26"/>
      <c r="J1282" s="15"/>
      <c r="K1282" s="27"/>
      <c r="L1282" s="25" t="str">
        <f aca="false">IF(B1282="","",B1282&amp;"|"&amp;J1282)</f>
        <v/>
      </c>
    </row>
    <row r="1283" customFormat="false" ht="15" hidden="false" customHeight="false" outlineLevel="0" collapsed="false">
      <c r="A1283" s="15"/>
      <c r="B1283" s="21"/>
      <c r="C1283" s="21" t="str">
        <f aca="false">IF(B1283="","",IFERROR(INDEX(代理店一覧!$B$5:$B$204,MATCH(B1283,代理店一覧!$A$5:$A$204,0)),"※未登録のID"))</f>
        <v/>
      </c>
      <c r="D1283" s="21"/>
      <c r="E1283" s="21"/>
      <c r="F1283" s="21"/>
      <c r="G1283" s="18"/>
      <c r="H1283" s="21"/>
      <c r="I1283" s="26"/>
      <c r="J1283" s="15"/>
      <c r="K1283" s="27"/>
      <c r="L1283" s="25" t="str">
        <f aca="false">IF(B1283="","",B1283&amp;"|"&amp;J1283)</f>
        <v/>
      </c>
    </row>
    <row r="1284" customFormat="false" ht="15" hidden="false" customHeight="false" outlineLevel="0" collapsed="false">
      <c r="A1284" s="15"/>
      <c r="B1284" s="21"/>
      <c r="C1284" s="21" t="str">
        <f aca="false">IF(B1284="","",IFERROR(INDEX(代理店一覧!$B$5:$B$204,MATCH(B1284,代理店一覧!$A$5:$A$204,0)),"※未登録のID"))</f>
        <v/>
      </c>
      <c r="D1284" s="21"/>
      <c r="E1284" s="21"/>
      <c r="F1284" s="21"/>
      <c r="G1284" s="18"/>
      <c r="H1284" s="21"/>
      <c r="I1284" s="26"/>
      <c r="J1284" s="15"/>
      <c r="K1284" s="27"/>
      <c r="L1284" s="25" t="str">
        <f aca="false">IF(B1284="","",B1284&amp;"|"&amp;J1284)</f>
        <v/>
      </c>
    </row>
    <row r="1285" customFormat="false" ht="15" hidden="false" customHeight="false" outlineLevel="0" collapsed="false">
      <c r="A1285" s="15"/>
      <c r="B1285" s="21"/>
      <c r="C1285" s="21" t="str">
        <f aca="false">IF(B1285="","",IFERROR(INDEX(代理店一覧!$B$5:$B$204,MATCH(B1285,代理店一覧!$A$5:$A$204,0)),"※未登録のID"))</f>
        <v/>
      </c>
      <c r="D1285" s="21"/>
      <c r="E1285" s="21"/>
      <c r="F1285" s="21"/>
      <c r="G1285" s="18"/>
      <c r="H1285" s="21"/>
      <c r="I1285" s="26"/>
      <c r="J1285" s="15"/>
      <c r="K1285" s="27"/>
      <c r="L1285" s="25" t="str">
        <f aca="false">IF(B1285="","",B1285&amp;"|"&amp;J1285)</f>
        <v/>
      </c>
    </row>
    <row r="1286" customFormat="false" ht="15" hidden="false" customHeight="false" outlineLevel="0" collapsed="false">
      <c r="A1286" s="15"/>
      <c r="B1286" s="21"/>
      <c r="C1286" s="21" t="str">
        <f aca="false">IF(B1286="","",IFERROR(INDEX(代理店一覧!$B$5:$B$204,MATCH(B1286,代理店一覧!$A$5:$A$204,0)),"※未登録のID"))</f>
        <v/>
      </c>
      <c r="D1286" s="21"/>
      <c r="E1286" s="21"/>
      <c r="F1286" s="21"/>
      <c r="G1286" s="18"/>
      <c r="H1286" s="21"/>
      <c r="I1286" s="26"/>
      <c r="J1286" s="15"/>
      <c r="K1286" s="27"/>
      <c r="L1286" s="25" t="str">
        <f aca="false">IF(B1286="","",B1286&amp;"|"&amp;J1286)</f>
        <v/>
      </c>
    </row>
    <row r="1287" customFormat="false" ht="15" hidden="false" customHeight="false" outlineLevel="0" collapsed="false">
      <c r="A1287" s="15"/>
      <c r="B1287" s="21"/>
      <c r="C1287" s="21" t="str">
        <f aca="false">IF(B1287="","",IFERROR(INDEX(代理店一覧!$B$5:$B$204,MATCH(B1287,代理店一覧!$A$5:$A$204,0)),"※未登録のID"))</f>
        <v/>
      </c>
      <c r="D1287" s="21"/>
      <c r="E1287" s="21"/>
      <c r="F1287" s="21"/>
      <c r="G1287" s="18"/>
      <c r="H1287" s="21"/>
      <c r="I1287" s="26"/>
      <c r="J1287" s="15"/>
      <c r="K1287" s="27"/>
      <c r="L1287" s="25" t="str">
        <f aca="false">IF(B1287="","",B1287&amp;"|"&amp;J1287)</f>
        <v/>
      </c>
    </row>
    <row r="1288" customFormat="false" ht="15" hidden="false" customHeight="false" outlineLevel="0" collapsed="false">
      <c r="A1288" s="15"/>
      <c r="B1288" s="21"/>
      <c r="C1288" s="21" t="str">
        <f aca="false">IF(B1288="","",IFERROR(INDEX(代理店一覧!$B$5:$B$204,MATCH(B1288,代理店一覧!$A$5:$A$204,0)),"※未登録のID"))</f>
        <v/>
      </c>
      <c r="D1288" s="21"/>
      <c r="E1288" s="21"/>
      <c r="F1288" s="21"/>
      <c r="G1288" s="18"/>
      <c r="H1288" s="21"/>
      <c r="I1288" s="26"/>
      <c r="J1288" s="15"/>
      <c r="K1288" s="27"/>
      <c r="L1288" s="25" t="str">
        <f aca="false">IF(B1288="","",B1288&amp;"|"&amp;J1288)</f>
        <v/>
      </c>
    </row>
    <row r="1289" customFormat="false" ht="15" hidden="false" customHeight="false" outlineLevel="0" collapsed="false">
      <c r="A1289" s="15"/>
      <c r="B1289" s="21"/>
      <c r="C1289" s="21" t="str">
        <f aca="false">IF(B1289="","",IFERROR(INDEX(代理店一覧!$B$5:$B$204,MATCH(B1289,代理店一覧!$A$5:$A$204,0)),"※未登録のID"))</f>
        <v/>
      </c>
      <c r="D1289" s="21"/>
      <c r="E1289" s="21"/>
      <c r="F1289" s="21"/>
      <c r="G1289" s="18"/>
      <c r="H1289" s="21"/>
      <c r="I1289" s="26"/>
      <c r="J1289" s="15"/>
      <c r="K1289" s="27"/>
      <c r="L1289" s="25" t="str">
        <f aca="false">IF(B1289="","",B1289&amp;"|"&amp;J1289)</f>
        <v/>
      </c>
    </row>
    <row r="1290" customFormat="false" ht="15" hidden="false" customHeight="false" outlineLevel="0" collapsed="false">
      <c r="A1290" s="15"/>
      <c r="B1290" s="21"/>
      <c r="C1290" s="21" t="str">
        <f aca="false">IF(B1290="","",IFERROR(INDEX(代理店一覧!$B$5:$B$204,MATCH(B1290,代理店一覧!$A$5:$A$204,0)),"※未登録のID"))</f>
        <v/>
      </c>
      <c r="D1290" s="21"/>
      <c r="E1290" s="21"/>
      <c r="F1290" s="21"/>
      <c r="G1290" s="18"/>
      <c r="H1290" s="21"/>
      <c r="I1290" s="26"/>
      <c r="J1290" s="15"/>
      <c r="K1290" s="27"/>
      <c r="L1290" s="25" t="str">
        <f aca="false">IF(B1290="","",B1290&amp;"|"&amp;J1290)</f>
        <v/>
      </c>
    </row>
    <row r="1291" customFormat="false" ht="15" hidden="false" customHeight="false" outlineLevel="0" collapsed="false">
      <c r="A1291" s="15"/>
      <c r="B1291" s="21"/>
      <c r="C1291" s="21" t="str">
        <f aca="false">IF(B1291="","",IFERROR(INDEX(代理店一覧!$B$5:$B$204,MATCH(B1291,代理店一覧!$A$5:$A$204,0)),"※未登録のID"))</f>
        <v/>
      </c>
      <c r="D1291" s="21"/>
      <c r="E1291" s="21"/>
      <c r="F1291" s="21"/>
      <c r="G1291" s="18"/>
      <c r="H1291" s="21"/>
      <c r="I1291" s="26"/>
      <c r="J1291" s="15"/>
      <c r="K1291" s="27"/>
      <c r="L1291" s="25" t="str">
        <f aca="false">IF(B1291="","",B1291&amp;"|"&amp;J1291)</f>
        <v/>
      </c>
    </row>
    <row r="1292" customFormat="false" ht="15" hidden="false" customHeight="false" outlineLevel="0" collapsed="false">
      <c r="A1292" s="15"/>
      <c r="B1292" s="21"/>
      <c r="C1292" s="21" t="str">
        <f aca="false">IF(B1292="","",IFERROR(INDEX(代理店一覧!$B$5:$B$204,MATCH(B1292,代理店一覧!$A$5:$A$204,0)),"※未登録のID"))</f>
        <v/>
      </c>
      <c r="D1292" s="21"/>
      <c r="E1292" s="21"/>
      <c r="F1292" s="21"/>
      <c r="G1292" s="18"/>
      <c r="H1292" s="21"/>
      <c r="I1292" s="26"/>
      <c r="J1292" s="15"/>
      <c r="K1292" s="27"/>
      <c r="L1292" s="25" t="str">
        <f aca="false">IF(B1292="","",B1292&amp;"|"&amp;J1292)</f>
        <v/>
      </c>
    </row>
    <row r="1293" customFormat="false" ht="15" hidden="false" customHeight="false" outlineLevel="0" collapsed="false">
      <c r="A1293" s="15"/>
      <c r="B1293" s="21"/>
      <c r="C1293" s="21" t="str">
        <f aca="false">IF(B1293="","",IFERROR(INDEX(代理店一覧!$B$5:$B$204,MATCH(B1293,代理店一覧!$A$5:$A$204,0)),"※未登録のID"))</f>
        <v/>
      </c>
      <c r="D1293" s="21"/>
      <c r="E1293" s="21"/>
      <c r="F1293" s="21"/>
      <c r="G1293" s="18"/>
      <c r="H1293" s="21"/>
      <c r="I1293" s="26"/>
      <c r="J1293" s="15"/>
      <c r="K1293" s="27"/>
      <c r="L1293" s="25" t="str">
        <f aca="false">IF(B1293="","",B1293&amp;"|"&amp;J1293)</f>
        <v/>
      </c>
    </row>
    <row r="1294" customFormat="false" ht="15" hidden="false" customHeight="false" outlineLevel="0" collapsed="false">
      <c r="A1294" s="15"/>
      <c r="B1294" s="21"/>
      <c r="C1294" s="21" t="str">
        <f aca="false">IF(B1294="","",IFERROR(INDEX(代理店一覧!$B$5:$B$204,MATCH(B1294,代理店一覧!$A$5:$A$204,0)),"※未登録のID"))</f>
        <v/>
      </c>
      <c r="D1294" s="21"/>
      <c r="E1294" s="21"/>
      <c r="F1294" s="21"/>
      <c r="G1294" s="18"/>
      <c r="H1294" s="21"/>
      <c r="I1294" s="26"/>
      <c r="J1294" s="15"/>
      <c r="K1294" s="27"/>
      <c r="L1294" s="25" t="str">
        <f aca="false">IF(B1294="","",B1294&amp;"|"&amp;J1294)</f>
        <v/>
      </c>
    </row>
    <row r="1295" customFormat="false" ht="15" hidden="false" customHeight="false" outlineLevel="0" collapsed="false">
      <c r="A1295" s="15"/>
      <c r="B1295" s="21"/>
      <c r="C1295" s="21" t="str">
        <f aca="false">IF(B1295="","",IFERROR(INDEX(代理店一覧!$B$5:$B$204,MATCH(B1295,代理店一覧!$A$5:$A$204,0)),"※未登録のID"))</f>
        <v/>
      </c>
      <c r="D1295" s="21"/>
      <c r="E1295" s="21"/>
      <c r="F1295" s="21"/>
      <c r="G1295" s="18"/>
      <c r="H1295" s="21"/>
      <c r="I1295" s="26"/>
      <c r="J1295" s="15"/>
      <c r="K1295" s="27"/>
      <c r="L1295" s="25" t="str">
        <f aca="false">IF(B1295="","",B1295&amp;"|"&amp;J1295)</f>
        <v/>
      </c>
    </row>
    <row r="1296" customFormat="false" ht="15" hidden="false" customHeight="false" outlineLevel="0" collapsed="false">
      <c r="A1296" s="15"/>
      <c r="B1296" s="21"/>
      <c r="C1296" s="21" t="str">
        <f aca="false">IF(B1296="","",IFERROR(INDEX(代理店一覧!$B$5:$B$204,MATCH(B1296,代理店一覧!$A$5:$A$204,0)),"※未登録のID"))</f>
        <v/>
      </c>
      <c r="D1296" s="21"/>
      <c r="E1296" s="21"/>
      <c r="F1296" s="21"/>
      <c r="G1296" s="18"/>
      <c r="H1296" s="21"/>
      <c r="I1296" s="26"/>
      <c r="J1296" s="15"/>
      <c r="K1296" s="27"/>
      <c r="L1296" s="25" t="str">
        <f aca="false">IF(B1296="","",B1296&amp;"|"&amp;J1296)</f>
        <v/>
      </c>
    </row>
    <row r="1297" customFormat="false" ht="15" hidden="false" customHeight="false" outlineLevel="0" collapsed="false">
      <c r="A1297" s="15"/>
      <c r="B1297" s="21"/>
      <c r="C1297" s="21" t="str">
        <f aca="false">IF(B1297="","",IFERROR(INDEX(代理店一覧!$B$5:$B$204,MATCH(B1297,代理店一覧!$A$5:$A$204,0)),"※未登録のID"))</f>
        <v/>
      </c>
      <c r="D1297" s="21"/>
      <c r="E1297" s="21"/>
      <c r="F1297" s="21"/>
      <c r="G1297" s="18"/>
      <c r="H1297" s="21"/>
      <c r="I1297" s="26"/>
      <c r="J1297" s="15"/>
      <c r="K1297" s="27"/>
      <c r="L1297" s="25" t="str">
        <f aca="false">IF(B1297="","",B1297&amp;"|"&amp;J1297)</f>
        <v/>
      </c>
    </row>
    <row r="1298" customFormat="false" ht="15" hidden="false" customHeight="false" outlineLevel="0" collapsed="false">
      <c r="A1298" s="15"/>
      <c r="B1298" s="21"/>
      <c r="C1298" s="21" t="str">
        <f aca="false">IF(B1298="","",IFERROR(INDEX(代理店一覧!$B$5:$B$204,MATCH(B1298,代理店一覧!$A$5:$A$204,0)),"※未登録のID"))</f>
        <v/>
      </c>
      <c r="D1298" s="21"/>
      <c r="E1298" s="21"/>
      <c r="F1298" s="21"/>
      <c r="G1298" s="18"/>
      <c r="H1298" s="21"/>
      <c r="I1298" s="26"/>
      <c r="J1298" s="15"/>
      <c r="K1298" s="27"/>
      <c r="L1298" s="25" t="str">
        <f aca="false">IF(B1298="","",B1298&amp;"|"&amp;J1298)</f>
        <v/>
      </c>
    </row>
    <row r="1299" customFormat="false" ht="15" hidden="false" customHeight="false" outlineLevel="0" collapsed="false">
      <c r="A1299" s="15"/>
      <c r="B1299" s="21"/>
      <c r="C1299" s="21" t="str">
        <f aca="false">IF(B1299="","",IFERROR(INDEX(代理店一覧!$B$5:$B$204,MATCH(B1299,代理店一覧!$A$5:$A$204,0)),"※未登録のID"))</f>
        <v/>
      </c>
      <c r="D1299" s="21"/>
      <c r="E1299" s="21"/>
      <c r="F1299" s="21"/>
      <c r="G1299" s="18"/>
      <c r="H1299" s="21"/>
      <c r="I1299" s="26"/>
      <c r="J1299" s="15"/>
      <c r="K1299" s="27"/>
      <c r="L1299" s="25" t="str">
        <f aca="false">IF(B1299="","",B1299&amp;"|"&amp;J1299)</f>
        <v/>
      </c>
    </row>
    <row r="1300" customFormat="false" ht="15" hidden="false" customHeight="false" outlineLevel="0" collapsed="false">
      <c r="A1300" s="15"/>
      <c r="B1300" s="21"/>
      <c r="C1300" s="21" t="str">
        <f aca="false">IF(B1300="","",IFERROR(INDEX(代理店一覧!$B$5:$B$204,MATCH(B1300,代理店一覧!$A$5:$A$204,0)),"※未登録のID"))</f>
        <v/>
      </c>
      <c r="D1300" s="21"/>
      <c r="E1300" s="21"/>
      <c r="F1300" s="21"/>
      <c r="G1300" s="18"/>
      <c r="H1300" s="21"/>
      <c r="I1300" s="26"/>
      <c r="J1300" s="15"/>
      <c r="K1300" s="27"/>
      <c r="L1300" s="25" t="str">
        <f aca="false">IF(B1300="","",B1300&amp;"|"&amp;J1300)</f>
        <v/>
      </c>
    </row>
    <row r="1301" customFormat="false" ht="15" hidden="false" customHeight="false" outlineLevel="0" collapsed="false">
      <c r="A1301" s="15"/>
      <c r="B1301" s="21"/>
      <c r="C1301" s="21" t="str">
        <f aca="false">IF(B1301="","",IFERROR(INDEX(代理店一覧!$B$5:$B$204,MATCH(B1301,代理店一覧!$A$5:$A$204,0)),"※未登録のID"))</f>
        <v/>
      </c>
      <c r="D1301" s="21"/>
      <c r="E1301" s="21"/>
      <c r="F1301" s="21"/>
      <c r="G1301" s="18"/>
      <c r="H1301" s="21"/>
      <c r="I1301" s="26"/>
      <c r="J1301" s="15"/>
      <c r="K1301" s="27"/>
      <c r="L1301" s="25" t="str">
        <f aca="false">IF(B1301="","",B1301&amp;"|"&amp;J1301)</f>
        <v/>
      </c>
    </row>
    <row r="1302" customFormat="false" ht="15" hidden="false" customHeight="false" outlineLevel="0" collapsed="false">
      <c r="A1302" s="15"/>
      <c r="B1302" s="21"/>
      <c r="C1302" s="21" t="str">
        <f aca="false">IF(B1302="","",IFERROR(INDEX(代理店一覧!$B$5:$B$204,MATCH(B1302,代理店一覧!$A$5:$A$204,0)),"※未登録のID"))</f>
        <v/>
      </c>
      <c r="D1302" s="21"/>
      <c r="E1302" s="21"/>
      <c r="F1302" s="21"/>
      <c r="G1302" s="18"/>
      <c r="H1302" s="21"/>
      <c r="I1302" s="26"/>
      <c r="J1302" s="15"/>
      <c r="K1302" s="27"/>
      <c r="L1302" s="25" t="str">
        <f aca="false">IF(B1302="","",B1302&amp;"|"&amp;J1302)</f>
        <v/>
      </c>
    </row>
    <row r="1303" customFormat="false" ht="15" hidden="false" customHeight="false" outlineLevel="0" collapsed="false">
      <c r="A1303" s="15"/>
      <c r="B1303" s="21"/>
      <c r="C1303" s="21" t="str">
        <f aca="false">IF(B1303="","",IFERROR(INDEX(代理店一覧!$B$5:$B$204,MATCH(B1303,代理店一覧!$A$5:$A$204,0)),"※未登録のID"))</f>
        <v/>
      </c>
      <c r="D1303" s="21"/>
      <c r="E1303" s="21"/>
      <c r="F1303" s="21"/>
      <c r="G1303" s="18"/>
      <c r="H1303" s="21"/>
      <c r="I1303" s="26"/>
      <c r="J1303" s="15"/>
      <c r="K1303" s="27"/>
      <c r="L1303" s="25" t="str">
        <f aca="false">IF(B1303="","",B1303&amp;"|"&amp;J1303)</f>
        <v/>
      </c>
    </row>
    <row r="1304" customFormat="false" ht="15" hidden="false" customHeight="false" outlineLevel="0" collapsed="false">
      <c r="A1304" s="15"/>
      <c r="B1304" s="21"/>
      <c r="C1304" s="21" t="str">
        <f aca="false">IF(B1304="","",IFERROR(INDEX(代理店一覧!$B$5:$B$204,MATCH(B1304,代理店一覧!$A$5:$A$204,0)),"※未登録のID"))</f>
        <v/>
      </c>
      <c r="D1304" s="21"/>
      <c r="E1304" s="21"/>
      <c r="F1304" s="21"/>
      <c r="G1304" s="18"/>
      <c r="H1304" s="21"/>
      <c r="I1304" s="26"/>
      <c r="J1304" s="15"/>
      <c r="K1304" s="27"/>
      <c r="L1304" s="25" t="str">
        <f aca="false">IF(B1304="","",B1304&amp;"|"&amp;J1304)</f>
        <v/>
      </c>
    </row>
    <row r="1305" customFormat="false" ht="15" hidden="false" customHeight="false" outlineLevel="0" collapsed="false">
      <c r="A1305" s="15"/>
      <c r="B1305" s="21"/>
      <c r="C1305" s="21" t="str">
        <f aca="false">IF(B1305="","",IFERROR(INDEX(代理店一覧!$B$5:$B$204,MATCH(B1305,代理店一覧!$A$5:$A$204,0)),"※未登録のID"))</f>
        <v/>
      </c>
      <c r="D1305" s="21"/>
      <c r="E1305" s="21"/>
      <c r="F1305" s="21"/>
      <c r="G1305" s="18"/>
      <c r="H1305" s="21"/>
      <c r="I1305" s="26"/>
      <c r="J1305" s="15"/>
      <c r="K1305" s="27"/>
      <c r="L1305" s="25" t="str">
        <f aca="false">IF(B1305="","",B1305&amp;"|"&amp;J1305)</f>
        <v/>
      </c>
    </row>
    <row r="1306" customFormat="false" ht="15" hidden="false" customHeight="false" outlineLevel="0" collapsed="false">
      <c r="A1306" s="15"/>
      <c r="B1306" s="21"/>
      <c r="C1306" s="21" t="str">
        <f aca="false">IF(B1306="","",IFERROR(INDEX(代理店一覧!$B$5:$B$204,MATCH(B1306,代理店一覧!$A$5:$A$204,0)),"※未登録のID"))</f>
        <v/>
      </c>
      <c r="D1306" s="21"/>
      <c r="E1306" s="21"/>
      <c r="F1306" s="21"/>
      <c r="G1306" s="18"/>
      <c r="H1306" s="21"/>
      <c r="I1306" s="26"/>
      <c r="J1306" s="15"/>
      <c r="K1306" s="27"/>
      <c r="L1306" s="25" t="str">
        <f aca="false">IF(B1306="","",B1306&amp;"|"&amp;J1306)</f>
        <v/>
      </c>
    </row>
    <row r="1307" customFormat="false" ht="15" hidden="false" customHeight="false" outlineLevel="0" collapsed="false">
      <c r="A1307" s="15"/>
      <c r="B1307" s="21"/>
      <c r="C1307" s="21" t="str">
        <f aca="false">IF(B1307="","",IFERROR(INDEX(代理店一覧!$B$5:$B$204,MATCH(B1307,代理店一覧!$A$5:$A$204,0)),"※未登録のID"))</f>
        <v/>
      </c>
      <c r="D1307" s="21"/>
      <c r="E1307" s="21"/>
      <c r="F1307" s="21"/>
      <c r="G1307" s="18"/>
      <c r="H1307" s="21"/>
      <c r="I1307" s="26"/>
      <c r="J1307" s="15"/>
      <c r="K1307" s="27"/>
      <c r="L1307" s="25" t="str">
        <f aca="false">IF(B1307="","",B1307&amp;"|"&amp;J1307)</f>
        <v/>
      </c>
    </row>
    <row r="1308" customFormat="false" ht="15" hidden="false" customHeight="false" outlineLevel="0" collapsed="false">
      <c r="A1308" s="15"/>
      <c r="B1308" s="21"/>
      <c r="C1308" s="21" t="str">
        <f aca="false">IF(B1308="","",IFERROR(INDEX(代理店一覧!$B$5:$B$204,MATCH(B1308,代理店一覧!$A$5:$A$204,0)),"※未登録のID"))</f>
        <v/>
      </c>
      <c r="D1308" s="21"/>
      <c r="E1308" s="21"/>
      <c r="F1308" s="21"/>
      <c r="G1308" s="18"/>
      <c r="H1308" s="21"/>
      <c r="I1308" s="26"/>
      <c r="J1308" s="15"/>
      <c r="K1308" s="27"/>
      <c r="L1308" s="25" t="str">
        <f aca="false">IF(B1308="","",B1308&amp;"|"&amp;J1308)</f>
        <v/>
      </c>
    </row>
    <row r="1309" customFormat="false" ht="15" hidden="false" customHeight="false" outlineLevel="0" collapsed="false">
      <c r="A1309" s="15"/>
      <c r="B1309" s="21"/>
      <c r="C1309" s="21" t="str">
        <f aca="false">IF(B1309="","",IFERROR(INDEX(代理店一覧!$B$5:$B$204,MATCH(B1309,代理店一覧!$A$5:$A$204,0)),"※未登録のID"))</f>
        <v/>
      </c>
      <c r="D1309" s="21"/>
      <c r="E1309" s="21"/>
      <c r="F1309" s="21"/>
      <c r="G1309" s="18"/>
      <c r="H1309" s="21"/>
      <c r="I1309" s="26"/>
      <c r="J1309" s="15"/>
      <c r="K1309" s="27"/>
      <c r="L1309" s="25" t="str">
        <f aca="false">IF(B1309="","",B1309&amp;"|"&amp;J1309)</f>
        <v/>
      </c>
    </row>
    <row r="1310" customFormat="false" ht="15" hidden="false" customHeight="false" outlineLevel="0" collapsed="false">
      <c r="A1310" s="15"/>
      <c r="B1310" s="21"/>
      <c r="C1310" s="21" t="str">
        <f aca="false">IF(B1310="","",IFERROR(INDEX(代理店一覧!$B$5:$B$204,MATCH(B1310,代理店一覧!$A$5:$A$204,0)),"※未登録のID"))</f>
        <v/>
      </c>
      <c r="D1310" s="21"/>
      <c r="E1310" s="21"/>
      <c r="F1310" s="21"/>
      <c r="G1310" s="18"/>
      <c r="H1310" s="21"/>
      <c r="I1310" s="26"/>
      <c r="J1310" s="15"/>
      <c r="K1310" s="27"/>
      <c r="L1310" s="25" t="str">
        <f aca="false">IF(B1310="","",B1310&amp;"|"&amp;J1310)</f>
        <v/>
      </c>
    </row>
    <row r="1311" customFormat="false" ht="15" hidden="false" customHeight="false" outlineLevel="0" collapsed="false">
      <c r="A1311" s="15"/>
      <c r="B1311" s="21"/>
      <c r="C1311" s="21" t="str">
        <f aca="false">IF(B1311="","",IFERROR(INDEX(代理店一覧!$B$5:$B$204,MATCH(B1311,代理店一覧!$A$5:$A$204,0)),"※未登録のID"))</f>
        <v/>
      </c>
      <c r="D1311" s="21"/>
      <c r="E1311" s="21"/>
      <c r="F1311" s="21"/>
      <c r="G1311" s="18"/>
      <c r="H1311" s="21"/>
      <c r="I1311" s="26"/>
      <c r="J1311" s="15"/>
      <c r="K1311" s="27"/>
      <c r="L1311" s="25" t="str">
        <f aca="false">IF(B1311="","",B1311&amp;"|"&amp;J1311)</f>
        <v/>
      </c>
    </row>
    <row r="1312" customFormat="false" ht="15" hidden="false" customHeight="false" outlineLevel="0" collapsed="false">
      <c r="A1312" s="15"/>
      <c r="B1312" s="21"/>
      <c r="C1312" s="21" t="str">
        <f aca="false">IF(B1312="","",IFERROR(INDEX(代理店一覧!$B$5:$B$204,MATCH(B1312,代理店一覧!$A$5:$A$204,0)),"※未登録のID"))</f>
        <v/>
      </c>
      <c r="D1312" s="21"/>
      <c r="E1312" s="21"/>
      <c r="F1312" s="21"/>
      <c r="G1312" s="18"/>
      <c r="H1312" s="21"/>
      <c r="I1312" s="26"/>
      <c r="J1312" s="15"/>
      <c r="K1312" s="27"/>
      <c r="L1312" s="25" t="str">
        <f aca="false">IF(B1312="","",B1312&amp;"|"&amp;J1312)</f>
        <v/>
      </c>
    </row>
    <row r="1313" customFormat="false" ht="15" hidden="false" customHeight="false" outlineLevel="0" collapsed="false">
      <c r="A1313" s="15"/>
      <c r="B1313" s="21"/>
      <c r="C1313" s="21" t="str">
        <f aca="false">IF(B1313="","",IFERROR(INDEX(代理店一覧!$B$5:$B$204,MATCH(B1313,代理店一覧!$A$5:$A$204,0)),"※未登録のID"))</f>
        <v/>
      </c>
      <c r="D1313" s="21"/>
      <c r="E1313" s="21"/>
      <c r="F1313" s="21"/>
      <c r="G1313" s="18"/>
      <c r="H1313" s="21"/>
      <c r="I1313" s="26"/>
      <c r="J1313" s="15"/>
      <c r="K1313" s="27"/>
      <c r="L1313" s="25" t="str">
        <f aca="false">IF(B1313="","",B1313&amp;"|"&amp;J1313)</f>
        <v/>
      </c>
    </row>
    <row r="1314" customFormat="false" ht="15" hidden="false" customHeight="false" outlineLevel="0" collapsed="false">
      <c r="A1314" s="15"/>
      <c r="B1314" s="21"/>
      <c r="C1314" s="21" t="str">
        <f aca="false">IF(B1314="","",IFERROR(INDEX(代理店一覧!$B$5:$B$204,MATCH(B1314,代理店一覧!$A$5:$A$204,0)),"※未登録のID"))</f>
        <v/>
      </c>
      <c r="D1314" s="21"/>
      <c r="E1314" s="21"/>
      <c r="F1314" s="21"/>
      <c r="G1314" s="18"/>
      <c r="H1314" s="21"/>
      <c r="I1314" s="26"/>
      <c r="J1314" s="15"/>
      <c r="K1314" s="27"/>
      <c r="L1314" s="25" t="str">
        <f aca="false">IF(B1314="","",B1314&amp;"|"&amp;J1314)</f>
        <v/>
      </c>
    </row>
    <row r="1315" customFormat="false" ht="15" hidden="false" customHeight="false" outlineLevel="0" collapsed="false">
      <c r="A1315" s="15"/>
      <c r="B1315" s="21"/>
      <c r="C1315" s="21" t="str">
        <f aca="false">IF(B1315="","",IFERROR(INDEX(代理店一覧!$B$5:$B$204,MATCH(B1315,代理店一覧!$A$5:$A$204,0)),"※未登録のID"))</f>
        <v/>
      </c>
      <c r="D1315" s="21"/>
      <c r="E1315" s="21"/>
      <c r="F1315" s="21"/>
      <c r="G1315" s="18"/>
      <c r="H1315" s="21"/>
      <c r="I1315" s="26"/>
      <c r="J1315" s="15"/>
      <c r="K1315" s="27"/>
      <c r="L1315" s="25" t="str">
        <f aca="false">IF(B1315="","",B1315&amp;"|"&amp;J1315)</f>
        <v/>
      </c>
    </row>
    <row r="1316" customFormat="false" ht="15" hidden="false" customHeight="false" outlineLevel="0" collapsed="false">
      <c r="A1316" s="15"/>
      <c r="B1316" s="21"/>
      <c r="C1316" s="21" t="str">
        <f aca="false">IF(B1316="","",IFERROR(INDEX(代理店一覧!$B$5:$B$204,MATCH(B1316,代理店一覧!$A$5:$A$204,0)),"※未登録のID"))</f>
        <v/>
      </c>
      <c r="D1316" s="21"/>
      <c r="E1316" s="21"/>
      <c r="F1316" s="21"/>
      <c r="G1316" s="18"/>
      <c r="H1316" s="21"/>
      <c r="I1316" s="26"/>
      <c r="J1316" s="15"/>
      <c r="K1316" s="27"/>
      <c r="L1316" s="25" t="str">
        <f aca="false">IF(B1316="","",B1316&amp;"|"&amp;J1316)</f>
        <v/>
      </c>
    </row>
    <row r="1317" customFormat="false" ht="15" hidden="false" customHeight="false" outlineLevel="0" collapsed="false">
      <c r="A1317" s="15"/>
      <c r="B1317" s="21"/>
      <c r="C1317" s="21" t="str">
        <f aca="false">IF(B1317="","",IFERROR(INDEX(代理店一覧!$B$5:$B$204,MATCH(B1317,代理店一覧!$A$5:$A$204,0)),"※未登録のID"))</f>
        <v/>
      </c>
      <c r="D1317" s="21"/>
      <c r="E1317" s="21"/>
      <c r="F1317" s="21"/>
      <c r="G1317" s="18"/>
      <c r="H1317" s="21"/>
      <c r="I1317" s="26"/>
      <c r="J1317" s="15"/>
      <c r="K1317" s="27"/>
      <c r="L1317" s="25" t="str">
        <f aca="false">IF(B1317="","",B1317&amp;"|"&amp;J1317)</f>
        <v/>
      </c>
    </row>
    <row r="1318" customFormat="false" ht="15" hidden="false" customHeight="false" outlineLevel="0" collapsed="false">
      <c r="A1318" s="15"/>
      <c r="B1318" s="21"/>
      <c r="C1318" s="21" t="str">
        <f aca="false">IF(B1318="","",IFERROR(INDEX(代理店一覧!$B$5:$B$204,MATCH(B1318,代理店一覧!$A$5:$A$204,0)),"※未登録のID"))</f>
        <v/>
      </c>
      <c r="D1318" s="21"/>
      <c r="E1318" s="21"/>
      <c r="F1318" s="21"/>
      <c r="G1318" s="18"/>
      <c r="H1318" s="21"/>
      <c r="I1318" s="26"/>
      <c r="J1318" s="15"/>
      <c r="K1318" s="27"/>
      <c r="L1318" s="25" t="str">
        <f aca="false">IF(B1318="","",B1318&amp;"|"&amp;J1318)</f>
        <v/>
      </c>
    </row>
    <row r="1319" customFormat="false" ht="15" hidden="false" customHeight="false" outlineLevel="0" collapsed="false">
      <c r="A1319" s="15"/>
      <c r="B1319" s="21"/>
      <c r="C1319" s="21" t="str">
        <f aca="false">IF(B1319="","",IFERROR(INDEX(代理店一覧!$B$5:$B$204,MATCH(B1319,代理店一覧!$A$5:$A$204,0)),"※未登録のID"))</f>
        <v/>
      </c>
      <c r="D1319" s="21"/>
      <c r="E1319" s="21"/>
      <c r="F1319" s="21"/>
      <c r="G1319" s="18"/>
      <c r="H1319" s="21"/>
      <c r="I1319" s="26"/>
      <c r="J1319" s="15"/>
      <c r="K1319" s="27"/>
      <c r="L1319" s="25" t="str">
        <f aca="false">IF(B1319="","",B1319&amp;"|"&amp;J1319)</f>
        <v/>
      </c>
    </row>
    <row r="1320" customFormat="false" ht="15" hidden="false" customHeight="false" outlineLevel="0" collapsed="false">
      <c r="A1320" s="15"/>
      <c r="B1320" s="21"/>
      <c r="C1320" s="21" t="str">
        <f aca="false">IF(B1320="","",IFERROR(INDEX(代理店一覧!$B$5:$B$204,MATCH(B1320,代理店一覧!$A$5:$A$204,0)),"※未登録のID"))</f>
        <v/>
      </c>
      <c r="D1320" s="21"/>
      <c r="E1320" s="21"/>
      <c r="F1320" s="21"/>
      <c r="G1320" s="18"/>
      <c r="H1320" s="21"/>
      <c r="I1320" s="26"/>
      <c r="J1320" s="15"/>
      <c r="K1320" s="27"/>
      <c r="L1320" s="25" t="str">
        <f aca="false">IF(B1320="","",B1320&amp;"|"&amp;J1320)</f>
        <v/>
      </c>
    </row>
    <row r="1321" customFormat="false" ht="15" hidden="false" customHeight="false" outlineLevel="0" collapsed="false">
      <c r="A1321" s="15"/>
      <c r="B1321" s="21"/>
      <c r="C1321" s="21" t="str">
        <f aca="false">IF(B1321="","",IFERROR(INDEX(代理店一覧!$B$5:$B$204,MATCH(B1321,代理店一覧!$A$5:$A$204,0)),"※未登録のID"))</f>
        <v/>
      </c>
      <c r="D1321" s="21"/>
      <c r="E1321" s="21"/>
      <c r="F1321" s="21"/>
      <c r="G1321" s="18"/>
      <c r="H1321" s="21"/>
      <c r="I1321" s="26"/>
      <c r="J1321" s="15"/>
      <c r="K1321" s="27"/>
      <c r="L1321" s="25" t="str">
        <f aca="false">IF(B1321="","",B1321&amp;"|"&amp;J1321)</f>
        <v/>
      </c>
    </row>
    <row r="1322" customFormat="false" ht="15" hidden="false" customHeight="false" outlineLevel="0" collapsed="false">
      <c r="A1322" s="15"/>
      <c r="B1322" s="21"/>
      <c r="C1322" s="21" t="str">
        <f aca="false">IF(B1322="","",IFERROR(INDEX(代理店一覧!$B$5:$B$204,MATCH(B1322,代理店一覧!$A$5:$A$204,0)),"※未登録のID"))</f>
        <v/>
      </c>
      <c r="D1322" s="21"/>
      <c r="E1322" s="21"/>
      <c r="F1322" s="21"/>
      <c r="G1322" s="18"/>
      <c r="H1322" s="21"/>
      <c r="I1322" s="26"/>
      <c r="J1322" s="15"/>
      <c r="K1322" s="27"/>
      <c r="L1322" s="25" t="str">
        <f aca="false">IF(B1322="","",B1322&amp;"|"&amp;J1322)</f>
        <v/>
      </c>
    </row>
    <row r="1323" customFormat="false" ht="15" hidden="false" customHeight="false" outlineLevel="0" collapsed="false">
      <c r="A1323" s="15"/>
      <c r="B1323" s="21"/>
      <c r="C1323" s="21" t="str">
        <f aca="false">IF(B1323="","",IFERROR(INDEX(代理店一覧!$B$5:$B$204,MATCH(B1323,代理店一覧!$A$5:$A$204,0)),"※未登録のID"))</f>
        <v/>
      </c>
      <c r="D1323" s="21"/>
      <c r="E1323" s="21"/>
      <c r="F1323" s="21"/>
      <c r="G1323" s="18"/>
      <c r="H1323" s="21"/>
      <c r="I1323" s="26"/>
      <c r="J1323" s="15"/>
      <c r="K1323" s="27"/>
      <c r="L1323" s="25" t="str">
        <f aca="false">IF(B1323="","",B1323&amp;"|"&amp;J1323)</f>
        <v/>
      </c>
    </row>
    <row r="1324" customFormat="false" ht="15" hidden="false" customHeight="false" outlineLevel="0" collapsed="false">
      <c r="A1324" s="15"/>
      <c r="B1324" s="21"/>
      <c r="C1324" s="21" t="str">
        <f aca="false">IF(B1324="","",IFERROR(INDEX(代理店一覧!$B$5:$B$204,MATCH(B1324,代理店一覧!$A$5:$A$204,0)),"※未登録のID"))</f>
        <v/>
      </c>
      <c r="D1324" s="21"/>
      <c r="E1324" s="21"/>
      <c r="F1324" s="21"/>
      <c r="G1324" s="18"/>
      <c r="H1324" s="21"/>
      <c r="I1324" s="26"/>
      <c r="J1324" s="15"/>
      <c r="K1324" s="27"/>
      <c r="L1324" s="25" t="str">
        <f aca="false">IF(B1324="","",B1324&amp;"|"&amp;J1324)</f>
        <v/>
      </c>
    </row>
    <row r="1325" customFormat="false" ht="15" hidden="false" customHeight="false" outlineLevel="0" collapsed="false">
      <c r="A1325" s="15"/>
      <c r="B1325" s="21"/>
      <c r="C1325" s="21" t="str">
        <f aca="false">IF(B1325="","",IFERROR(INDEX(代理店一覧!$B$5:$B$204,MATCH(B1325,代理店一覧!$A$5:$A$204,0)),"※未登録のID"))</f>
        <v/>
      </c>
      <c r="D1325" s="21"/>
      <c r="E1325" s="21"/>
      <c r="F1325" s="21"/>
      <c r="G1325" s="18"/>
      <c r="H1325" s="21"/>
      <c r="I1325" s="26"/>
      <c r="J1325" s="15"/>
      <c r="K1325" s="27"/>
      <c r="L1325" s="25" t="str">
        <f aca="false">IF(B1325="","",B1325&amp;"|"&amp;J1325)</f>
        <v/>
      </c>
    </row>
    <row r="1326" customFormat="false" ht="15" hidden="false" customHeight="false" outlineLevel="0" collapsed="false">
      <c r="A1326" s="15"/>
      <c r="B1326" s="21"/>
      <c r="C1326" s="21" t="str">
        <f aca="false">IF(B1326="","",IFERROR(INDEX(代理店一覧!$B$5:$B$204,MATCH(B1326,代理店一覧!$A$5:$A$204,0)),"※未登録のID"))</f>
        <v/>
      </c>
      <c r="D1326" s="21"/>
      <c r="E1326" s="21"/>
      <c r="F1326" s="21"/>
      <c r="G1326" s="18"/>
      <c r="H1326" s="21"/>
      <c r="I1326" s="26"/>
      <c r="J1326" s="15"/>
      <c r="K1326" s="27"/>
      <c r="L1326" s="25" t="str">
        <f aca="false">IF(B1326="","",B1326&amp;"|"&amp;J1326)</f>
        <v/>
      </c>
    </row>
    <row r="1327" customFormat="false" ht="15" hidden="false" customHeight="false" outlineLevel="0" collapsed="false">
      <c r="A1327" s="15"/>
      <c r="B1327" s="21"/>
      <c r="C1327" s="21" t="str">
        <f aca="false">IF(B1327="","",IFERROR(INDEX(代理店一覧!$B$5:$B$204,MATCH(B1327,代理店一覧!$A$5:$A$204,0)),"※未登録のID"))</f>
        <v/>
      </c>
      <c r="D1327" s="21"/>
      <c r="E1327" s="21"/>
      <c r="F1327" s="21"/>
      <c r="G1327" s="18"/>
      <c r="H1327" s="21"/>
      <c r="I1327" s="26"/>
      <c r="J1327" s="15"/>
      <c r="K1327" s="27"/>
      <c r="L1327" s="25" t="str">
        <f aca="false">IF(B1327="","",B1327&amp;"|"&amp;J1327)</f>
        <v/>
      </c>
    </row>
    <row r="1328" customFormat="false" ht="15" hidden="false" customHeight="false" outlineLevel="0" collapsed="false">
      <c r="A1328" s="15"/>
      <c r="B1328" s="21"/>
      <c r="C1328" s="21" t="str">
        <f aca="false">IF(B1328="","",IFERROR(INDEX(代理店一覧!$B$5:$B$204,MATCH(B1328,代理店一覧!$A$5:$A$204,0)),"※未登録のID"))</f>
        <v/>
      </c>
      <c r="D1328" s="21"/>
      <c r="E1328" s="21"/>
      <c r="F1328" s="21"/>
      <c r="G1328" s="18"/>
      <c r="H1328" s="21"/>
      <c r="I1328" s="26"/>
      <c r="J1328" s="15"/>
      <c r="K1328" s="27"/>
      <c r="L1328" s="25" t="str">
        <f aca="false">IF(B1328="","",B1328&amp;"|"&amp;J1328)</f>
        <v/>
      </c>
    </row>
    <row r="1329" customFormat="false" ht="15" hidden="false" customHeight="false" outlineLevel="0" collapsed="false">
      <c r="A1329" s="15"/>
      <c r="B1329" s="21"/>
      <c r="C1329" s="21" t="str">
        <f aca="false">IF(B1329="","",IFERROR(INDEX(代理店一覧!$B$5:$B$204,MATCH(B1329,代理店一覧!$A$5:$A$204,0)),"※未登録のID"))</f>
        <v/>
      </c>
      <c r="D1329" s="21"/>
      <c r="E1329" s="21"/>
      <c r="F1329" s="21"/>
      <c r="G1329" s="18"/>
      <c r="H1329" s="21"/>
      <c r="I1329" s="26"/>
      <c r="J1329" s="15"/>
      <c r="K1329" s="27"/>
      <c r="L1329" s="25" t="str">
        <f aca="false">IF(B1329="","",B1329&amp;"|"&amp;J1329)</f>
        <v/>
      </c>
    </row>
    <row r="1330" customFormat="false" ht="15" hidden="false" customHeight="false" outlineLevel="0" collapsed="false">
      <c r="A1330" s="15"/>
      <c r="B1330" s="21"/>
      <c r="C1330" s="21" t="str">
        <f aca="false">IF(B1330="","",IFERROR(INDEX(代理店一覧!$B$5:$B$204,MATCH(B1330,代理店一覧!$A$5:$A$204,0)),"※未登録のID"))</f>
        <v/>
      </c>
      <c r="D1330" s="21"/>
      <c r="E1330" s="21"/>
      <c r="F1330" s="21"/>
      <c r="G1330" s="18"/>
      <c r="H1330" s="21"/>
      <c r="I1330" s="26"/>
      <c r="J1330" s="15"/>
      <c r="K1330" s="27"/>
      <c r="L1330" s="25" t="str">
        <f aca="false">IF(B1330="","",B1330&amp;"|"&amp;J1330)</f>
        <v/>
      </c>
    </row>
    <row r="1331" customFormat="false" ht="15" hidden="false" customHeight="false" outlineLevel="0" collapsed="false">
      <c r="A1331" s="15"/>
      <c r="B1331" s="21"/>
      <c r="C1331" s="21" t="str">
        <f aca="false">IF(B1331="","",IFERROR(INDEX(代理店一覧!$B$5:$B$204,MATCH(B1331,代理店一覧!$A$5:$A$204,0)),"※未登録のID"))</f>
        <v/>
      </c>
      <c r="D1331" s="21"/>
      <c r="E1331" s="21"/>
      <c r="F1331" s="21"/>
      <c r="G1331" s="18"/>
      <c r="H1331" s="21"/>
      <c r="I1331" s="26"/>
      <c r="J1331" s="15"/>
      <c r="K1331" s="27"/>
      <c r="L1331" s="25" t="str">
        <f aca="false">IF(B1331="","",B1331&amp;"|"&amp;J1331)</f>
        <v/>
      </c>
    </row>
    <row r="1332" customFormat="false" ht="15" hidden="false" customHeight="false" outlineLevel="0" collapsed="false">
      <c r="A1332" s="15"/>
      <c r="B1332" s="21"/>
      <c r="C1332" s="21" t="str">
        <f aca="false">IF(B1332="","",IFERROR(INDEX(代理店一覧!$B$5:$B$204,MATCH(B1332,代理店一覧!$A$5:$A$204,0)),"※未登録のID"))</f>
        <v/>
      </c>
      <c r="D1332" s="21"/>
      <c r="E1332" s="21"/>
      <c r="F1332" s="21"/>
      <c r="G1332" s="18"/>
      <c r="H1332" s="21"/>
      <c r="I1332" s="26"/>
      <c r="J1332" s="15"/>
      <c r="K1332" s="27"/>
      <c r="L1332" s="25" t="str">
        <f aca="false">IF(B1332="","",B1332&amp;"|"&amp;J1332)</f>
        <v/>
      </c>
    </row>
    <row r="1333" customFormat="false" ht="15" hidden="false" customHeight="false" outlineLevel="0" collapsed="false">
      <c r="A1333" s="15"/>
      <c r="B1333" s="21"/>
      <c r="C1333" s="21" t="str">
        <f aca="false">IF(B1333="","",IFERROR(INDEX(代理店一覧!$B$5:$B$204,MATCH(B1333,代理店一覧!$A$5:$A$204,0)),"※未登録のID"))</f>
        <v/>
      </c>
      <c r="D1333" s="21"/>
      <c r="E1333" s="21"/>
      <c r="F1333" s="21"/>
      <c r="G1333" s="18"/>
      <c r="H1333" s="21"/>
      <c r="I1333" s="26"/>
      <c r="J1333" s="15"/>
      <c r="K1333" s="27"/>
      <c r="L1333" s="25" t="str">
        <f aca="false">IF(B1333="","",B1333&amp;"|"&amp;J1333)</f>
        <v/>
      </c>
    </row>
    <row r="1334" customFormat="false" ht="15" hidden="false" customHeight="false" outlineLevel="0" collapsed="false">
      <c r="A1334" s="15"/>
      <c r="B1334" s="21"/>
      <c r="C1334" s="21" t="str">
        <f aca="false">IF(B1334="","",IFERROR(INDEX(代理店一覧!$B$5:$B$204,MATCH(B1334,代理店一覧!$A$5:$A$204,0)),"※未登録のID"))</f>
        <v/>
      </c>
      <c r="D1334" s="21"/>
      <c r="E1334" s="21"/>
      <c r="F1334" s="21"/>
      <c r="G1334" s="18"/>
      <c r="H1334" s="21"/>
      <c r="I1334" s="26"/>
      <c r="J1334" s="15"/>
      <c r="K1334" s="27"/>
      <c r="L1334" s="25" t="str">
        <f aca="false">IF(B1334="","",B1334&amp;"|"&amp;J1334)</f>
        <v/>
      </c>
    </row>
    <row r="1335" customFormat="false" ht="15" hidden="false" customHeight="false" outlineLevel="0" collapsed="false">
      <c r="A1335" s="15"/>
      <c r="B1335" s="21"/>
      <c r="C1335" s="21" t="str">
        <f aca="false">IF(B1335="","",IFERROR(INDEX(代理店一覧!$B$5:$B$204,MATCH(B1335,代理店一覧!$A$5:$A$204,0)),"※未登録のID"))</f>
        <v/>
      </c>
      <c r="D1335" s="21"/>
      <c r="E1335" s="21"/>
      <c r="F1335" s="21"/>
      <c r="G1335" s="18"/>
      <c r="H1335" s="21"/>
      <c r="I1335" s="26"/>
      <c r="J1335" s="15"/>
      <c r="K1335" s="27"/>
      <c r="L1335" s="25" t="str">
        <f aca="false">IF(B1335="","",B1335&amp;"|"&amp;J1335)</f>
        <v/>
      </c>
    </row>
    <row r="1336" customFormat="false" ht="15" hidden="false" customHeight="false" outlineLevel="0" collapsed="false">
      <c r="A1336" s="15"/>
      <c r="B1336" s="21"/>
      <c r="C1336" s="21" t="str">
        <f aca="false">IF(B1336="","",IFERROR(INDEX(代理店一覧!$B$5:$B$204,MATCH(B1336,代理店一覧!$A$5:$A$204,0)),"※未登録のID"))</f>
        <v/>
      </c>
      <c r="D1336" s="21"/>
      <c r="E1336" s="21"/>
      <c r="F1336" s="21"/>
      <c r="G1336" s="18"/>
      <c r="H1336" s="21"/>
      <c r="I1336" s="26"/>
      <c r="J1336" s="15"/>
      <c r="K1336" s="27"/>
      <c r="L1336" s="25" t="str">
        <f aca="false">IF(B1336="","",B1336&amp;"|"&amp;J1336)</f>
        <v/>
      </c>
    </row>
    <row r="1337" customFormat="false" ht="15" hidden="false" customHeight="false" outlineLevel="0" collapsed="false">
      <c r="A1337" s="15"/>
      <c r="B1337" s="21"/>
      <c r="C1337" s="21" t="str">
        <f aca="false">IF(B1337="","",IFERROR(INDEX(代理店一覧!$B$5:$B$204,MATCH(B1337,代理店一覧!$A$5:$A$204,0)),"※未登録のID"))</f>
        <v/>
      </c>
      <c r="D1337" s="21"/>
      <c r="E1337" s="21"/>
      <c r="F1337" s="21"/>
      <c r="G1337" s="18"/>
      <c r="H1337" s="21"/>
      <c r="I1337" s="26"/>
      <c r="J1337" s="15"/>
      <c r="K1337" s="27"/>
      <c r="L1337" s="25" t="str">
        <f aca="false">IF(B1337="","",B1337&amp;"|"&amp;J1337)</f>
        <v/>
      </c>
    </row>
    <row r="1338" customFormat="false" ht="15" hidden="false" customHeight="false" outlineLevel="0" collapsed="false">
      <c r="A1338" s="15"/>
      <c r="B1338" s="21"/>
      <c r="C1338" s="21" t="str">
        <f aca="false">IF(B1338="","",IFERROR(INDEX(代理店一覧!$B$5:$B$204,MATCH(B1338,代理店一覧!$A$5:$A$204,0)),"※未登録のID"))</f>
        <v/>
      </c>
      <c r="D1338" s="21"/>
      <c r="E1338" s="21"/>
      <c r="F1338" s="21"/>
      <c r="G1338" s="18"/>
      <c r="H1338" s="21"/>
      <c r="I1338" s="26"/>
      <c r="J1338" s="15"/>
      <c r="K1338" s="27"/>
      <c r="L1338" s="25" t="str">
        <f aca="false">IF(B1338="","",B1338&amp;"|"&amp;J1338)</f>
        <v/>
      </c>
    </row>
    <row r="1339" customFormat="false" ht="15" hidden="false" customHeight="false" outlineLevel="0" collapsed="false">
      <c r="A1339" s="15"/>
      <c r="B1339" s="21"/>
      <c r="C1339" s="21" t="str">
        <f aca="false">IF(B1339="","",IFERROR(INDEX(代理店一覧!$B$5:$B$204,MATCH(B1339,代理店一覧!$A$5:$A$204,0)),"※未登録のID"))</f>
        <v/>
      </c>
      <c r="D1339" s="21"/>
      <c r="E1339" s="21"/>
      <c r="F1339" s="21"/>
      <c r="G1339" s="18"/>
      <c r="H1339" s="21"/>
      <c r="I1339" s="26"/>
      <c r="J1339" s="15"/>
      <c r="K1339" s="27"/>
      <c r="L1339" s="25" t="str">
        <f aca="false">IF(B1339="","",B1339&amp;"|"&amp;J1339)</f>
        <v/>
      </c>
    </row>
    <row r="1340" customFormat="false" ht="15" hidden="false" customHeight="false" outlineLevel="0" collapsed="false">
      <c r="A1340" s="15"/>
      <c r="B1340" s="21"/>
      <c r="C1340" s="21" t="str">
        <f aca="false">IF(B1340="","",IFERROR(INDEX(代理店一覧!$B$5:$B$204,MATCH(B1340,代理店一覧!$A$5:$A$204,0)),"※未登録のID"))</f>
        <v/>
      </c>
      <c r="D1340" s="21"/>
      <c r="E1340" s="21"/>
      <c r="F1340" s="21"/>
      <c r="G1340" s="18"/>
      <c r="H1340" s="21"/>
      <c r="I1340" s="26"/>
      <c r="J1340" s="15"/>
      <c r="K1340" s="27"/>
      <c r="L1340" s="25" t="str">
        <f aca="false">IF(B1340="","",B1340&amp;"|"&amp;J1340)</f>
        <v/>
      </c>
    </row>
    <row r="1341" customFormat="false" ht="15" hidden="false" customHeight="false" outlineLevel="0" collapsed="false">
      <c r="A1341" s="15"/>
      <c r="B1341" s="21"/>
      <c r="C1341" s="21" t="str">
        <f aca="false">IF(B1341="","",IFERROR(INDEX(代理店一覧!$B$5:$B$204,MATCH(B1341,代理店一覧!$A$5:$A$204,0)),"※未登録のID"))</f>
        <v/>
      </c>
      <c r="D1341" s="21"/>
      <c r="E1341" s="21"/>
      <c r="F1341" s="21"/>
      <c r="G1341" s="18"/>
      <c r="H1341" s="21"/>
      <c r="I1341" s="26"/>
      <c r="J1341" s="15"/>
      <c r="K1341" s="27"/>
      <c r="L1341" s="25" t="str">
        <f aca="false">IF(B1341="","",B1341&amp;"|"&amp;J1341)</f>
        <v/>
      </c>
    </row>
    <row r="1342" customFormat="false" ht="15" hidden="false" customHeight="false" outlineLevel="0" collapsed="false">
      <c r="A1342" s="15"/>
      <c r="B1342" s="21"/>
      <c r="C1342" s="21" t="str">
        <f aca="false">IF(B1342="","",IFERROR(INDEX(代理店一覧!$B$5:$B$204,MATCH(B1342,代理店一覧!$A$5:$A$204,0)),"※未登録のID"))</f>
        <v/>
      </c>
      <c r="D1342" s="21"/>
      <c r="E1342" s="21"/>
      <c r="F1342" s="21"/>
      <c r="G1342" s="18"/>
      <c r="H1342" s="21"/>
      <c r="I1342" s="26"/>
      <c r="J1342" s="15"/>
      <c r="K1342" s="27"/>
      <c r="L1342" s="25" t="str">
        <f aca="false">IF(B1342="","",B1342&amp;"|"&amp;J1342)</f>
        <v/>
      </c>
    </row>
    <row r="1343" customFormat="false" ht="15" hidden="false" customHeight="false" outlineLevel="0" collapsed="false">
      <c r="A1343" s="15"/>
      <c r="B1343" s="21"/>
      <c r="C1343" s="21" t="str">
        <f aca="false">IF(B1343="","",IFERROR(INDEX(代理店一覧!$B$5:$B$204,MATCH(B1343,代理店一覧!$A$5:$A$204,0)),"※未登録のID"))</f>
        <v/>
      </c>
      <c r="D1343" s="21"/>
      <c r="E1343" s="21"/>
      <c r="F1343" s="21"/>
      <c r="G1343" s="18"/>
      <c r="H1343" s="21"/>
      <c r="I1343" s="26"/>
      <c r="J1343" s="15"/>
      <c r="K1343" s="27"/>
      <c r="L1343" s="25" t="str">
        <f aca="false">IF(B1343="","",B1343&amp;"|"&amp;J1343)</f>
        <v/>
      </c>
    </row>
    <row r="1344" customFormat="false" ht="15" hidden="false" customHeight="false" outlineLevel="0" collapsed="false">
      <c r="A1344" s="15"/>
      <c r="B1344" s="21"/>
      <c r="C1344" s="21" t="str">
        <f aca="false">IF(B1344="","",IFERROR(INDEX(代理店一覧!$B$5:$B$204,MATCH(B1344,代理店一覧!$A$5:$A$204,0)),"※未登録のID"))</f>
        <v/>
      </c>
      <c r="D1344" s="21"/>
      <c r="E1344" s="21"/>
      <c r="F1344" s="21"/>
      <c r="G1344" s="18"/>
      <c r="H1344" s="21"/>
      <c r="I1344" s="26"/>
      <c r="J1344" s="15"/>
      <c r="K1344" s="27"/>
      <c r="L1344" s="25" t="str">
        <f aca="false">IF(B1344="","",B1344&amp;"|"&amp;J1344)</f>
        <v/>
      </c>
    </row>
    <row r="1345" customFormat="false" ht="15" hidden="false" customHeight="false" outlineLevel="0" collapsed="false">
      <c r="A1345" s="15"/>
      <c r="B1345" s="21"/>
      <c r="C1345" s="21" t="str">
        <f aca="false">IF(B1345="","",IFERROR(INDEX(代理店一覧!$B$5:$B$204,MATCH(B1345,代理店一覧!$A$5:$A$204,0)),"※未登録のID"))</f>
        <v/>
      </c>
      <c r="D1345" s="21"/>
      <c r="E1345" s="21"/>
      <c r="F1345" s="21"/>
      <c r="G1345" s="18"/>
      <c r="H1345" s="21"/>
      <c r="I1345" s="26"/>
      <c r="J1345" s="15"/>
      <c r="K1345" s="27"/>
      <c r="L1345" s="25" t="str">
        <f aca="false">IF(B1345="","",B1345&amp;"|"&amp;J1345)</f>
        <v/>
      </c>
    </row>
    <row r="1346" customFormat="false" ht="15" hidden="false" customHeight="false" outlineLevel="0" collapsed="false">
      <c r="A1346" s="15"/>
      <c r="B1346" s="21"/>
      <c r="C1346" s="21" t="str">
        <f aca="false">IF(B1346="","",IFERROR(INDEX(代理店一覧!$B$5:$B$204,MATCH(B1346,代理店一覧!$A$5:$A$204,0)),"※未登録のID"))</f>
        <v/>
      </c>
      <c r="D1346" s="21"/>
      <c r="E1346" s="21"/>
      <c r="F1346" s="21"/>
      <c r="G1346" s="18"/>
      <c r="H1346" s="21"/>
      <c r="I1346" s="26"/>
      <c r="J1346" s="15"/>
      <c r="K1346" s="27"/>
      <c r="L1346" s="25" t="str">
        <f aca="false">IF(B1346="","",B1346&amp;"|"&amp;J1346)</f>
        <v/>
      </c>
    </row>
    <row r="1347" customFormat="false" ht="15" hidden="false" customHeight="false" outlineLevel="0" collapsed="false">
      <c r="A1347" s="15"/>
      <c r="B1347" s="21"/>
      <c r="C1347" s="21" t="str">
        <f aca="false">IF(B1347="","",IFERROR(INDEX(代理店一覧!$B$5:$B$204,MATCH(B1347,代理店一覧!$A$5:$A$204,0)),"※未登録のID"))</f>
        <v/>
      </c>
      <c r="D1347" s="21"/>
      <c r="E1347" s="21"/>
      <c r="F1347" s="21"/>
      <c r="G1347" s="18"/>
      <c r="H1347" s="21"/>
      <c r="I1347" s="26"/>
      <c r="J1347" s="15"/>
      <c r="K1347" s="27"/>
      <c r="L1347" s="25" t="str">
        <f aca="false">IF(B1347="","",B1347&amp;"|"&amp;J1347)</f>
        <v/>
      </c>
    </row>
    <row r="1348" customFormat="false" ht="15" hidden="false" customHeight="false" outlineLevel="0" collapsed="false">
      <c r="A1348" s="15"/>
      <c r="B1348" s="21"/>
      <c r="C1348" s="21" t="str">
        <f aca="false">IF(B1348="","",IFERROR(INDEX(代理店一覧!$B$5:$B$204,MATCH(B1348,代理店一覧!$A$5:$A$204,0)),"※未登録のID"))</f>
        <v/>
      </c>
      <c r="D1348" s="21"/>
      <c r="E1348" s="21"/>
      <c r="F1348" s="21"/>
      <c r="G1348" s="18"/>
      <c r="H1348" s="21"/>
      <c r="I1348" s="26"/>
      <c r="J1348" s="15"/>
      <c r="K1348" s="27"/>
      <c r="L1348" s="25" t="str">
        <f aca="false">IF(B1348="","",B1348&amp;"|"&amp;J1348)</f>
        <v/>
      </c>
    </row>
    <row r="1349" customFormat="false" ht="15" hidden="false" customHeight="false" outlineLevel="0" collapsed="false">
      <c r="A1349" s="15"/>
      <c r="B1349" s="21"/>
      <c r="C1349" s="21" t="str">
        <f aca="false">IF(B1349="","",IFERROR(INDEX(代理店一覧!$B$5:$B$204,MATCH(B1349,代理店一覧!$A$5:$A$204,0)),"※未登録のID"))</f>
        <v/>
      </c>
      <c r="D1349" s="21"/>
      <c r="E1349" s="21"/>
      <c r="F1349" s="21"/>
      <c r="G1349" s="18"/>
      <c r="H1349" s="21"/>
      <c r="I1349" s="26"/>
      <c r="J1349" s="15"/>
      <c r="K1349" s="27"/>
      <c r="L1349" s="25" t="str">
        <f aca="false">IF(B1349="","",B1349&amp;"|"&amp;J1349)</f>
        <v/>
      </c>
    </row>
    <row r="1350" customFormat="false" ht="15" hidden="false" customHeight="false" outlineLevel="0" collapsed="false">
      <c r="A1350" s="15"/>
      <c r="B1350" s="21"/>
      <c r="C1350" s="21" t="str">
        <f aca="false">IF(B1350="","",IFERROR(INDEX(代理店一覧!$B$5:$B$204,MATCH(B1350,代理店一覧!$A$5:$A$204,0)),"※未登録のID"))</f>
        <v/>
      </c>
      <c r="D1350" s="21"/>
      <c r="E1350" s="21"/>
      <c r="F1350" s="21"/>
      <c r="G1350" s="18"/>
      <c r="H1350" s="21"/>
      <c r="I1350" s="26"/>
      <c r="J1350" s="15"/>
      <c r="K1350" s="27"/>
      <c r="L1350" s="25" t="str">
        <f aca="false">IF(B1350="","",B1350&amp;"|"&amp;J1350)</f>
        <v/>
      </c>
    </row>
    <row r="1351" customFormat="false" ht="15" hidden="false" customHeight="false" outlineLevel="0" collapsed="false">
      <c r="A1351" s="15"/>
      <c r="B1351" s="21"/>
      <c r="C1351" s="21" t="str">
        <f aca="false">IF(B1351="","",IFERROR(INDEX(代理店一覧!$B$5:$B$204,MATCH(B1351,代理店一覧!$A$5:$A$204,0)),"※未登録のID"))</f>
        <v/>
      </c>
      <c r="D1351" s="21"/>
      <c r="E1351" s="21"/>
      <c r="F1351" s="21"/>
      <c r="G1351" s="18"/>
      <c r="H1351" s="21"/>
      <c r="I1351" s="26"/>
      <c r="J1351" s="15"/>
      <c r="K1351" s="27"/>
      <c r="L1351" s="25" t="str">
        <f aca="false">IF(B1351="","",B1351&amp;"|"&amp;J1351)</f>
        <v/>
      </c>
    </row>
    <row r="1352" customFormat="false" ht="15" hidden="false" customHeight="false" outlineLevel="0" collapsed="false">
      <c r="A1352" s="15"/>
      <c r="B1352" s="21"/>
      <c r="C1352" s="21" t="str">
        <f aca="false">IF(B1352="","",IFERROR(INDEX(代理店一覧!$B$5:$B$204,MATCH(B1352,代理店一覧!$A$5:$A$204,0)),"※未登録のID"))</f>
        <v/>
      </c>
      <c r="D1352" s="21"/>
      <c r="E1352" s="21"/>
      <c r="F1352" s="21"/>
      <c r="G1352" s="18"/>
      <c r="H1352" s="21"/>
      <c r="I1352" s="26"/>
      <c r="J1352" s="15"/>
      <c r="K1352" s="27"/>
      <c r="L1352" s="25" t="str">
        <f aca="false">IF(B1352="","",B1352&amp;"|"&amp;J1352)</f>
        <v/>
      </c>
    </row>
    <row r="1353" customFormat="false" ht="15" hidden="false" customHeight="false" outlineLevel="0" collapsed="false">
      <c r="A1353" s="15"/>
      <c r="B1353" s="21"/>
      <c r="C1353" s="21" t="str">
        <f aca="false">IF(B1353="","",IFERROR(INDEX(代理店一覧!$B$5:$B$204,MATCH(B1353,代理店一覧!$A$5:$A$204,0)),"※未登録のID"))</f>
        <v/>
      </c>
      <c r="D1353" s="21"/>
      <c r="E1353" s="21"/>
      <c r="F1353" s="21"/>
      <c r="G1353" s="18"/>
      <c r="H1353" s="21"/>
      <c r="I1353" s="26"/>
      <c r="J1353" s="15"/>
      <c r="K1353" s="27"/>
      <c r="L1353" s="25" t="str">
        <f aca="false">IF(B1353="","",B1353&amp;"|"&amp;J1353)</f>
        <v/>
      </c>
    </row>
    <row r="1354" customFormat="false" ht="15" hidden="false" customHeight="false" outlineLevel="0" collapsed="false">
      <c r="A1354" s="15"/>
      <c r="B1354" s="21"/>
      <c r="C1354" s="21" t="str">
        <f aca="false">IF(B1354="","",IFERROR(INDEX(代理店一覧!$B$5:$B$204,MATCH(B1354,代理店一覧!$A$5:$A$204,0)),"※未登録のID"))</f>
        <v/>
      </c>
      <c r="D1354" s="21"/>
      <c r="E1354" s="21"/>
      <c r="F1354" s="21"/>
      <c r="G1354" s="18"/>
      <c r="H1354" s="21"/>
      <c r="I1354" s="26"/>
      <c r="J1354" s="15"/>
      <c r="K1354" s="27"/>
      <c r="L1354" s="25" t="str">
        <f aca="false">IF(B1354="","",B1354&amp;"|"&amp;J1354)</f>
        <v/>
      </c>
    </row>
    <row r="1355" customFormat="false" ht="15" hidden="false" customHeight="false" outlineLevel="0" collapsed="false">
      <c r="A1355" s="15"/>
      <c r="B1355" s="21"/>
      <c r="C1355" s="21" t="str">
        <f aca="false">IF(B1355="","",IFERROR(INDEX(代理店一覧!$B$5:$B$204,MATCH(B1355,代理店一覧!$A$5:$A$204,0)),"※未登録のID"))</f>
        <v/>
      </c>
      <c r="D1355" s="21"/>
      <c r="E1355" s="21"/>
      <c r="F1355" s="21"/>
      <c r="G1355" s="18"/>
      <c r="H1355" s="21"/>
      <c r="I1355" s="26"/>
      <c r="J1355" s="15"/>
      <c r="K1355" s="27"/>
      <c r="L1355" s="25" t="str">
        <f aca="false">IF(B1355="","",B1355&amp;"|"&amp;J1355)</f>
        <v/>
      </c>
    </row>
    <row r="1356" customFormat="false" ht="15" hidden="false" customHeight="false" outlineLevel="0" collapsed="false">
      <c r="A1356" s="15"/>
      <c r="B1356" s="21"/>
      <c r="C1356" s="21" t="str">
        <f aca="false">IF(B1356="","",IFERROR(INDEX(代理店一覧!$B$5:$B$204,MATCH(B1356,代理店一覧!$A$5:$A$204,0)),"※未登録のID"))</f>
        <v/>
      </c>
      <c r="D1356" s="21"/>
      <c r="E1356" s="21"/>
      <c r="F1356" s="21"/>
      <c r="G1356" s="18"/>
      <c r="H1356" s="21"/>
      <c r="I1356" s="26"/>
      <c r="J1356" s="15"/>
      <c r="K1356" s="27"/>
      <c r="L1356" s="25" t="str">
        <f aca="false">IF(B1356="","",B1356&amp;"|"&amp;J1356)</f>
        <v/>
      </c>
    </row>
    <row r="1357" customFormat="false" ht="15" hidden="false" customHeight="false" outlineLevel="0" collapsed="false">
      <c r="A1357" s="15"/>
      <c r="B1357" s="21"/>
      <c r="C1357" s="21" t="str">
        <f aca="false">IF(B1357="","",IFERROR(INDEX(代理店一覧!$B$5:$B$204,MATCH(B1357,代理店一覧!$A$5:$A$204,0)),"※未登録のID"))</f>
        <v/>
      </c>
      <c r="D1357" s="21"/>
      <c r="E1357" s="21"/>
      <c r="F1357" s="21"/>
      <c r="G1357" s="18"/>
      <c r="H1357" s="21"/>
      <c r="I1357" s="26"/>
      <c r="J1357" s="15"/>
      <c r="K1357" s="27"/>
      <c r="L1357" s="25" t="str">
        <f aca="false">IF(B1357="","",B1357&amp;"|"&amp;J1357)</f>
        <v/>
      </c>
    </row>
    <row r="1358" customFormat="false" ht="15" hidden="false" customHeight="false" outlineLevel="0" collapsed="false">
      <c r="A1358" s="15"/>
      <c r="B1358" s="21"/>
      <c r="C1358" s="21" t="str">
        <f aca="false">IF(B1358="","",IFERROR(INDEX(代理店一覧!$B$5:$B$204,MATCH(B1358,代理店一覧!$A$5:$A$204,0)),"※未登録のID"))</f>
        <v/>
      </c>
      <c r="D1358" s="21"/>
      <c r="E1358" s="21"/>
      <c r="F1358" s="21"/>
      <c r="G1358" s="18"/>
      <c r="H1358" s="21"/>
      <c r="I1358" s="26"/>
      <c r="J1358" s="15"/>
      <c r="K1358" s="27"/>
      <c r="L1358" s="25" t="str">
        <f aca="false">IF(B1358="","",B1358&amp;"|"&amp;J1358)</f>
        <v/>
      </c>
    </row>
    <row r="1359" customFormat="false" ht="15" hidden="false" customHeight="false" outlineLevel="0" collapsed="false">
      <c r="A1359" s="15"/>
      <c r="B1359" s="21"/>
      <c r="C1359" s="21" t="str">
        <f aca="false">IF(B1359="","",IFERROR(INDEX(代理店一覧!$B$5:$B$204,MATCH(B1359,代理店一覧!$A$5:$A$204,0)),"※未登録のID"))</f>
        <v/>
      </c>
      <c r="D1359" s="21"/>
      <c r="E1359" s="21"/>
      <c r="F1359" s="21"/>
      <c r="G1359" s="18"/>
      <c r="H1359" s="21"/>
      <c r="I1359" s="26"/>
      <c r="J1359" s="15"/>
      <c r="K1359" s="27"/>
      <c r="L1359" s="25" t="str">
        <f aca="false">IF(B1359="","",B1359&amp;"|"&amp;J1359)</f>
        <v/>
      </c>
    </row>
    <row r="1360" customFormat="false" ht="15" hidden="false" customHeight="false" outlineLevel="0" collapsed="false">
      <c r="A1360" s="15"/>
      <c r="B1360" s="21"/>
      <c r="C1360" s="21" t="str">
        <f aca="false">IF(B1360="","",IFERROR(INDEX(代理店一覧!$B$5:$B$204,MATCH(B1360,代理店一覧!$A$5:$A$204,0)),"※未登録のID"))</f>
        <v/>
      </c>
      <c r="D1360" s="21"/>
      <c r="E1360" s="21"/>
      <c r="F1360" s="21"/>
      <c r="G1360" s="18"/>
      <c r="H1360" s="21"/>
      <c r="I1360" s="26"/>
      <c r="J1360" s="15"/>
      <c r="K1360" s="27"/>
      <c r="L1360" s="25" t="str">
        <f aca="false">IF(B1360="","",B1360&amp;"|"&amp;J1360)</f>
        <v/>
      </c>
    </row>
    <row r="1361" customFormat="false" ht="15" hidden="false" customHeight="false" outlineLevel="0" collapsed="false">
      <c r="A1361" s="15"/>
      <c r="B1361" s="21"/>
      <c r="C1361" s="21" t="str">
        <f aca="false">IF(B1361="","",IFERROR(INDEX(代理店一覧!$B$5:$B$204,MATCH(B1361,代理店一覧!$A$5:$A$204,0)),"※未登録のID"))</f>
        <v/>
      </c>
      <c r="D1361" s="21"/>
      <c r="E1361" s="21"/>
      <c r="F1361" s="21"/>
      <c r="G1361" s="18"/>
      <c r="H1361" s="21"/>
      <c r="I1361" s="26"/>
      <c r="J1361" s="15"/>
      <c r="K1361" s="27"/>
      <c r="L1361" s="25" t="str">
        <f aca="false">IF(B1361="","",B1361&amp;"|"&amp;J1361)</f>
        <v/>
      </c>
    </row>
    <row r="1362" customFormat="false" ht="15" hidden="false" customHeight="false" outlineLevel="0" collapsed="false">
      <c r="A1362" s="15"/>
      <c r="B1362" s="21"/>
      <c r="C1362" s="21" t="str">
        <f aca="false">IF(B1362="","",IFERROR(INDEX(代理店一覧!$B$5:$B$204,MATCH(B1362,代理店一覧!$A$5:$A$204,0)),"※未登録のID"))</f>
        <v/>
      </c>
      <c r="D1362" s="21"/>
      <c r="E1362" s="21"/>
      <c r="F1362" s="21"/>
      <c r="G1362" s="18"/>
      <c r="H1362" s="21"/>
      <c r="I1362" s="26"/>
      <c r="J1362" s="15"/>
      <c r="K1362" s="27"/>
      <c r="L1362" s="25" t="str">
        <f aca="false">IF(B1362="","",B1362&amp;"|"&amp;J1362)</f>
        <v/>
      </c>
    </row>
    <row r="1363" customFormat="false" ht="15" hidden="false" customHeight="false" outlineLevel="0" collapsed="false">
      <c r="A1363" s="15"/>
      <c r="B1363" s="21"/>
      <c r="C1363" s="21" t="str">
        <f aca="false">IF(B1363="","",IFERROR(INDEX(代理店一覧!$B$5:$B$204,MATCH(B1363,代理店一覧!$A$5:$A$204,0)),"※未登録のID"))</f>
        <v/>
      </c>
      <c r="D1363" s="21"/>
      <c r="E1363" s="21"/>
      <c r="F1363" s="21"/>
      <c r="G1363" s="18"/>
      <c r="H1363" s="21"/>
      <c r="I1363" s="26"/>
      <c r="J1363" s="15"/>
      <c r="K1363" s="27"/>
      <c r="L1363" s="25" t="str">
        <f aca="false">IF(B1363="","",B1363&amp;"|"&amp;J1363)</f>
        <v/>
      </c>
    </row>
    <row r="1364" customFormat="false" ht="15" hidden="false" customHeight="false" outlineLevel="0" collapsed="false">
      <c r="A1364" s="15"/>
      <c r="B1364" s="21"/>
      <c r="C1364" s="21" t="str">
        <f aca="false">IF(B1364="","",IFERROR(INDEX(代理店一覧!$B$5:$B$204,MATCH(B1364,代理店一覧!$A$5:$A$204,0)),"※未登録のID"))</f>
        <v/>
      </c>
      <c r="D1364" s="21"/>
      <c r="E1364" s="21"/>
      <c r="F1364" s="21"/>
      <c r="G1364" s="18"/>
      <c r="H1364" s="21"/>
      <c r="I1364" s="26"/>
      <c r="J1364" s="15"/>
      <c r="K1364" s="27"/>
      <c r="L1364" s="25" t="str">
        <f aca="false">IF(B1364="","",B1364&amp;"|"&amp;J1364)</f>
        <v/>
      </c>
    </row>
    <row r="1365" customFormat="false" ht="15" hidden="false" customHeight="false" outlineLevel="0" collapsed="false">
      <c r="A1365" s="15"/>
      <c r="B1365" s="21"/>
      <c r="C1365" s="21" t="str">
        <f aca="false">IF(B1365="","",IFERROR(INDEX(代理店一覧!$B$5:$B$204,MATCH(B1365,代理店一覧!$A$5:$A$204,0)),"※未登録のID"))</f>
        <v/>
      </c>
      <c r="D1365" s="21"/>
      <c r="E1365" s="21"/>
      <c r="F1365" s="21"/>
      <c r="G1365" s="18"/>
      <c r="H1365" s="21"/>
      <c r="I1365" s="26"/>
      <c r="J1365" s="15"/>
      <c r="K1365" s="27"/>
      <c r="L1365" s="25" t="str">
        <f aca="false">IF(B1365="","",B1365&amp;"|"&amp;J1365)</f>
        <v/>
      </c>
    </row>
    <row r="1366" customFormat="false" ht="15" hidden="false" customHeight="false" outlineLevel="0" collapsed="false">
      <c r="A1366" s="15"/>
      <c r="B1366" s="21"/>
      <c r="C1366" s="21" t="str">
        <f aca="false">IF(B1366="","",IFERROR(INDEX(代理店一覧!$B$5:$B$204,MATCH(B1366,代理店一覧!$A$5:$A$204,0)),"※未登録のID"))</f>
        <v/>
      </c>
      <c r="D1366" s="21"/>
      <c r="E1366" s="21"/>
      <c r="F1366" s="21"/>
      <c r="G1366" s="18"/>
      <c r="H1366" s="21"/>
      <c r="I1366" s="26"/>
      <c r="J1366" s="15"/>
      <c r="K1366" s="27"/>
      <c r="L1366" s="25" t="str">
        <f aca="false">IF(B1366="","",B1366&amp;"|"&amp;J1366)</f>
        <v/>
      </c>
    </row>
    <row r="1367" customFormat="false" ht="15" hidden="false" customHeight="false" outlineLevel="0" collapsed="false">
      <c r="A1367" s="15"/>
      <c r="B1367" s="21"/>
      <c r="C1367" s="21" t="str">
        <f aca="false">IF(B1367="","",IFERROR(INDEX(代理店一覧!$B$5:$B$204,MATCH(B1367,代理店一覧!$A$5:$A$204,0)),"※未登録のID"))</f>
        <v/>
      </c>
      <c r="D1367" s="21"/>
      <c r="E1367" s="21"/>
      <c r="F1367" s="21"/>
      <c r="G1367" s="18"/>
      <c r="H1367" s="21"/>
      <c r="I1367" s="26"/>
      <c r="J1367" s="15"/>
      <c r="K1367" s="27"/>
      <c r="L1367" s="25" t="str">
        <f aca="false">IF(B1367="","",B1367&amp;"|"&amp;J1367)</f>
        <v/>
      </c>
    </row>
    <row r="1368" customFormat="false" ht="15" hidden="false" customHeight="false" outlineLevel="0" collapsed="false">
      <c r="A1368" s="15"/>
      <c r="B1368" s="21"/>
      <c r="C1368" s="21" t="str">
        <f aca="false">IF(B1368="","",IFERROR(INDEX(代理店一覧!$B$5:$B$204,MATCH(B1368,代理店一覧!$A$5:$A$204,0)),"※未登録のID"))</f>
        <v/>
      </c>
      <c r="D1368" s="21"/>
      <c r="E1368" s="21"/>
      <c r="F1368" s="21"/>
      <c r="G1368" s="18"/>
      <c r="H1368" s="21"/>
      <c r="I1368" s="26"/>
      <c r="J1368" s="15"/>
      <c r="K1368" s="27"/>
      <c r="L1368" s="25" t="str">
        <f aca="false">IF(B1368="","",B1368&amp;"|"&amp;J1368)</f>
        <v/>
      </c>
    </row>
    <row r="1369" customFormat="false" ht="15" hidden="false" customHeight="false" outlineLevel="0" collapsed="false">
      <c r="A1369" s="15"/>
      <c r="B1369" s="21"/>
      <c r="C1369" s="21" t="str">
        <f aca="false">IF(B1369="","",IFERROR(INDEX(代理店一覧!$B$5:$B$204,MATCH(B1369,代理店一覧!$A$5:$A$204,0)),"※未登録のID"))</f>
        <v/>
      </c>
      <c r="D1369" s="21"/>
      <c r="E1369" s="21"/>
      <c r="F1369" s="21"/>
      <c r="G1369" s="18"/>
      <c r="H1369" s="21"/>
      <c r="I1369" s="26"/>
      <c r="J1369" s="15"/>
      <c r="K1369" s="27"/>
      <c r="L1369" s="25" t="str">
        <f aca="false">IF(B1369="","",B1369&amp;"|"&amp;J1369)</f>
        <v/>
      </c>
    </row>
    <row r="1370" customFormat="false" ht="15" hidden="false" customHeight="false" outlineLevel="0" collapsed="false">
      <c r="A1370" s="15"/>
      <c r="B1370" s="21"/>
      <c r="C1370" s="21" t="str">
        <f aca="false">IF(B1370="","",IFERROR(INDEX(代理店一覧!$B$5:$B$204,MATCH(B1370,代理店一覧!$A$5:$A$204,0)),"※未登録のID"))</f>
        <v/>
      </c>
      <c r="D1370" s="21"/>
      <c r="E1370" s="21"/>
      <c r="F1370" s="21"/>
      <c r="G1370" s="18"/>
      <c r="H1370" s="21"/>
      <c r="I1370" s="26"/>
      <c r="J1370" s="15"/>
      <c r="K1370" s="27"/>
      <c r="L1370" s="25" t="str">
        <f aca="false">IF(B1370="","",B1370&amp;"|"&amp;J1370)</f>
        <v/>
      </c>
    </row>
    <row r="1371" customFormat="false" ht="15" hidden="false" customHeight="false" outlineLevel="0" collapsed="false">
      <c r="A1371" s="15"/>
      <c r="B1371" s="21"/>
      <c r="C1371" s="21" t="str">
        <f aca="false">IF(B1371="","",IFERROR(INDEX(代理店一覧!$B$5:$B$204,MATCH(B1371,代理店一覧!$A$5:$A$204,0)),"※未登録のID"))</f>
        <v/>
      </c>
      <c r="D1371" s="21"/>
      <c r="E1371" s="21"/>
      <c r="F1371" s="21"/>
      <c r="G1371" s="18"/>
      <c r="H1371" s="21"/>
      <c r="I1371" s="26"/>
      <c r="J1371" s="15"/>
      <c r="K1371" s="27"/>
      <c r="L1371" s="25" t="str">
        <f aca="false">IF(B1371="","",B1371&amp;"|"&amp;J1371)</f>
        <v/>
      </c>
    </row>
    <row r="1372" customFormat="false" ht="15" hidden="false" customHeight="false" outlineLevel="0" collapsed="false">
      <c r="A1372" s="15"/>
      <c r="B1372" s="21"/>
      <c r="C1372" s="21" t="str">
        <f aca="false">IF(B1372="","",IFERROR(INDEX(代理店一覧!$B$5:$B$204,MATCH(B1372,代理店一覧!$A$5:$A$204,0)),"※未登録のID"))</f>
        <v/>
      </c>
      <c r="D1372" s="21"/>
      <c r="E1372" s="21"/>
      <c r="F1372" s="21"/>
      <c r="G1372" s="18"/>
      <c r="H1372" s="21"/>
      <c r="I1372" s="26"/>
      <c r="J1372" s="15"/>
      <c r="K1372" s="27"/>
      <c r="L1372" s="25" t="str">
        <f aca="false">IF(B1372="","",B1372&amp;"|"&amp;J1372)</f>
        <v/>
      </c>
    </row>
    <row r="1373" customFormat="false" ht="15" hidden="false" customHeight="false" outlineLevel="0" collapsed="false">
      <c r="A1373" s="15"/>
      <c r="B1373" s="21"/>
      <c r="C1373" s="21" t="str">
        <f aca="false">IF(B1373="","",IFERROR(INDEX(代理店一覧!$B$5:$B$204,MATCH(B1373,代理店一覧!$A$5:$A$204,0)),"※未登録のID"))</f>
        <v/>
      </c>
      <c r="D1373" s="21"/>
      <c r="E1373" s="21"/>
      <c r="F1373" s="21"/>
      <c r="G1373" s="18"/>
      <c r="H1373" s="21"/>
      <c r="I1373" s="26"/>
      <c r="J1373" s="15"/>
      <c r="K1373" s="27"/>
      <c r="L1373" s="25" t="str">
        <f aca="false">IF(B1373="","",B1373&amp;"|"&amp;J1373)</f>
        <v/>
      </c>
    </row>
    <row r="1374" customFormat="false" ht="15" hidden="false" customHeight="false" outlineLevel="0" collapsed="false">
      <c r="A1374" s="15"/>
      <c r="B1374" s="21"/>
      <c r="C1374" s="21" t="str">
        <f aca="false">IF(B1374="","",IFERROR(INDEX(代理店一覧!$B$5:$B$204,MATCH(B1374,代理店一覧!$A$5:$A$204,0)),"※未登録のID"))</f>
        <v/>
      </c>
      <c r="D1374" s="21"/>
      <c r="E1374" s="21"/>
      <c r="F1374" s="21"/>
      <c r="G1374" s="18"/>
      <c r="H1374" s="21"/>
      <c r="I1374" s="26"/>
      <c r="J1374" s="15"/>
      <c r="K1374" s="27"/>
      <c r="L1374" s="25" t="str">
        <f aca="false">IF(B1374="","",B1374&amp;"|"&amp;J1374)</f>
        <v/>
      </c>
    </row>
    <row r="1375" customFormat="false" ht="15" hidden="false" customHeight="false" outlineLevel="0" collapsed="false">
      <c r="A1375" s="15"/>
      <c r="B1375" s="21"/>
      <c r="C1375" s="21" t="str">
        <f aca="false">IF(B1375="","",IFERROR(INDEX(代理店一覧!$B$5:$B$204,MATCH(B1375,代理店一覧!$A$5:$A$204,0)),"※未登録のID"))</f>
        <v/>
      </c>
      <c r="D1375" s="21"/>
      <c r="E1375" s="21"/>
      <c r="F1375" s="21"/>
      <c r="G1375" s="18"/>
      <c r="H1375" s="21"/>
      <c r="I1375" s="26"/>
      <c r="J1375" s="15"/>
      <c r="K1375" s="27"/>
      <c r="L1375" s="25" t="str">
        <f aca="false">IF(B1375="","",B1375&amp;"|"&amp;J1375)</f>
        <v/>
      </c>
    </row>
    <row r="1376" customFormat="false" ht="15" hidden="false" customHeight="false" outlineLevel="0" collapsed="false">
      <c r="A1376" s="15"/>
      <c r="B1376" s="21"/>
      <c r="C1376" s="21" t="str">
        <f aca="false">IF(B1376="","",IFERROR(INDEX(代理店一覧!$B$5:$B$204,MATCH(B1376,代理店一覧!$A$5:$A$204,0)),"※未登録のID"))</f>
        <v/>
      </c>
      <c r="D1376" s="21"/>
      <c r="E1376" s="21"/>
      <c r="F1376" s="21"/>
      <c r="G1376" s="18"/>
      <c r="H1376" s="21"/>
      <c r="I1376" s="26"/>
      <c r="J1376" s="15"/>
      <c r="K1376" s="27"/>
      <c r="L1376" s="25" t="str">
        <f aca="false">IF(B1376="","",B1376&amp;"|"&amp;J1376)</f>
        <v/>
      </c>
    </row>
    <row r="1377" customFormat="false" ht="15" hidden="false" customHeight="false" outlineLevel="0" collapsed="false">
      <c r="A1377" s="15"/>
      <c r="B1377" s="21"/>
      <c r="C1377" s="21" t="str">
        <f aca="false">IF(B1377="","",IFERROR(INDEX(代理店一覧!$B$5:$B$204,MATCH(B1377,代理店一覧!$A$5:$A$204,0)),"※未登録のID"))</f>
        <v/>
      </c>
      <c r="D1377" s="21"/>
      <c r="E1377" s="21"/>
      <c r="F1377" s="21"/>
      <c r="G1377" s="18"/>
      <c r="H1377" s="21"/>
      <c r="I1377" s="26"/>
      <c r="J1377" s="15"/>
      <c r="K1377" s="27"/>
      <c r="L1377" s="25" t="str">
        <f aca="false">IF(B1377="","",B1377&amp;"|"&amp;J1377)</f>
        <v/>
      </c>
    </row>
    <row r="1378" customFormat="false" ht="15" hidden="false" customHeight="false" outlineLevel="0" collapsed="false">
      <c r="A1378" s="15"/>
      <c r="B1378" s="21"/>
      <c r="C1378" s="21" t="str">
        <f aca="false">IF(B1378="","",IFERROR(INDEX(代理店一覧!$B$5:$B$204,MATCH(B1378,代理店一覧!$A$5:$A$204,0)),"※未登録のID"))</f>
        <v/>
      </c>
      <c r="D1378" s="21"/>
      <c r="E1378" s="21"/>
      <c r="F1378" s="21"/>
      <c r="G1378" s="18"/>
      <c r="H1378" s="21"/>
      <c r="I1378" s="26"/>
      <c r="J1378" s="15"/>
      <c r="K1378" s="27"/>
      <c r="L1378" s="25" t="str">
        <f aca="false">IF(B1378="","",B1378&amp;"|"&amp;J1378)</f>
        <v/>
      </c>
    </row>
    <row r="1379" customFormat="false" ht="15" hidden="false" customHeight="false" outlineLevel="0" collapsed="false">
      <c r="A1379" s="15"/>
      <c r="B1379" s="21"/>
      <c r="C1379" s="21" t="str">
        <f aca="false">IF(B1379="","",IFERROR(INDEX(代理店一覧!$B$5:$B$204,MATCH(B1379,代理店一覧!$A$5:$A$204,0)),"※未登録のID"))</f>
        <v/>
      </c>
      <c r="D1379" s="21"/>
      <c r="E1379" s="21"/>
      <c r="F1379" s="21"/>
      <c r="G1379" s="18"/>
      <c r="H1379" s="21"/>
      <c r="I1379" s="26"/>
      <c r="J1379" s="15"/>
      <c r="K1379" s="27"/>
      <c r="L1379" s="25" t="str">
        <f aca="false">IF(B1379="","",B1379&amp;"|"&amp;J1379)</f>
        <v/>
      </c>
    </row>
    <row r="1380" customFormat="false" ht="15" hidden="false" customHeight="false" outlineLevel="0" collapsed="false">
      <c r="A1380" s="15"/>
      <c r="B1380" s="21"/>
      <c r="C1380" s="21" t="str">
        <f aca="false">IF(B1380="","",IFERROR(INDEX(代理店一覧!$B$5:$B$204,MATCH(B1380,代理店一覧!$A$5:$A$204,0)),"※未登録のID"))</f>
        <v/>
      </c>
      <c r="D1380" s="21"/>
      <c r="E1380" s="21"/>
      <c r="F1380" s="21"/>
      <c r="G1380" s="18"/>
      <c r="H1380" s="21"/>
      <c r="I1380" s="26"/>
      <c r="J1380" s="15"/>
      <c r="K1380" s="27"/>
      <c r="L1380" s="25" t="str">
        <f aca="false">IF(B1380="","",B1380&amp;"|"&amp;J1380)</f>
        <v/>
      </c>
    </row>
    <row r="1381" customFormat="false" ht="15" hidden="false" customHeight="false" outlineLevel="0" collapsed="false">
      <c r="A1381" s="15"/>
      <c r="B1381" s="21"/>
      <c r="C1381" s="21" t="str">
        <f aca="false">IF(B1381="","",IFERROR(INDEX(代理店一覧!$B$5:$B$204,MATCH(B1381,代理店一覧!$A$5:$A$204,0)),"※未登録のID"))</f>
        <v/>
      </c>
      <c r="D1381" s="21"/>
      <c r="E1381" s="21"/>
      <c r="F1381" s="21"/>
      <c r="G1381" s="18"/>
      <c r="H1381" s="21"/>
      <c r="I1381" s="26"/>
      <c r="J1381" s="15"/>
      <c r="K1381" s="27"/>
      <c r="L1381" s="25" t="str">
        <f aca="false">IF(B1381="","",B1381&amp;"|"&amp;J1381)</f>
        <v/>
      </c>
    </row>
    <row r="1382" customFormat="false" ht="15" hidden="false" customHeight="false" outlineLevel="0" collapsed="false">
      <c r="A1382" s="15"/>
      <c r="B1382" s="21"/>
      <c r="C1382" s="21" t="str">
        <f aca="false">IF(B1382="","",IFERROR(INDEX(代理店一覧!$B$5:$B$204,MATCH(B1382,代理店一覧!$A$5:$A$204,0)),"※未登録のID"))</f>
        <v/>
      </c>
      <c r="D1382" s="21"/>
      <c r="E1382" s="21"/>
      <c r="F1382" s="21"/>
      <c r="G1382" s="18"/>
      <c r="H1382" s="21"/>
      <c r="I1382" s="26"/>
      <c r="J1382" s="15"/>
      <c r="K1382" s="27"/>
      <c r="L1382" s="25" t="str">
        <f aca="false">IF(B1382="","",B1382&amp;"|"&amp;J1382)</f>
        <v/>
      </c>
    </row>
    <row r="1383" customFormat="false" ht="15" hidden="false" customHeight="false" outlineLevel="0" collapsed="false">
      <c r="A1383" s="15"/>
      <c r="B1383" s="21"/>
      <c r="C1383" s="21" t="str">
        <f aca="false">IF(B1383="","",IFERROR(INDEX(代理店一覧!$B$5:$B$204,MATCH(B1383,代理店一覧!$A$5:$A$204,0)),"※未登録のID"))</f>
        <v/>
      </c>
      <c r="D1383" s="21"/>
      <c r="E1383" s="21"/>
      <c r="F1383" s="21"/>
      <c r="G1383" s="18"/>
      <c r="H1383" s="21"/>
      <c r="I1383" s="26"/>
      <c r="J1383" s="15"/>
      <c r="K1383" s="27"/>
      <c r="L1383" s="25" t="str">
        <f aca="false">IF(B1383="","",B1383&amp;"|"&amp;J1383)</f>
        <v/>
      </c>
    </row>
    <row r="1384" customFormat="false" ht="15" hidden="false" customHeight="false" outlineLevel="0" collapsed="false">
      <c r="A1384" s="15"/>
      <c r="B1384" s="21"/>
      <c r="C1384" s="21" t="str">
        <f aca="false">IF(B1384="","",IFERROR(INDEX(代理店一覧!$B$5:$B$204,MATCH(B1384,代理店一覧!$A$5:$A$204,0)),"※未登録のID"))</f>
        <v/>
      </c>
      <c r="D1384" s="21"/>
      <c r="E1384" s="21"/>
      <c r="F1384" s="21"/>
      <c r="G1384" s="18"/>
      <c r="H1384" s="21"/>
      <c r="I1384" s="26"/>
      <c r="J1384" s="15"/>
      <c r="K1384" s="27"/>
      <c r="L1384" s="25" t="str">
        <f aca="false">IF(B1384="","",B1384&amp;"|"&amp;J1384)</f>
        <v/>
      </c>
    </row>
    <row r="1385" customFormat="false" ht="15" hidden="false" customHeight="false" outlineLevel="0" collapsed="false">
      <c r="A1385" s="15"/>
      <c r="B1385" s="21"/>
      <c r="C1385" s="21" t="str">
        <f aca="false">IF(B1385="","",IFERROR(INDEX(代理店一覧!$B$5:$B$204,MATCH(B1385,代理店一覧!$A$5:$A$204,0)),"※未登録のID"))</f>
        <v/>
      </c>
      <c r="D1385" s="21"/>
      <c r="E1385" s="21"/>
      <c r="F1385" s="21"/>
      <c r="G1385" s="18"/>
      <c r="H1385" s="21"/>
      <c r="I1385" s="26"/>
      <c r="J1385" s="15"/>
      <c r="K1385" s="27"/>
      <c r="L1385" s="25" t="str">
        <f aca="false">IF(B1385="","",B1385&amp;"|"&amp;J1385)</f>
        <v/>
      </c>
    </row>
    <row r="1386" customFormat="false" ht="15" hidden="false" customHeight="false" outlineLevel="0" collapsed="false">
      <c r="A1386" s="15"/>
      <c r="B1386" s="21"/>
      <c r="C1386" s="21" t="str">
        <f aca="false">IF(B1386="","",IFERROR(INDEX(代理店一覧!$B$5:$B$204,MATCH(B1386,代理店一覧!$A$5:$A$204,0)),"※未登録のID"))</f>
        <v/>
      </c>
      <c r="D1386" s="21"/>
      <c r="E1386" s="21"/>
      <c r="F1386" s="21"/>
      <c r="G1386" s="18"/>
      <c r="H1386" s="21"/>
      <c r="I1386" s="26"/>
      <c r="J1386" s="15"/>
      <c r="K1386" s="27"/>
      <c r="L1386" s="25" t="str">
        <f aca="false">IF(B1386="","",B1386&amp;"|"&amp;J1386)</f>
        <v/>
      </c>
    </row>
    <row r="1387" customFormat="false" ht="15" hidden="false" customHeight="false" outlineLevel="0" collapsed="false">
      <c r="A1387" s="15"/>
      <c r="B1387" s="21"/>
      <c r="C1387" s="21" t="str">
        <f aca="false">IF(B1387="","",IFERROR(INDEX(代理店一覧!$B$5:$B$204,MATCH(B1387,代理店一覧!$A$5:$A$204,0)),"※未登録のID"))</f>
        <v/>
      </c>
      <c r="D1387" s="21"/>
      <c r="E1387" s="21"/>
      <c r="F1387" s="21"/>
      <c r="G1387" s="18"/>
      <c r="H1387" s="21"/>
      <c r="I1387" s="26"/>
      <c r="J1387" s="15"/>
      <c r="K1387" s="27"/>
      <c r="L1387" s="25" t="str">
        <f aca="false">IF(B1387="","",B1387&amp;"|"&amp;J1387)</f>
        <v/>
      </c>
    </row>
    <row r="1388" customFormat="false" ht="15" hidden="false" customHeight="false" outlineLevel="0" collapsed="false">
      <c r="A1388" s="15"/>
      <c r="B1388" s="21"/>
      <c r="C1388" s="21" t="str">
        <f aca="false">IF(B1388="","",IFERROR(INDEX(代理店一覧!$B$5:$B$204,MATCH(B1388,代理店一覧!$A$5:$A$204,0)),"※未登録のID"))</f>
        <v/>
      </c>
      <c r="D1388" s="21"/>
      <c r="E1388" s="21"/>
      <c r="F1388" s="21"/>
      <c r="G1388" s="18"/>
      <c r="H1388" s="21"/>
      <c r="I1388" s="26"/>
      <c r="J1388" s="15"/>
      <c r="K1388" s="27"/>
      <c r="L1388" s="25" t="str">
        <f aca="false">IF(B1388="","",B1388&amp;"|"&amp;J1388)</f>
        <v/>
      </c>
    </row>
    <row r="1389" customFormat="false" ht="15" hidden="false" customHeight="false" outlineLevel="0" collapsed="false">
      <c r="A1389" s="15"/>
      <c r="B1389" s="21"/>
      <c r="C1389" s="21" t="str">
        <f aca="false">IF(B1389="","",IFERROR(INDEX(代理店一覧!$B$5:$B$204,MATCH(B1389,代理店一覧!$A$5:$A$204,0)),"※未登録のID"))</f>
        <v/>
      </c>
      <c r="D1389" s="21"/>
      <c r="E1389" s="21"/>
      <c r="F1389" s="21"/>
      <c r="G1389" s="18"/>
      <c r="H1389" s="21"/>
      <c r="I1389" s="26"/>
      <c r="J1389" s="15"/>
      <c r="K1389" s="27"/>
      <c r="L1389" s="25" t="str">
        <f aca="false">IF(B1389="","",B1389&amp;"|"&amp;J1389)</f>
        <v/>
      </c>
    </row>
    <row r="1390" customFormat="false" ht="15" hidden="false" customHeight="false" outlineLevel="0" collapsed="false">
      <c r="A1390" s="15"/>
      <c r="B1390" s="21"/>
      <c r="C1390" s="21" t="str">
        <f aca="false">IF(B1390="","",IFERROR(INDEX(代理店一覧!$B$5:$B$204,MATCH(B1390,代理店一覧!$A$5:$A$204,0)),"※未登録のID"))</f>
        <v/>
      </c>
      <c r="D1390" s="21"/>
      <c r="E1390" s="21"/>
      <c r="F1390" s="21"/>
      <c r="G1390" s="18"/>
      <c r="H1390" s="21"/>
      <c r="I1390" s="26"/>
      <c r="J1390" s="15"/>
      <c r="K1390" s="27"/>
      <c r="L1390" s="25" t="str">
        <f aca="false">IF(B1390="","",B1390&amp;"|"&amp;J1390)</f>
        <v/>
      </c>
    </row>
    <row r="1391" customFormat="false" ht="15" hidden="false" customHeight="false" outlineLevel="0" collapsed="false">
      <c r="A1391" s="15"/>
      <c r="B1391" s="21"/>
      <c r="C1391" s="21" t="str">
        <f aca="false">IF(B1391="","",IFERROR(INDEX(代理店一覧!$B$5:$B$204,MATCH(B1391,代理店一覧!$A$5:$A$204,0)),"※未登録のID"))</f>
        <v/>
      </c>
      <c r="D1391" s="21"/>
      <c r="E1391" s="21"/>
      <c r="F1391" s="21"/>
      <c r="G1391" s="18"/>
      <c r="H1391" s="21"/>
      <c r="I1391" s="26"/>
      <c r="J1391" s="15"/>
      <c r="K1391" s="27"/>
      <c r="L1391" s="25" t="str">
        <f aca="false">IF(B1391="","",B1391&amp;"|"&amp;J1391)</f>
        <v/>
      </c>
    </row>
    <row r="1392" customFormat="false" ht="15" hidden="false" customHeight="false" outlineLevel="0" collapsed="false">
      <c r="A1392" s="15"/>
      <c r="B1392" s="21"/>
      <c r="C1392" s="21" t="str">
        <f aca="false">IF(B1392="","",IFERROR(INDEX(代理店一覧!$B$5:$B$204,MATCH(B1392,代理店一覧!$A$5:$A$204,0)),"※未登録のID"))</f>
        <v/>
      </c>
      <c r="D1392" s="21"/>
      <c r="E1392" s="21"/>
      <c r="F1392" s="21"/>
      <c r="G1392" s="18"/>
      <c r="H1392" s="21"/>
      <c r="I1392" s="26"/>
      <c r="J1392" s="15"/>
      <c r="K1392" s="27"/>
      <c r="L1392" s="25" t="str">
        <f aca="false">IF(B1392="","",B1392&amp;"|"&amp;J1392)</f>
        <v/>
      </c>
    </row>
    <row r="1393" customFormat="false" ht="15" hidden="false" customHeight="false" outlineLevel="0" collapsed="false">
      <c r="A1393" s="15"/>
      <c r="B1393" s="21"/>
      <c r="C1393" s="21" t="str">
        <f aca="false">IF(B1393="","",IFERROR(INDEX(代理店一覧!$B$5:$B$204,MATCH(B1393,代理店一覧!$A$5:$A$204,0)),"※未登録のID"))</f>
        <v/>
      </c>
      <c r="D1393" s="21"/>
      <c r="E1393" s="21"/>
      <c r="F1393" s="21"/>
      <c r="G1393" s="18"/>
      <c r="H1393" s="21"/>
      <c r="I1393" s="26"/>
      <c r="J1393" s="15"/>
      <c r="K1393" s="27"/>
      <c r="L1393" s="25" t="str">
        <f aca="false">IF(B1393="","",B1393&amp;"|"&amp;J1393)</f>
        <v/>
      </c>
    </row>
    <row r="1394" customFormat="false" ht="15" hidden="false" customHeight="false" outlineLevel="0" collapsed="false">
      <c r="A1394" s="15"/>
      <c r="B1394" s="21"/>
      <c r="C1394" s="21" t="str">
        <f aca="false">IF(B1394="","",IFERROR(INDEX(代理店一覧!$B$5:$B$204,MATCH(B1394,代理店一覧!$A$5:$A$204,0)),"※未登録のID"))</f>
        <v/>
      </c>
      <c r="D1394" s="21"/>
      <c r="E1394" s="21"/>
      <c r="F1394" s="21"/>
      <c r="G1394" s="18"/>
      <c r="H1394" s="21"/>
      <c r="I1394" s="26"/>
      <c r="J1394" s="15"/>
      <c r="K1394" s="27"/>
      <c r="L1394" s="25" t="str">
        <f aca="false">IF(B1394="","",B1394&amp;"|"&amp;J1394)</f>
        <v/>
      </c>
    </row>
    <row r="1395" customFormat="false" ht="15" hidden="false" customHeight="false" outlineLevel="0" collapsed="false">
      <c r="A1395" s="15"/>
      <c r="B1395" s="21"/>
      <c r="C1395" s="21" t="str">
        <f aca="false">IF(B1395="","",IFERROR(INDEX(代理店一覧!$B$5:$B$204,MATCH(B1395,代理店一覧!$A$5:$A$204,0)),"※未登録のID"))</f>
        <v/>
      </c>
      <c r="D1395" s="21"/>
      <c r="E1395" s="21"/>
      <c r="F1395" s="21"/>
      <c r="G1395" s="18"/>
      <c r="H1395" s="21"/>
      <c r="I1395" s="26"/>
      <c r="J1395" s="15"/>
      <c r="K1395" s="27"/>
      <c r="L1395" s="25" t="str">
        <f aca="false">IF(B1395="","",B1395&amp;"|"&amp;J1395)</f>
        <v/>
      </c>
    </row>
    <row r="1396" customFormat="false" ht="15" hidden="false" customHeight="false" outlineLevel="0" collapsed="false">
      <c r="A1396" s="15"/>
      <c r="B1396" s="21"/>
      <c r="C1396" s="21" t="str">
        <f aca="false">IF(B1396="","",IFERROR(INDEX(代理店一覧!$B$5:$B$204,MATCH(B1396,代理店一覧!$A$5:$A$204,0)),"※未登録のID"))</f>
        <v/>
      </c>
      <c r="D1396" s="21"/>
      <c r="E1396" s="21"/>
      <c r="F1396" s="21"/>
      <c r="G1396" s="18"/>
      <c r="H1396" s="21"/>
      <c r="I1396" s="26"/>
      <c r="J1396" s="15"/>
      <c r="K1396" s="27"/>
      <c r="L1396" s="25" t="str">
        <f aca="false">IF(B1396="","",B1396&amp;"|"&amp;J1396)</f>
        <v/>
      </c>
    </row>
    <row r="1397" customFormat="false" ht="15" hidden="false" customHeight="false" outlineLevel="0" collapsed="false">
      <c r="A1397" s="15"/>
      <c r="B1397" s="21"/>
      <c r="C1397" s="21" t="str">
        <f aca="false">IF(B1397="","",IFERROR(INDEX(代理店一覧!$B$5:$B$204,MATCH(B1397,代理店一覧!$A$5:$A$204,0)),"※未登録のID"))</f>
        <v/>
      </c>
      <c r="D1397" s="21"/>
      <c r="E1397" s="21"/>
      <c r="F1397" s="21"/>
      <c r="G1397" s="18"/>
      <c r="H1397" s="21"/>
      <c r="I1397" s="26"/>
      <c r="J1397" s="15"/>
      <c r="K1397" s="27"/>
      <c r="L1397" s="25" t="str">
        <f aca="false">IF(B1397="","",B1397&amp;"|"&amp;J1397)</f>
        <v/>
      </c>
    </row>
    <row r="1398" customFormat="false" ht="15" hidden="false" customHeight="false" outlineLevel="0" collapsed="false">
      <c r="A1398" s="15"/>
      <c r="B1398" s="21"/>
      <c r="C1398" s="21" t="str">
        <f aca="false">IF(B1398="","",IFERROR(INDEX(代理店一覧!$B$5:$B$204,MATCH(B1398,代理店一覧!$A$5:$A$204,0)),"※未登録のID"))</f>
        <v/>
      </c>
      <c r="D1398" s="21"/>
      <c r="E1398" s="21"/>
      <c r="F1398" s="21"/>
      <c r="G1398" s="18"/>
      <c r="H1398" s="21"/>
      <c r="I1398" s="26"/>
      <c r="J1398" s="15"/>
      <c r="K1398" s="27"/>
      <c r="L1398" s="25" t="str">
        <f aca="false">IF(B1398="","",B1398&amp;"|"&amp;J1398)</f>
        <v/>
      </c>
    </row>
    <row r="1399" customFormat="false" ht="15" hidden="false" customHeight="false" outlineLevel="0" collapsed="false">
      <c r="A1399" s="15"/>
      <c r="B1399" s="21"/>
      <c r="C1399" s="21" t="str">
        <f aca="false">IF(B1399="","",IFERROR(INDEX(代理店一覧!$B$5:$B$204,MATCH(B1399,代理店一覧!$A$5:$A$204,0)),"※未登録のID"))</f>
        <v/>
      </c>
      <c r="D1399" s="21"/>
      <c r="E1399" s="21"/>
      <c r="F1399" s="21"/>
      <c r="G1399" s="18"/>
      <c r="H1399" s="21"/>
      <c r="I1399" s="26"/>
      <c r="J1399" s="15"/>
      <c r="K1399" s="27"/>
      <c r="L1399" s="25" t="str">
        <f aca="false">IF(B1399="","",B1399&amp;"|"&amp;J1399)</f>
        <v/>
      </c>
    </row>
    <row r="1400" customFormat="false" ht="15" hidden="false" customHeight="false" outlineLevel="0" collapsed="false">
      <c r="A1400" s="15"/>
      <c r="B1400" s="21"/>
      <c r="C1400" s="21" t="str">
        <f aca="false">IF(B1400="","",IFERROR(INDEX(代理店一覧!$B$5:$B$204,MATCH(B1400,代理店一覧!$A$5:$A$204,0)),"※未登録のID"))</f>
        <v/>
      </c>
      <c r="D1400" s="21"/>
      <c r="E1400" s="21"/>
      <c r="F1400" s="21"/>
      <c r="G1400" s="18"/>
      <c r="H1400" s="21"/>
      <c r="I1400" s="26"/>
      <c r="J1400" s="15"/>
      <c r="K1400" s="27"/>
      <c r="L1400" s="25" t="str">
        <f aca="false">IF(B1400="","",B1400&amp;"|"&amp;J1400)</f>
        <v/>
      </c>
    </row>
    <row r="1401" customFormat="false" ht="15" hidden="false" customHeight="false" outlineLevel="0" collapsed="false">
      <c r="A1401" s="15"/>
      <c r="B1401" s="21"/>
      <c r="C1401" s="21" t="str">
        <f aca="false">IF(B1401="","",IFERROR(INDEX(代理店一覧!$B$5:$B$204,MATCH(B1401,代理店一覧!$A$5:$A$204,0)),"※未登録のID"))</f>
        <v/>
      </c>
      <c r="D1401" s="21"/>
      <c r="E1401" s="21"/>
      <c r="F1401" s="21"/>
      <c r="G1401" s="18"/>
      <c r="H1401" s="21"/>
      <c r="I1401" s="26"/>
      <c r="J1401" s="15"/>
      <c r="K1401" s="27"/>
      <c r="L1401" s="25" t="str">
        <f aca="false">IF(B1401="","",B1401&amp;"|"&amp;J1401)</f>
        <v/>
      </c>
    </row>
    <row r="1402" customFormat="false" ht="15" hidden="false" customHeight="false" outlineLevel="0" collapsed="false">
      <c r="A1402" s="15"/>
      <c r="B1402" s="21"/>
      <c r="C1402" s="21" t="str">
        <f aca="false">IF(B1402="","",IFERROR(INDEX(代理店一覧!$B$5:$B$204,MATCH(B1402,代理店一覧!$A$5:$A$204,0)),"※未登録のID"))</f>
        <v/>
      </c>
      <c r="D1402" s="21"/>
      <c r="E1402" s="21"/>
      <c r="F1402" s="21"/>
      <c r="G1402" s="18"/>
      <c r="H1402" s="21"/>
      <c r="I1402" s="26"/>
      <c r="J1402" s="15"/>
      <c r="K1402" s="27"/>
      <c r="L1402" s="25" t="str">
        <f aca="false">IF(B1402="","",B1402&amp;"|"&amp;J1402)</f>
        <v/>
      </c>
    </row>
    <row r="1403" customFormat="false" ht="15" hidden="false" customHeight="false" outlineLevel="0" collapsed="false">
      <c r="A1403" s="15"/>
      <c r="B1403" s="21"/>
      <c r="C1403" s="21" t="str">
        <f aca="false">IF(B1403="","",IFERROR(INDEX(代理店一覧!$B$5:$B$204,MATCH(B1403,代理店一覧!$A$5:$A$204,0)),"※未登録のID"))</f>
        <v/>
      </c>
      <c r="D1403" s="21"/>
      <c r="E1403" s="21"/>
      <c r="F1403" s="21"/>
      <c r="G1403" s="18"/>
      <c r="H1403" s="21"/>
      <c r="I1403" s="26"/>
      <c r="J1403" s="15"/>
      <c r="K1403" s="27"/>
      <c r="L1403" s="25" t="str">
        <f aca="false">IF(B1403="","",B1403&amp;"|"&amp;J1403)</f>
        <v/>
      </c>
    </row>
    <row r="1404" customFormat="false" ht="15" hidden="false" customHeight="false" outlineLevel="0" collapsed="false">
      <c r="A1404" s="15"/>
      <c r="B1404" s="21"/>
      <c r="C1404" s="21" t="str">
        <f aca="false">IF(B1404="","",IFERROR(INDEX(代理店一覧!$B$5:$B$204,MATCH(B1404,代理店一覧!$A$5:$A$204,0)),"※未登録のID"))</f>
        <v/>
      </c>
      <c r="D1404" s="21"/>
      <c r="E1404" s="21"/>
      <c r="F1404" s="21"/>
      <c r="G1404" s="18"/>
      <c r="H1404" s="21"/>
      <c r="I1404" s="26"/>
      <c r="J1404" s="15"/>
      <c r="K1404" s="27"/>
      <c r="L1404" s="25" t="str">
        <f aca="false">IF(B1404="","",B1404&amp;"|"&amp;J1404)</f>
        <v/>
      </c>
    </row>
    <row r="1405" customFormat="false" ht="15" hidden="false" customHeight="false" outlineLevel="0" collapsed="false">
      <c r="A1405" s="15"/>
      <c r="B1405" s="21"/>
      <c r="C1405" s="21" t="str">
        <f aca="false">IF(B1405="","",IFERROR(INDEX(代理店一覧!$B$5:$B$204,MATCH(B1405,代理店一覧!$A$5:$A$204,0)),"※未登録のID"))</f>
        <v/>
      </c>
      <c r="D1405" s="21"/>
      <c r="E1405" s="21"/>
      <c r="F1405" s="21"/>
      <c r="G1405" s="18"/>
      <c r="H1405" s="21"/>
      <c r="I1405" s="26"/>
      <c r="J1405" s="15"/>
      <c r="K1405" s="27"/>
      <c r="L1405" s="25" t="str">
        <f aca="false">IF(B1405="","",B1405&amp;"|"&amp;J1405)</f>
        <v/>
      </c>
    </row>
    <row r="1406" customFormat="false" ht="15" hidden="false" customHeight="false" outlineLevel="0" collapsed="false">
      <c r="A1406" s="15"/>
      <c r="B1406" s="21"/>
      <c r="C1406" s="21" t="str">
        <f aca="false">IF(B1406="","",IFERROR(INDEX(代理店一覧!$B$5:$B$204,MATCH(B1406,代理店一覧!$A$5:$A$204,0)),"※未登録のID"))</f>
        <v/>
      </c>
      <c r="D1406" s="21"/>
      <c r="E1406" s="21"/>
      <c r="F1406" s="21"/>
      <c r="G1406" s="18"/>
      <c r="H1406" s="21"/>
      <c r="I1406" s="26"/>
      <c r="J1406" s="15"/>
      <c r="K1406" s="27"/>
      <c r="L1406" s="25" t="str">
        <f aca="false">IF(B1406="","",B1406&amp;"|"&amp;J1406)</f>
        <v/>
      </c>
    </row>
    <row r="1407" customFormat="false" ht="15" hidden="false" customHeight="false" outlineLevel="0" collapsed="false">
      <c r="A1407" s="15"/>
      <c r="B1407" s="21"/>
      <c r="C1407" s="21" t="str">
        <f aca="false">IF(B1407="","",IFERROR(INDEX(代理店一覧!$B$5:$B$204,MATCH(B1407,代理店一覧!$A$5:$A$204,0)),"※未登録のID"))</f>
        <v/>
      </c>
      <c r="D1407" s="21"/>
      <c r="E1407" s="21"/>
      <c r="F1407" s="21"/>
      <c r="G1407" s="18"/>
      <c r="H1407" s="21"/>
      <c r="I1407" s="26"/>
      <c r="J1407" s="15"/>
      <c r="K1407" s="27"/>
      <c r="L1407" s="25" t="str">
        <f aca="false">IF(B1407="","",B1407&amp;"|"&amp;J1407)</f>
        <v/>
      </c>
    </row>
    <row r="1408" customFormat="false" ht="15" hidden="false" customHeight="false" outlineLevel="0" collapsed="false">
      <c r="A1408" s="15"/>
      <c r="B1408" s="21"/>
      <c r="C1408" s="21" t="str">
        <f aca="false">IF(B1408="","",IFERROR(INDEX(代理店一覧!$B$5:$B$204,MATCH(B1408,代理店一覧!$A$5:$A$204,0)),"※未登録のID"))</f>
        <v/>
      </c>
      <c r="D1408" s="21"/>
      <c r="E1408" s="21"/>
      <c r="F1408" s="21"/>
      <c r="G1408" s="18"/>
      <c r="H1408" s="21"/>
      <c r="I1408" s="26"/>
      <c r="J1408" s="15"/>
      <c r="K1408" s="27"/>
      <c r="L1408" s="25" t="str">
        <f aca="false">IF(B1408="","",B1408&amp;"|"&amp;J1408)</f>
        <v/>
      </c>
    </row>
    <row r="1409" customFormat="false" ht="15" hidden="false" customHeight="false" outlineLevel="0" collapsed="false">
      <c r="A1409" s="15"/>
      <c r="B1409" s="21"/>
      <c r="C1409" s="21" t="str">
        <f aca="false">IF(B1409="","",IFERROR(INDEX(代理店一覧!$B$5:$B$204,MATCH(B1409,代理店一覧!$A$5:$A$204,0)),"※未登録のID"))</f>
        <v/>
      </c>
      <c r="D1409" s="21"/>
      <c r="E1409" s="21"/>
      <c r="F1409" s="21"/>
      <c r="G1409" s="18"/>
      <c r="H1409" s="21"/>
      <c r="I1409" s="26"/>
      <c r="J1409" s="15"/>
      <c r="K1409" s="27"/>
      <c r="L1409" s="25" t="str">
        <f aca="false">IF(B1409="","",B1409&amp;"|"&amp;J1409)</f>
        <v/>
      </c>
    </row>
    <row r="1410" customFormat="false" ht="15" hidden="false" customHeight="false" outlineLevel="0" collapsed="false">
      <c r="A1410" s="15"/>
      <c r="B1410" s="21"/>
      <c r="C1410" s="21" t="str">
        <f aca="false">IF(B1410="","",IFERROR(INDEX(代理店一覧!$B$5:$B$204,MATCH(B1410,代理店一覧!$A$5:$A$204,0)),"※未登録のID"))</f>
        <v/>
      </c>
      <c r="D1410" s="21"/>
      <c r="E1410" s="21"/>
      <c r="F1410" s="21"/>
      <c r="G1410" s="18"/>
      <c r="H1410" s="21"/>
      <c r="I1410" s="26"/>
      <c r="J1410" s="15"/>
      <c r="K1410" s="27"/>
      <c r="L1410" s="25" t="str">
        <f aca="false">IF(B1410="","",B1410&amp;"|"&amp;J1410)</f>
        <v/>
      </c>
    </row>
    <row r="1411" customFormat="false" ht="15" hidden="false" customHeight="false" outlineLevel="0" collapsed="false">
      <c r="A1411" s="15"/>
      <c r="B1411" s="21"/>
      <c r="C1411" s="21" t="str">
        <f aca="false">IF(B1411="","",IFERROR(INDEX(代理店一覧!$B$5:$B$204,MATCH(B1411,代理店一覧!$A$5:$A$204,0)),"※未登録のID"))</f>
        <v/>
      </c>
      <c r="D1411" s="21"/>
      <c r="E1411" s="21"/>
      <c r="F1411" s="21"/>
      <c r="G1411" s="18"/>
      <c r="H1411" s="21"/>
      <c r="I1411" s="26"/>
      <c r="J1411" s="15"/>
      <c r="K1411" s="27"/>
      <c r="L1411" s="25" t="str">
        <f aca="false">IF(B1411="","",B1411&amp;"|"&amp;J1411)</f>
        <v/>
      </c>
    </row>
    <row r="1412" customFormat="false" ht="15" hidden="false" customHeight="false" outlineLevel="0" collapsed="false">
      <c r="A1412" s="15"/>
      <c r="B1412" s="21"/>
      <c r="C1412" s="21" t="str">
        <f aca="false">IF(B1412="","",IFERROR(INDEX(代理店一覧!$B$5:$B$204,MATCH(B1412,代理店一覧!$A$5:$A$204,0)),"※未登録のID"))</f>
        <v/>
      </c>
      <c r="D1412" s="21"/>
      <c r="E1412" s="21"/>
      <c r="F1412" s="21"/>
      <c r="G1412" s="18"/>
      <c r="H1412" s="21"/>
      <c r="I1412" s="26"/>
      <c r="J1412" s="15"/>
      <c r="K1412" s="27"/>
      <c r="L1412" s="25" t="str">
        <f aca="false">IF(B1412="","",B1412&amp;"|"&amp;J1412)</f>
        <v/>
      </c>
    </row>
    <row r="1413" customFormat="false" ht="15" hidden="false" customHeight="false" outlineLevel="0" collapsed="false">
      <c r="A1413" s="15"/>
      <c r="B1413" s="21"/>
      <c r="C1413" s="21" t="str">
        <f aca="false">IF(B1413="","",IFERROR(INDEX(代理店一覧!$B$5:$B$204,MATCH(B1413,代理店一覧!$A$5:$A$204,0)),"※未登録のID"))</f>
        <v/>
      </c>
      <c r="D1413" s="21"/>
      <c r="E1413" s="21"/>
      <c r="F1413" s="21"/>
      <c r="G1413" s="18"/>
      <c r="H1413" s="21"/>
      <c r="I1413" s="26"/>
      <c r="J1413" s="15"/>
      <c r="K1413" s="27"/>
      <c r="L1413" s="25" t="str">
        <f aca="false">IF(B1413="","",B1413&amp;"|"&amp;J1413)</f>
        <v/>
      </c>
    </row>
    <row r="1414" customFormat="false" ht="15" hidden="false" customHeight="false" outlineLevel="0" collapsed="false">
      <c r="A1414" s="15"/>
      <c r="B1414" s="21"/>
      <c r="C1414" s="21" t="str">
        <f aca="false">IF(B1414="","",IFERROR(INDEX(代理店一覧!$B$5:$B$204,MATCH(B1414,代理店一覧!$A$5:$A$204,0)),"※未登録のID"))</f>
        <v/>
      </c>
      <c r="D1414" s="21"/>
      <c r="E1414" s="21"/>
      <c r="F1414" s="21"/>
      <c r="G1414" s="18"/>
      <c r="H1414" s="21"/>
      <c r="I1414" s="26"/>
      <c r="J1414" s="15"/>
      <c r="K1414" s="27"/>
      <c r="L1414" s="25" t="str">
        <f aca="false">IF(B1414="","",B1414&amp;"|"&amp;J1414)</f>
        <v/>
      </c>
    </row>
    <row r="1415" customFormat="false" ht="15" hidden="false" customHeight="false" outlineLevel="0" collapsed="false">
      <c r="A1415" s="15"/>
      <c r="B1415" s="21"/>
      <c r="C1415" s="21" t="str">
        <f aca="false">IF(B1415="","",IFERROR(INDEX(代理店一覧!$B$5:$B$204,MATCH(B1415,代理店一覧!$A$5:$A$204,0)),"※未登録のID"))</f>
        <v/>
      </c>
      <c r="D1415" s="21"/>
      <c r="E1415" s="21"/>
      <c r="F1415" s="21"/>
      <c r="G1415" s="18"/>
      <c r="H1415" s="21"/>
      <c r="I1415" s="26"/>
      <c r="J1415" s="15"/>
      <c r="K1415" s="27"/>
      <c r="L1415" s="25" t="str">
        <f aca="false">IF(B1415="","",B1415&amp;"|"&amp;J1415)</f>
        <v/>
      </c>
    </row>
    <row r="1416" customFormat="false" ht="15" hidden="false" customHeight="false" outlineLevel="0" collapsed="false">
      <c r="A1416" s="15"/>
      <c r="B1416" s="21"/>
      <c r="C1416" s="21" t="str">
        <f aca="false">IF(B1416="","",IFERROR(INDEX(代理店一覧!$B$5:$B$204,MATCH(B1416,代理店一覧!$A$5:$A$204,0)),"※未登録のID"))</f>
        <v/>
      </c>
      <c r="D1416" s="21"/>
      <c r="E1416" s="21"/>
      <c r="F1416" s="21"/>
      <c r="G1416" s="18"/>
      <c r="H1416" s="21"/>
      <c r="I1416" s="26"/>
      <c r="J1416" s="15"/>
      <c r="K1416" s="27"/>
      <c r="L1416" s="25" t="str">
        <f aca="false">IF(B1416="","",B1416&amp;"|"&amp;J1416)</f>
        <v/>
      </c>
    </row>
    <row r="1417" customFormat="false" ht="15" hidden="false" customHeight="false" outlineLevel="0" collapsed="false">
      <c r="A1417" s="15"/>
      <c r="B1417" s="21"/>
      <c r="C1417" s="21" t="str">
        <f aca="false">IF(B1417="","",IFERROR(INDEX(代理店一覧!$B$5:$B$204,MATCH(B1417,代理店一覧!$A$5:$A$204,0)),"※未登録のID"))</f>
        <v/>
      </c>
      <c r="D1417" s="21"/>
      <c r="E1417" s="21"/>
      <c r="F1417" s="21"/>
      <c r="G1417" s="18"/>
      <c r="H1417" s="21"/>
      <c r="I1417" s="26"/>
      <c r="J1417" s="15"/>
      <c r="K1417" s="27"/>
      <c r="L1417" s="25" t="str">
        <f aca="false">IF(B1417="","",B1417&amp;"|"&amp;J1417)</f>
        <v/>
      </c>
    </row>
    <row r="1418" customFormat="false" ht="15" hidden="false" customHeight="false" outlineLevel="0" collapsed="false">
      <c r="A1418" s="15"/>
      <c r="B1418" s="21"/>
      <c r="C1418" s="21" t="str">
        <f aca="false">IF(B1418="","",IFERROR(INDEX(代理店一覧!$B$5:$B$204,MATCH(B1418,代理店一覧!$A$5:$A$204,0)),"※未登録のID"))</f>
        <v/>
      </c>
      <c r="D1418" s="21"/>
      <c r="E1418" s="21"/>
      <c r="F1418" s="21"/>
      <c r="G1418" s="18"/>
      <c r="H1418" s="21"/>
      <c r="I1418" s="26"/>
      <c r="J1418" s="15"/>
      <c r="K1418" s="27"/>
      <c r="L1418" s="25" t="str">
        <f aca="false">IF(B1418="","",B1418&amp;"|"&amp;J1418)</f>
        <v/>
      </c>
    </row>
    <row r="1419" customFormat="false" ht="15" hidden="false" customHeight="false" outlineLevel="0" collapsed="false">
      <c r="A1419" s="15"/>
      <c r="B1419" s="21"/>
      <c r="C1419" s="21" t="str">
        <f aca="false">IF(B1419="","",IFERROR(INDEX(代理店一覧!$B$5:$B$204,MATCH(B1419,代理店一覧!$A$5:$A$204,0)),"※未登録のID"))</f>
        <v/>
      </c>
      <c r="D1419" s="21"/>
      <c r="E1419" s="21"/>
      <c r="F1419" s="21"/>
      <c r="G1419" s="18"/>
      <c r="H1419" s="21"/>
      <c r="I1419" s="26"/>
      <c r="J1419" s="15"/>
      <c r="K1419" s="27"/>
      <c r="L1419" s="25" t="str">
        <f aca="false">IF(B1419="","",B1419&amp;"|"&amp;J1419)</f>
        <v/>
      </c>
    </row>
    <row r="1420" customFormat="false" ht="15" hidden="false" customHeight="false" outlineLevel="0" collapsed="false">
      <c r="A1420" s="15"/>
      <c r="B1420" s="21"/>
      <c r="C1420" s="21" t="str">
        <f aca="false">IF(B1420="","",IFERROR(INDEX(代理店一覧!$B$5:$B$204,MATCH(B1420,代理店一覧!$A$5:$A$204,0)),"※未登録のID"))</f>
        <v/>
      </c>
      <c r="D1420" s="21"/>
      <c r="E1420" s="21"/>
      <c r="F1420" s="21"/>
      <c r="G1420" s="18"/>
      <c r="H1420" s="21"/>
      <c r="I1420" s="26"/>
      <c r="J1420" s="15"/>
      <c r="K1420" s="27"/>
      <c r="L1420" s="25" t="str">
        <f aca="false">IF(B1420="","",B1420&amp;"|"&amp;J1420)</f>
        <v/>
      </c>
    </row>
    <row r="1421" customFormat="false" ht="15" hidden="false" customHeight="false" outlineLevel="0" collapsed="false">
      <c r="A1421" s="15"/>
      <c r="B1421" s="21"/>
      <c r="C1421" s="21" t="str">
        <f aca="false">IF(B1421="","",IFERROR(INDEX(代理店一覧!$B$5:$B$204,MATCH(B1421,代理店一覧!$A$5:$A$204,0)),"※未登録のID"))</f>
        <v/>
      </c>
      <c r="D1421" s="21"/>
      <c r="E1421" s="21"/>
      <c r="F1421" s="21"/>
      <c r="G1421" s="18"/>
      <c r="H1421" s="21"/>
      <c r="I1421" s="26"/>
      <c r="J1421" s="15"/>
      <c r="K1421" s="27"/>
      <c r="L1421" s="25" t="str">
        <f aca="false">IF(B1421="","",B1421&amp;"|"&amp;J1421)</f>
        <v/>
      </c>
    </row>
    <row r="1422" customFormat="false" ht="15" hidden="false" customHeight="false" outlineLevel="0" collapsed="false">
      <c r="A1422" s="15"/>
      <c r="B1422" s="21"/>
      <c r="C1422" s="21" t="str">
        <f aca="false">IF(B1422="","",IFERROR(INDEX(代理店一覧!$B$5:$B$204,MATCH(B1422,代理店一覧!$A$5:$A$204,0)),"※未登録のID"))</f>
        <v/>
      </c>
      <c r="D1422" s="21"/>
      <c r="E1422" s="21"/>
      <c r="F1422" s="21"/>
      <c r="G1422" s="18"/>
      <c r="H1422" s="21"/>
      <c r="I1422" s="26"/>
      <c r="J1422" s="15"/>
      <c r="K1422" s="27"/>
      <c r="L1422" s="25" t="str">
        <f aca="false">IF(B1422="","",B1422&amp;"|"&amp;J1422)</f>
        <v/>
      </c>
    </row>
    <row r="1423" customFormat="false" ht="15" hidden="false" customHeight="false" outlineLevel="0" collapsed="false">
      <c r="A1423" s="15"/>
      <c r="B1423" s="21"/>
      <c r="C1423" s="21" t="str">
        <f aca="false">IF(B1423="","",IFERROR(INDEX(代理店一覧!$B$5:$B$204,MATCH(B1423,代理店一覧!$A$5:$A$204,0)),"※未登録のID"))</f>
        <v/>
      </c>
      <c r="D1423" s="21"/>
      <c r="E1423" s="21"/>
      <c r="F1423" s="21"/>
      <c r="G1423" s="18"/>
      <c r="H1423" s="21"/>
      <c r="I1423" s="26"/>
      <c r="J1423" s="15"/>
      <c r="K1423" s="27"/>
      <c r="L1423" s="25" t="str">
        <f aca="false">IF(B1423="","",B1423&amp;"|"&amp;J1423)</f>
        <v/>
      </c>
    </row>
    <row r="1424" customFormat="false" ht="15" hidden="false" customHeight="false" outlineLevel="0" collapsed="false">
      <c r="A1424" s="15"/>
      <c r="B1424" s="21"/>
      <c r="C1424" s="21" t="str">
        <f aca="false">IF(B1424="","",IFERROR(INDEX(代理店一覧!$B$5:$B$204,MATCH(B1424,代理店一覧!$A$5:$A$204,0)),"※未登録のID"))</f>
        <v/>
      </c>
      <c r="D1424" s="21"/>
      <c r="E1424" s="21"/>
      <c r="F1424" s="21"/>
      <c r="G1424" s="18"/>
      <c r="H1424" s="21"/>
      <c r="I1424" s="26"/>
      <c r="J1424" s="15"/>
      <c r="K1424" s="27"/>
      <c r="L1424" s="25" t="str">
        <f aca="false">IF(B1424="","",B1424&amp;"|"&amp;J1424)</f>
        <v/>
      </c>
    </row>
    <row r="1425" customFormat="false" ht="15" hidden="false" customHeight="false" outlineLevel="0" collapsed="false">
      <c r="A1425" s="15"/>
      <c r="B1425" s="21"/>
      <c r="C1425" s="21" t="str">
        <f aca="false">IF(B1425="","",IFERROR(INDEX(代理店一覧!$B$5:$B$204,MATCH(B1425,代理店一覧!$A$5:$A$204,0)),"※未登録のID"))</f>
        <v/>
      </c>
      <c r="D1425" s="21"/>
      <c r="E1425" s="21"/>
      <c r="F1425" s="21"/>
      <c r="G1425" s="18"/>
      <c r="H1425" s="21"/>
      <c r="I1425" s="26"/>
      <c r="J1425" s="15"/>
      <c r="K1425" s="27"/>
      <c r="L1425" s="25" t="str">
        <f aca="false">IF(B1425="","",B1425&amp;"|"&amp;J1425)</f>
        <v/>
      </c>
    </row>
    <row r="1426" customFormat="false" ht="15" hidden="false" customHeight="false" outlineLevel="0" collapsed="false">
      <c r="A1426" s="15"/>
      <c r="B1426" s="21"/>
      <c r="C1426" s="21" t="str">
        <f aca="false">IF(B1426="","",IFERROR(INDEX(代理店一覧!$B$5:$B$204,MATCH(B1426,代理店一覧!$A$5:$A$204,0)),"※未登録のID"))</f>
        <v/>
      </c>
      <c r="D1426" s="21"/>
      <c r="E1426" s="21"/>
      <c r="F1426" s="21"/>
      <c r="G1426" s="18"/>
      <c r="H1426" s="21"/>
      <c r="I1426" s="26"/>
      <c r="J1426" s="15"/>
      <c r="K1426" s="27"/>
      <c r="L1426" s="25" t="str">
        <f aca="false">IF(B1426="","",B1426&amp;"|"&amp;J1426)</f>
        <v/>
      </c>
    </row>
    <row r="1427" customFormat="false" ht="15" hidden="false" customHeight="false" outlineLevel="0" collapsed="false">
      <c r="A1427" s="15"/>
      <c r="B1427" s="21"/>
      <c r="C1427" s="21" t="str">
        <f aca="false">IF(B1427="","",IFERROR(INDEX(代理店一覧!$B$5:$B$204,MATCH(B1427,代理店一覧!$A$5:$A$204,0)),"※未登録のID"))</f>
        <v/>
      </c>
      <c r="D1427" s="21"/>
      <c r="E1427" s="21"/>
      <c r="F1427" s="21"/>
      <c r="G1427" s="18"/>
      <c r="H1427" s="21"/>
      <c r="I1427" s="26"/>
      <c r="J1427" s="15"/>
      <c r="K1427" s="27"/>
      <c r="L1427" s="25" t="str">
        <f aca="false">IF(B1427="","",B1427&amp;"|"&amp;J1427)</f>
        <v/>
      </c>
    </row>
    <row r="1428" customFormat="false" ht="15" hidden="false" customHeight="false" outlineLevel="0" collapsed="false">
      <c r="A1428" s="15"/>
      <c r="B1428" s="21"/>
      <c r="C1428" s="21" t="str">
        <f aca="false">IF(B1428="","",IFERROR(INDEX(代理店一覧!$B$5:$B$204,MATCH(B1428,代理店一覧!$A$5:$A$204,0)),"※未登録のID"))</f>
        <v/>
      </c>
      <c r="D1428" s="21"/>
      <c r="E1428" s="21"/>
      <c r="F1428" s="21"/>
      <c r="G1428" s="18"/>
      <c r="H1428" s="21"/>
      <c r="I1428" s="26"/>
      <c r="J1428" s="15"/>
      <c r="K1428" s="27"/>
      <c r="L1428" s="25" t="str">
        <f aca="false">IF(B1428="","",B1428&amp;"|"&amp;J1428)</f>
        <v/>
      </c>
    </row>
    <row r="1429" customFormat="false" ht="15" hidden="false" customHeight="false" outlineLevel="0" collapsed="false">
      <c r="A1429" s="15"/>
      <c r="B1429" s="21"/>
      <c r="C1429" s="21" t="str">
        <f aca="false">IF(B1429="","",IFERROR(INDEX(代理店一覧!$B$5:$B$204,MATCH(B1429,代理店一覧!$A$5:$A$204,0)),"※未登録のID"))</f>
        <v/>
      </c>
      <c r="D1429" s="21"/>
      <c r="E1429" s="21"/>
      <c r="F1429" s="21"/>
      <c r="G1429" s="18"/>
      <c r="H1429" s="21"/>
      <c r="I1429" s="26"/>
      <c r="J1429" s="15"/>
      <c r="K1429" s="27"/>
      <c r="L1429" s="25" t="str">
        <f aca="false">IF(B1429="","",B1429&amp;"|"&amp;J1429)</f>
        <v/>
      </c>
    </row>
    <row r="1430" customFormat="false" ht="15" hidden="false" customHeight="false" outlineLevel="0" collapsed="false">
      <c r="A1430" s="15"/>
      <c r="B1430" s="21"/>
      <c r="C1430" s="21" t="str">
        <f aca="false">IF(B1430="","",IFERROR(INDEX(代理店一覧!$B$5:$B$204,MATCH(B1430,代理店一覧!$A$5:$A$204,0)),"※未登録のID"))</f>
        <v/>
      </c>
      <c r="D1430" s="21"/>
      <c r="E1430" s="21"/>
      <c r="F1430" s="21"/>
      <c r="G1430" s="18"/>
      <c r="H1430" s="21"/>
      <c r="I1430" s="26"/>
      <c r="J1430" s="15"/>
      <c r="K1430" s="27"/>
      <c r="L1430" s="25" t="str">
        <f aca="false">IF(B1430="","",B1430&amp;"|"&amp;J1430)</f>
        <v/>
      </c>
    </row>
    <row r="1431" customFormat="false" ht="15" hidden="false" customHeight="false" outlineLevel="0" collapsed="false">
      <c r="A1431" s="15"/>
      <c r="B1431" s="21"/>
      <c r="C1431" s="21" t="str">
        <f aca="false">IF(B1431="","",IFERROR(INDEX(代理店一覧!$B$5:$B$204,MATCH(B1431,代理店一覧!$A$5:$A$204,0)),"※未登録のID"))</f>
        <v/>
      </c>
      <c r="D1431" s="21"/>
      <c r="E1431" s="21"/>
      <c r="F1431" s="21"/>
      <c r="G1431" s="18"/>
      <c r="H1431" s="21"/>
      <c r="I1431" s="26"/>
      <c r="J1431" s="15"/>
      <c r="K1431" s="27"/>
      <c r="L1431" s="25" t="str">
        <f aca="false">IF(B1431="","",B1431&amp;"|"&amp;J1431)</f>
        <v/>
      </c>
    </row>
    <row r="1432" customFormat="false" ht="15" hidden="false" customHeight="false" outlineLevel="0" collapsed="false">
      <c r="A1432" s="15"/>
      <c r="B1432" s="21"/>
      <c r="C1432" s="21" t="str">
        <f aca="false">IF(B1432="","",IFERROR(INDEX(代理店一覧!$B$5:$B$204,MATCH(B1432,代理店一覧!$A$5:$A$204,0)),"※未登録のID"))</f>
        <v/>
      </c>
      <c r="D1432" s="21"/>
      <c r="E1432" s="21"/>
      <c r="F1432" s="21"/>
      <c r="G1432" s="18"/>
      <c r="H1432" s="21"/>
      <c r="I1432" s="26"/>
      <c r="J1432" s="15"/>
      <c r="K1432" s="27"/>
      <c r="L1432" s="25" t="str">
        <f aca="false">IF(B1432="","",B1432&amp;"|"&amp;J1432)</f>
        <v/>
      </c>
    </row>
    <row r="1433" customFormat="false" ht="15" hidden="false" customHeight="false" outlineLevel="0" collapsed="false">
      <c r="A1433" s="15"/>
      <c r="B1433" s="21"/>
      <c r="C1433" s="21" t="str">
        <f aca="false">IF(B1433="","",IFERROR(INDEX(代理店一覧!$B$5:$B$204,MATCH(B1433,代理店一覧!$A$5:$A$204,0)),"※未登録のID"))</f>
        <v/>
      </c>
      <c r="D1433" s="21"/>
      <c r="E1433" s="21"/>
      <c r="F1433" s="21"/>
      <c r="G1433" s="18"/>
      <c r="H1433" s="21"/>
      <c r="I1433" s="26"/>
      <c r="J1433" s="15"/>
      <c r="K1433" s="27"/>
      <c r="L1433" s="25" t="str">
        <f aca="false">IF(B1433="","",B1433&amp;"|"&amp;J1433)</f>
        <v/>
      </c>
    </row>
    <row r="1434" customFormat="false" ht="15" hidden="false" customHeight="false" outlineLevel="0" collapsed="false">
      <c r="A1434" s="15"/>
      <c r="B1434" s="21"/>
      <c r="C1434" s="21" t="str">
        <f aca="false">IF(B1434="","",IFERROR(INDEX(代理店一覧!$B$5:$B$204,MATCH(B1434,代理店一覧!$A$5:$A$204,0)),"※未登録のID"))</f>
        <v/>
      </c>
      <c r="D1434" s="21"/>
      <c r="E1434" s="21"/>
      <c r="F1434" s="21"/>
      <c r="G1434" s="18"/>
      <c r="H1434" s="21"/>
      <c r="I1434" s="26"/>
      <c r="J1434" s="15"/>
      <c r="K1434" s="27"/>
      <c r="L1434" s="25" t="str">
        <f aca="false">IF(B1434="","",B1434&amp;"|"&amp;J1434)</f>
        <v/>
      </c>
    </row>
    <row r="1435" customFormat="false" ht="15" hidden="false" customHeight="false" outlineLevel="0" collapsed="false">
      <c r="A1435" s="15"/>
      <c r="B1435" s="21"/>
      <c r="C1435" s="21" t="str">
        <f aca="false">IF(B1435="","",IFERROR(INDEX(代理店一覧!$B$5:$B$204,MATCH(B1435,代理店一覧!$A$5:$A$204,0)),"※未登録のID"))</f>
        <v/>
      </c>
      <c r="D1435" s="21"/>
      <c r="E1435" s="21"/>
      <c r="F1435" s="21"/>
      <c r="G1435" s="18"/>
      <c r="H1435" s="21"/>
      <c r="I1435" s="26"/>
      <c r="J1435" s="15"/>
      <c r="K1435" s="27"/>
      <c r="L1435" s="25" t="str">
        <f aca="false">IF(B1435="","",B1435&amp;"|"&amp;J1435)</f>
        <v/>
      </c>
    </row>
    <row r="1436" customFormat="false" ht="15" hidden="false" customHeight="false" outlineLevel="0" collapsed="false">
      <c r="A1436" s="15"/>
      <c r="B1436" s="21"/>
      <c r="C1436" s="21" t="str">
        <f aca="false">IF(B1436="","",IFERROR(INDEX(代理店一覧!$B$5:$B$204,MATCH(B1436,代理店一覧!$A$5:$A$204,0)),"※未登録のID"))</f>
        <v/>
      </c>
      <c r="D1436" s="21"/>
      <c r="E1436" s="21"/>
      <c r="F1436" s="21"/>
      <c r="G1436" s="18"/>
      <c r="H1436" s="21"/>
      <c r="I1436" s="26"/>
      <c r="J1436" s="15"/>
      <c r="K1436" s="27"/>
      <c r="L1436" s="25" t="str">
        <f aca="false">IF(B1436="","",B1436&amp;"|"&amp;J1436)</f>
        <v/>
      </c>
    </row>
    <row r="1437" customFormat="false" ht="15" hidden="false" customHeight="false" outlineLevel="0" collapsed="false">
      <c r="A1437" s="15"/>
      <c r="B1437" s="21"/>
      <c r="C1437" s="21" t="str">
        <f aca="false">IF(B1437="","",IFERROR(INDEX(代理店一覧!$B$5:$B$204,MATCH(B1437,代理店一覧!$A$5:$A$204,0)),"※未登録のID"))</f>
        <v/>
      </c>
      <c r="D1437" s="21"/>
      <c r="E1437" s="21"/>
      <c r="F1437" s="21"/>
      <c r="G1437" s="18"/>
      <c r="H1437" s="21"/>
      <c r="I1437" s="26"/>
      <c r="J1437" s="15"/>
      <c r="K1437" s="27"/>
      <c r="L1437" s="25" t="str">
        <f aca="false">IF(B1437="","",B1437&amp;"|"&amp;J1437)</f>
        <v/>
      </c>
    </row>
    <row r="1438" customFormat="false" ht="15" hidden="false" customHeight="false" outlineLevel="0" collapsed="false">
      <c r="A1438" s="15"/>
      <c r="B1438" s="21"/>
      <c r="C1438" s="21" t="str">
        <f aca="false">IF(B1438="","",IFERROR(INDEX(代理店一覧!$B$5:$B$204,MATCH(B1438,代理店一覧!$A$5:$A$204,0)),"※未登録のID"))</f>
        <v/>
      </c>
      <c r="D1438" s="21"/>
      <c r="E1438" s="21"/>
      <c r="F1438" s="21"/>
      <c r="G1438" s="18"/>
      <c r="H1438" s="21"/>
      <c r="I1438" s="26"/>
      <c r="J1438" s="15"/>
      <c r="K1438" s="27"/>
      <c r="L1438" s="25" t="str">
        <f aca="false">IF(B1438="","",B1438&amp;"|"&amp;J1438)</f>
        <v/>
      </c>
    </row>
    <row r="1439" customFormat="false" ht="15" hidden="false" customHeight="false" outlineLevel="0" collapsed="false">
      <c r="A1439" s="15"/>
      <c r="B1439" s="21"/>
      <c r="C1439" s="21" t="str">
        <f aca="false">IF(B1439="","",IFERROR(INDEX(代理店一覧!$B$5:$B$204,MATCH(B1439,代理店一覧!$A$5:$A$204,0)),"※未登録のID"))</f>
        <v/>
      </c>
      <c r="D1439" s="21"/>
      <c r="E1439" s="21"/>
      <c r="F1439" s="21"/>
      <c r="G1439" s="18"/>
      <c r="H1439" s="21"/>
      <c r="I1439" s="26"/>
      <c r="J1439" s="15"/>
      <c r="K1439" s="27"/>
      <c r="L1439" s="25" t="str">
        <f aca="false">IF(B1439="","",B1439&amp;"|"&amp;J1439)</f>
        <v/>
      </c>
    </row>
    <row r="1440" customFormat="false" ht="15" hidden="false" customHeight="false" outlineLevel="0" collapsed="false">
      <c r="A1440" s="15"/>
      <c r="B1440" s="21"/>
      <c r="C1440" s="21" t="str">
        <f aca="false">IF(B1440="","",IFERROR(INDEX(代理店一覧!$B$5:$B$204,MATCH(B1440,代理店一覧!$A$5:$A$204,0)),"※未登録のID"))</f>
        <v/>
      </c>
      <c r="D1440" s="21"/>
      <c r="E1440" s="21"/>
      <c r="F1440" s="21"/>
      <c r="G1440" s="18"/>
      <c r="H1440" s="21"/>
      <c r="I1440" s="26"/>
      <c r="J1440" s="15"/>
      <c r="K1440" s="27"/>
      <c r="L1440" s="25" t="str">
        <f aca="false">IF(B1440="","",B1440&amp;"|"&amp;J1440)</f>
        <v/>
      </c>
    </row>
    <row r="1441" customFormat="false" ht="15" hidden="false" customHeight="false" outlineLevel="0" collapsed="false">
      <c r="A1441" s="15"/>
      <c r="B1441" s="21"/>
      <c r="C1441" s="21" t="str">
        <f aca="false">IF(B1441="","",IFERROR(INDEX(代理店一覧!$B$5:$B$204,MATCH(B1441,代理店一覧!$A$5:$A$204,0)),"※未登録のID"))</f>
        <v/>
      </c>
      <c r="D1441" s="21"/>
      <c r="E1441" s="21"/>
      <c r="F1441" s="21"/>
      <c r="G1441" s="18"/>
      <c r="H1441" s="21"/>
      <c r="I1441" s="26"/>
      <c r="J1441" s="15"/>
      <c r="K1441" s="27"/>
      <c r="L1441" s="25" t="str">
        <f aca="false">IF(B1441="","",B1441&amp;"|"&amp;J1441)</f>
        <v/>
      </c>
    </row>
    <row r="1442" customFormat="false" ht="15" hidden="false" customHeight="false" outlineLevel="0" collapsed="false">
      <c r="A1442" s="15"/>
      <c r="B1442" s="21"/>
      <c r="C1442" s="21" t="str">
        <f aca="false">IF(B1442="","",IFERROR(INDEX(代理店一覧!$B$5:$B$204,MATCH(B1442,代理店一覧!$A$5:$A$204,0)),"※未登録のID"))</f>
        <v/>
      </c>
      <c r="D1442" s="21"/>
      <c r="E1442" s="21"/>
      <c r="F1442" s="21"/>
      <c r="G1442" s="18"/>
      <c r="H1442" s="21"/>
      <c r="I1442" s="26"/>
      <c r="J1442" s="15"/>
      <c r="K1442" s="27"/>
      <c r="L1442" s="25" t="str">
        <f aca="false">IF(B1442="","",B1442&amp;"|"&amp;J1442)</f>
        <v/>
      </c>
    </row>
    <row r="1443" customFormat="false" ht="15" hidden="false" customHeight="false" outlineLevel="0" collapsed="false">
      <c r="A1443" s="15"/>
      <c r="B1443" s="21"/>
      <c r="C1443" s="21" t="str">
        <f aca="false">IF(B1443="","",IFERROR(INDEX(代理店一覧!$B$5:$B$204,MATCH(B1443,代理店一覧!$A$5:$A$204,0)),"※未登録のID"))</f>
        <v/>
      </c>
      <c r="D1443" s="21"/>
      <c r="E1443" s="21"/>
      <c r="F1443" s="21"/>
      <c r="G1443" s="18"/>
      <c r="H1443" s="21"/>
      <c r="I1443" s="26"/>
      <c r="J1443" s="15"/>
      <c r="K1443" s="27"/>
      <c r="L1443" s="25" t="str">
        <f aca="false">IF(B1443="","",B1443&amp;"|"&amp;J1443)</f>
        <v/>
      </c>
    </row>
    <row r="1444" customFormat="false" ht="15" hidden="false" customHeight="false" outlineLevel="0" collapsed="false">
      <c r="A1444" s="15"/>
      <c r="B1444" s="21"/>
      <c r="C1444" s="21" t="str">
        <f aca="false">IF(B1444="","",IFERROR(INDEX(代理店一覧!$B$5:$B$204,MATCH(B1444,代理店一覧!$A$5:$A$204,0)),"※未登録のID"))</f>
        <v/>
      </c>
      <c r="D1444" s="21"/>
      <c r="E1444" s="21"/>
      <c r="F1444" s="21"/>
      <c r="G1444" s="18"/>
      <c r="H1444" s="21"/>
      <c r="I1444" s="26"/>
      <c r="J1444" s="15"/>
      <c r="K1444" s="27"/>
      <c r="L1444" s="25" t="str">
        <f aca="false">IF(B1444="","",B1444&amp;"|"&amp;J1444)</f>
        <v/>
      </c>
    </row>
    <row r="1445" customFormat="false" ht="15" hidden="false" customHeight="false" outlineLevel="0" collapsed="false">
      <c r="A1445" s="15"/>
      <c r="B1445" s="21"/>
      <c r="C1445" s="21" t="str">
        <f aca="false">IF(B1445="","",IFERROR(INDEX(代理店一覧!$B$5:$B$204,MATCH(B1445,代理店一覧!$A$5:$A$204,0)),"※未登録のID"))</f>
        <v/>
      </c>
      <c r="D1445" s="21"/>
      <c r="E1445" s="21"/>
      <c r="F1445" s="21"/>
      <c r="G1445" s="18"/>
      <c r="H1445" s="21"/>
      <c r="I1445" s="26"/>
      <c r="J1445" s="15"/>
      <c r="K1445" s="27"/>
      <c r="L1445" s="25" t="str">
        <f aca="false">IF(B1445="","",B1445&amp;"|"&amp;J1445)</f>
        <v/>
      </c>
    </row>
    <row r="1446" customFormat="false" ht="15" hidden="false" customHeight="false" outlineLevel="0" collapsed="false">
      <c r="A1446" s="15"/>
      <c r="B1446" s="21"/>
      <c r="C1446" s="21" t="str">
        <f aca="false">IF(B1446="","",IFERROR(INDEX(代理店一覧!$B$5:$B$204,MATCH(B1446,代理店一覧!$A$5:$A$204,0)),"※未登録のID"))</f>
        <v/>
      </c>
      <c r="D1446" s="21"/>
      <c r="E1446" s="21"/>
      <c r="F1446" s="21"/>
      <c r="G1446" s="18"/>
      <c r="H1446" s="21"/>
      <c r="I1446" s="26"/>
      <c r="J1446" s="15"/>
      <c r="K1446" s="27"/>
      <c r="L1446" s="25" t="str">
        <f aca="false">IF(B1446="","",B1446&amp;"|"&amp;J1446)</f>
        <v/>
      </c>
    </row>
    <row r="1447" customFormat="false" ht="15" hidden="false" customHeight="false" outlineLevel="0" collapsed="false">
      <c r="A1447" s="15"/>
      <c r="B1447" s="21"/>
      <c r="C1447" s="21" t="str">
        <f aca="false">IF(B1447="","",IFERROR(INDEX(代理店一覧!$B$5:$B$204,MATCH(B1447,代理店一覧!$A$5:$A$204,0)),"※未登録のID"))</f>
        <v/>
      </c>
      <c r="D1447" s="21"/>
      <c r="E1447" s="21"/>
      <c r="F1447" s="21"/>
      <c r="G1447" s="18"/>
      <c r="H1447" s="21"/>
      <c r="I1447" s="26"/>
      <c r="J1447" s="15"/>
      <c r="K1447" s="27"/>
      <c r="L1447" s="25" t="str">
        <f aca="false">IF(B1447="","",B1447&amp;"|"&amp;J1447)</f>
        <v/>
      </c>
    </row>
    <row r="1448" customFormat="false" ht="15" hidden="false" customHeight="false" outlineLevel="0" collapsed="false">
      <c r="A1448" s="15"/>
      <c r="B1448" s="21"/>
      <c r="C1448" s="21" t="str">
        <f aca="false">IF(B1448="","",IFERROR(INDEX(代理店一覧!$B$5:$B$204,MATCH(B1448,代理店一覧!$A$5:$A$204,0)),"※未登録のID"))</f>
        <v/>
      </c>
      <c r="D1448" s="21"/>
      <c r="E1448" s="21"/>
      <c r="F1448" s="21"/>
      <c r="G1448" s="18"/>
      <c r="H1448" s="21"/>
      <c r="I1448" s="26"/>
      <c r="J1448" s="15"/>
      <c r="K1448" s="27"/>
      <c r="L1448" s="25" t="str">
        <f aca="false">IF(B1448="","",B1448&amp;"|"&amp;J1448)</f>
        <v/>
      </c>
    </row>
    <row r="1449" customFormat="false" ht="15" hidden="false" customHeight="false" outlineLevel="0" collapsed="false">
      <c r="A1449" s="15"/>
      <c r="B1449" s="21"/>
      <c r="C1449" s="21" t="str">
        <f aca="false">IF(B1449="","",IFERROR(INDEX(代理店一覧!$B$5:$B$204,MATCH(B1449,代理店一覧!$A$5:$A$204,0)),"※未登録のID"))</f>
        <v/>
      </c>
      <c r="D1449" s="21"/>
      <c r="E1449" s="21"/>
      <c r="F1449" s="21"/>
      <c r="G1449" s="18"/>
      <c r="H1449" s="21"/>
      <c r="I1449" s="26"/>
      <c r="J1449" s="15"/>
      <c r="K1449" s="27"/>
      <c r="L1449" s="25" t="str">
        <f aca="false">IF(B1449="","",B1449&amp;"|"&amp;J1449)</f>
        <v/>
      </c>
    </row>
    <row r="1450" customFormat="false" ht="15" hidden="false" customHeight="false" outlineLevel="0" collapsed="false">
      <c r="A1450" s="15"/>
      <c r="B1450" s="21"/>
      <c r="C1450" s="21" t="str">
        <f aca="false">IF(B1450="","",IFERROR(INDEX(代理店一覧!$B$5:$B$204,MATCH(B1450,代理店一覧!$A$5:$A$204,0)),"※未登録のID"))</f>
        <v/>
      </c>
      <c r="D1450" s="21"/>
      <c r="E1450" s="21"/>
      <c r="F1450" s="21"/>
      <c r="G1450" s="18"/>
      <c r="H1450" s="21"/>
      <c r="I1450" s="26"/>
      <c r="J1450" s="15"/>
      <c r="K1450" s="27"/>
      <c r="L1450" s="25" t="str">
        <f aca="false">IF(B1450="","",B1450&amp;"|"&amp;J1450)</f>
        <v/>
      </c>
    </row>
    <row r="1451" customFormat="false" ht="15" hidden="false" customHeight="false" outlineLevel="0" collapsed="false">
      <c r="A1451" s="15"/>
      <c r="B1451" s="21"/>
      <c r="C1451" s="21" t="str">
        <f aca="false">IF(B1451="","",IFERROR(INDEX(代理店一覧!$B$5:$B$204,MATCH(B1451,代理店一覧!$A$5:$A$204,0)),"※未登録のID"))</f>
        <v/>
      </c>
      <c r="D1451" s="21"/>
      <c r="E1451" s="21"/>
      <c r="F1451" s="21"/>
      <c r="G1451" s="18"/>
      <c r="H1451" s="21"/>
      <c r="I1451" s="26"/>
      <c r="J1451" s="15"/>
      <c r="K1451" s="27"/>
      <c r="L1451" s="25" t="str">
        <f aca="false">IF(B1451="","",B1451&amp;"|"&amp;J1451)</f>
        <v/>
      </c>
    </row>
    <row r="1452" customFormat="false" ht="15" hidden="false" customHeight="false" outlineLevel="0" collapsed="false">
      <c r="A1452" s="15"/>
      <c r="B1452" s="21"/>
      <c r="C1452" s="21" t="str">
        <f aca="false">IF(B1452="","",IFERROR(INDEX(代理店一覧!$B$5:$B$204,MATCH(B1452,代理店一覧!$A$5:$A$204,0)),"※未登録のID"))</f>
        <v/>
      </c>
      <c r="D1452" s="21"/>
      <c r="E1452" s="21"/>
      <c r="F1452" s="21"/>
      <c r="G1452" s="18"/>
      <c r="H1452" s="21"/>
      <c r="I1452" s="26"/>
      <c r="J1452" s="15"/>
      <c r="K1452" s="27"/>
      <c r="L1452" s="25" t="str">
        <f aca="false">IF(B1452="","",B1452&amp;"|"&amp;J1452)</f>
        <v/>
      </c>
    </row>
    <row r="1453" customFormat="false" ht="15" hidden="false" customHeight="false" outlineLevel="0" collapsed="false">
      <c r="A1453" s="15"/>
      <c r="B1453" s="21"/>
      <c r="C1453" s="21" t="str">
        <f aca="false">IF(B1453="","",IFERROR(INDEX(代理店一覧!$B$5:$B$204,MATCH(B1453,代理店一覧!$A$5:$A$204,0)),"※未登録のID"))</f>
        <v/>
      </c>
      <c r="D1453" s="21"/>
      <c r="E1453" s="21"/>
      <c r="F1453" s="21"/>
      <c r="G1453" s="18"/>
      <c r="H1453" s="21"/>
      <c r="I1453" s="26"/>
      <c r="J1453" s="15"/>
      <c r="K1453" s="27"/>
      <c r="L1453" s="25" t="str">
        <f aca="false">IF(B1453="","",B1453&amp;"|"&amp;J1453)</f>
        <v/>
      </c>
    </row>
    <row r="1454" customFormat="false" ht="15" hidden="false" customHeight="false" outlineLevel="0" collapsed="false">
      <c r="A1454" s="15"/>
      <c r="B1454" s="21"/>
      <c r="C1454" s="21" t="str">
        <f aca="false">IF(B1454="","",IFERROR(INDEX(代理店一覧!$B$5:$B$204,MATCH(B1454,代理店一覧!$A$5:$A$204,0)),"※未登録のID"))</f>
        <v/>
      </c>
      <c r="D1454" s="21"/>
      <c r="E1454" s="21"/>
      <c r="F1454" s="21"/>
      <c r="G1454" s="18"/>
      <c r="H1454" s="21"/>
      <c r="I1454" s="26"/>
      <c r="J1454" s="15"/>
      <c r="K1454" s="27"/>
      <c r="L1454" s="25" t="str">
        <f aca="false">IF(B1454="","",B1454&amp;"|"&amp;J1454)</f>
        <v/>
      </c>
    </row>
    <row r="1455" customFormat="false" ht="15" hidden="false" customHeight="false" outlineLevel="0" collapsed="false">
      <c r="A1455" s="15"/>
      <c r="B1455" s="21"/>
      <c r="C1455" s="21" t="str">
        <f aca="false">IF(B1455="","",IFERROR(INDEX(代理店一覧!$B$5:$B$204,MATCH(B1455,代理店一覧!$A$5:$A$204,0)),"※未登録のID"))</f>
        <v/>
      </c>
      <c r="D1455" s="21"/>
      <c r="E1455" s="21"/>
      <c r="F1455" s="21"/>
      <c r="G1455" s="18"/>
      <c r="H1455" s="21"/>
      <c r="I1455" s="26"/>
      <c r="J1455" s="15"/>
      <c r="K1455" s="27"/>
      <c r="L1455" s="25" t="str">
        <f aca="false">IF(B1455="","",B1455&amp;"|"&amp;J1455)</f>
        <v/>
      </c>
    </row>
    <row r="1456" customFormat="false" ht="15" hidden="false" customHeight="false" outlineLevel="0" collapsed="false">
      <c r="A1456" s="15"/>
      <c r="B1456" s="21"/>
      <c r="C1456" s="21" t="str">
        <f aca="false">IF(B1456="","",IFERROR(INDEX(代理店一覧!$B$5:$B$204,MATCH(B1456,代理店一覧!$A$5:$A$204,0)),"※未登録のID"))</f>
        <v/>
      </c>
      <c r="D1456" s="21"/>
      <c r="E1456" s="21"/>
      <c r="F1456" s="21"/>
      <c r="G1456" s="18"/>
      <c r="H1456" s="21"/>
      <c r="I1456" s="26"/>
      <c r="J1456" s="15"/>
      <c r="K1456" s="27"/>
      <c r="L1456" s="25" t="str">
        <f aca="false">IF(B1456="","",B1456&amp;"|"&amp;J1456)</f>
        <v/>
      </c>
    </row>
    <row r="1457" customFormat="false" ht="15" hidden="false" customHeight="false" outlineLevel="0" collapsed="false">
      <c r="A1457" s="15"/>
      <c r="B1457" s="21"/>
      <c r="C1457" s="21" t="str">
        <f aca="false">IF(B1457="","",IFERROR(INDEX(代理店一覧!$B$5:$B$204,MATCH(B1457,代理店一覧!$A$5:$A$204,0)),"※未登録のID"))</f>
        <v/>
      </c>
      <c r="D1457" s="21"/>
      <c r="E1457" s="21"/>
      <c r="F1457" s="21"/>
      <c r="G1457" s="18"/>
      <c r="H1457" s="21"/>
      <c r="I1457" s="26"/>
      <c r="J1457" s="15"/>
      <c r="K1457" s="27"/>
      <c r="L1457" s="25" t="str">
        <f aca="false">IF(B1457="","",B1457&amp;"|"&amp;J1457)</f>
        <v/>
      </c>
    </row>
    <row r="1458" customFormat="false" ht="15" hidden="false" customHeight="false" outlineLevel="0" collapsed="false">
      <c r="A1458" s="15"/>
      <c r="B1458" s="21"/>
      <c r="C1458" s="21" t="str">
        <f aca="false">IF(B1458="","",IFERROR(INDEX(代理店一覧!$B$5:$B$204,MATCH(B1458,代理店一覧!$A$5:$A$204,0)),"※未登録のID"))</f>
        <v/>
      </c>
      <c r="D1458" s="21"/>
      <c r="E1458" s="21"/>
      <c r="F1458" s="21"/>
      <c r="G1458" s="18"/>
      <c r="H1458" s="21"/>
      <c r="I1458" s="26"/>
      <c r="J1458" s="15"/>
      <c r="K1458" s="27"/>
      <c r="L1458" s="25" t="str">
        <f aca="false">IF(B1458="","",B1458&amp;"|"&amp;J1458)</f>
        <v/>
      </c>
    </row>
    <row r="1459" customFormat="false" ht="15" hidden="false" customHeight="false" outlineLevel="0" collapsed="false">
      <c r="A1459" s="15"/>
      <c r="B1459" s="21"/>
      <c r="C1459" s="21" t="str">
        <f aca="false">IF(B1459="","",IFERROR(INDEX(代理店一覧!$B$5:$B$204,MATCH(B1459,代理店一覧!$A$5:$A$204,0)),"※未登録のID"))</f>
        <v/>
      </c>
      <c r="D1459" s="21"/>
      <c r="E1459" s="21"/>
      <c r="F1459" s="21"/>
      <c r="G1459" s="18"/>
      <c r="H1459" s="21"/>
      <c r="I1459" s="26"/>
      <c r="J1459" s="15"/>
      <c r="K1459" s="27"/>
      <c r="L1459" s="25" t="str">
        <f aca="false">IF(B1459="","",B1459&amp;"|"&amp;J1459)</f>
        <v/>
      </c>
    </row>
    <row r="1460" customFormat="false" ht="15" hidden="false" customHeight="false" outlineLevel="0" collapsed="false">
      <c r="A1460" s="15"/>
      <c r="B1460" s="21"/>
      <c r="C1460" s="21" t="str">
        <f aca="false">IF(B1460="","",IFERROR(INDEX(代理店一覧!$B$5:$B$204,MATCH(B1460,代理店一覧!$A$5:$A$204,0)),"※未登録のID"))</f>
        <v/>
      </c>
      <c r="D1460" s="21"/>
      <c r="E1460" s="21"/>
      <c r="F1460" s="21"/>
      <c r="G1460" s="18"/>
      <c r="H1460" s="21"/>
      <c r="I1460" s="26"/>
      <c r="J1460" s="15"/>
      <c r="K1460" s="27"/>
      <c r="L1460" s="25" t="str">
        <f aca="false">IF(B1460="","",B1460&amp;"|"&amp;J1460)</f>
        <v/>
      </c>
    </row>
    <row r="1461" customFormat="false" ht="15" hidden="false" customHeight="false" outlineLevel="0" collapsed="false">
      <c r="A1461" s="15"/>
      <c r="B1461" s="21"/>
      <c r="C1461" s="21" t="str">
        <f aca="false">IF(B1461="","",IFERROR(INDEX(代理店一覧!$B$5:$B$204,MATCH(B1461,代理店一覧!$A$5:$A$204,0)),"※未登録のID"))</f>
        <v/>
      </c>
      <c r="D1461" s="21"/>
      <c r="E1461" s="21"/>
      <c r="F1461" s="21"/>
      <c r="G1461" s="18"/>
      <c r="H1461" s="21"/>
      <c r="I1461" s="26"/>
      <c r="J1461" s="15"/>
      <c r="K1461" s="27"/>
      <c r="L1461" s="25" t="str">
        <f aca="false">IF(B1461="","",B1461&amp;"|"&amp;J1461)</f>
        <v/>
      </c>
    </row>
    <row r="1462" customFormat="false" ht="15" hidden="false" customHeight="false" outlineLevel="0" collapsed="false">
      <c r="A1462" s="15"/>
      <c r="B1462" s="21"/>
      <c r="C1462" s="21" t="str">
        <f aca="false">IF(B1462="","",IFERROR(INDEX(代理店一覧!$B$5:$B$204,MATCH(B1462,代理店一覧!$A$5:$A$204,0)),"※未登録のID"))</f>
        <v/>
      </c>
      <c r="D1462" s="21"/>
      <c r="E1462" s="21"/>
      <c r="F1462" s="21"/>
      <c r="G1462" s="18"/>
      <c r="H1462" s="21"/>
      <c r="I1462" s="26"/>
      <c r="J1462" s="15"/>
      <c r="K1462" s="27"/>
      <c r="L1462" s="25" t="str">
        <f aca="false">IF(B1462="","",B1462&amp;"|"&amp;J1462)</f>
        <v/>
      </c>
    </row>
    <row r="1463" customFormat="false" ht="15" hidden="false" customHeight="false" outlineLevel="0" collapsed="false">
      <c r="A1463" s="15"/>
      <c r="B1463" s="21"/>
      <c r="C1463" s="21" t="str">
        <f aca="false">IF(B1463="","",IFERROR(INDEX(代理店一覧!$B$5:$B$204,MATCH(B1463,代理店一覧!$A$5:$A$204,0)),"※未登録のID"))</f>
        <v/>
      </c>
      <c r="D1463" s="21"/>
      <c r="E1463" s="21"/>
      <c r="F1463" s="21"/>
      <c r="G1463" s="18"/>
      <c r="H1463" s="21"/>
      <c r="I1463" s="26"/>
      <c r="J1463" s="15"/>
      <c r="K1463" s="27"/>
      <c r="L1463" s="25" t="str">
        <f aca="false">IF(B1463="","",B1463&amp;"|"&amp;J1463)</f>
        <v/>
      </c>
    </row>
    <row r="1464" customFormat="false" ht="15" hidden="false" customHeight="false" outlineLevel="0" collapsed="false">
      <c r="A1464" s="15"/>
      <c r="B1464" s="21"/>
      <c r="C1464" s="21" t="str">
        <f aca="false">IF(B1464="","",IFERROR(INDEX(代理店一覧!$B$5:$B$204,MATCH(B1464,代理店一覧!$A$5:$A$204,0)),"※未登録のID"))</f>
        <v/>
      </c>
      <c r="D1464" s="21"/>
      <c r="E1464" s="21"/>
      <c r="F1464" s="21"/>
      <c r="G1464" s="18"/>
      <c r="H1464" s="21"/>
      <c r="I1464" s="26"/>
      <c r="J1464" s="15"/>
      <c r="K1464" s="27"/>
      <c r="L1464" s="25" t="str">
        <f aca="false">IF(B1464="","",B1464&amp;"|"&amp;J1464)</f>
        <v/>
      </c>
    </row>
    <row r="1465" customFormat="false" ht="15" hidden="false" customHeight="false" outlineLevel="0" collapsed="false">
      <c r="A1465" s="15"/>
      <c r="B1465" s="21"/>
      <c r="C1465" s="21" t="str">
        <f aca="false">IF(B1465="","",IFERROR(INDEX(代理店一覧!$B$5:$B$204,MATCH(B1465,代理店一覧!$A$5:$A$204,0)),"※未登録のID"))</f>
        <v/>
      </c>
      <c r="D1465" s="21"/>
      <c r="E1465" s="21"/>
      <c r="F1465" s="21"/>
      <c r="G1465" s="18"/>
      <c r="H1465" s="21"/>
      <c r="I1465" s="26"/>
      <c r="J1465" s="15"/>
      <c r="K1465" s="27"/>
      <c r="L1465" s="25" t="str">
        <f aca="false">IF(B1465="","",B1465&amp;"|"&amp;J1465)</f>
        <v/>
      </c>
    </row>
    <row r="1466" customFormat="false" ht="15" hidden="false" customHeight="false" outlineLevel="0" collapsed="false">
      <c r="A1466" s="15"/>
      <c r="B1466" s="21"/>
      <c r="C1466" s="21" t="str">
        <f aca="false">IF(B1466="","",IFERROR(INDEX(代理店一覧!$B$5:$B$204,MATCH(B1466,代理店一覧!$A$5:$A$204,0)),"※未登録のID"))</f>
        <v/>
      </c>
      <c r="D1466" s="21"/>
      <c r="E1466" s="21"/>
      <c r="F1466" s="21"/>
      <c r="G1466" s="18"/>
      <c r="H1466" s="21"/>
      <c r="I1466" s="26"/>
      <c r="J1466" s="15"/>
      <c r="K1466" s="27"/>
      <c r="L1466" s="25" t="str">
        <f aca="false">IF(B1466="","",B1466&amp;"|"&amp;J1466)</f>
        <v/>
      </c>
    </row>
    <row r="1467" customFormat="false" ht="15" hidden="false" customHeight="false" outlineLevel="0" collapsed="false">
      <c r="A1467" s="15"/>
      <c r="B1467" s="21"/>
      <c r="C1467" s="21" t="str">
        <f aca="false">IF(B1467="","",IFERROR(INDEX(代理店一覧!$B$5:$B$204,MATCH(B1467,代理店一覧!$A$5:$A$204,0)),"※未登録のID"))</f>
        <v/>
      </c>
      <c r="D1467" s="21"/>
      <c r="E1467" s="21"/>
      <c r="F1467" s="21"/>
      <c r="G1467" s="18"/>
      <c r="H1467" s="21"/>
      <c r="I1467" s="26"/>
      <c r="J1467" s="15"/>
      <c r="K1467" s="27"/>
      <c r="L1467" s="25" t="str">
        <f aca="false">IF(B1467="","",B1467&amp;"|"&amp;J1467)</f>
        <v/>
      </c>
    </row>
    <row r="1468" customFormat="false" ht="15" hidden="false" customHeight="false" outlineLevel="0" collapsed="false">
      <c r="A1468" s="15"/>
      <c r="B1468" s="21"/>
      <c r="C1468" s="21" t="str">
        <f aca="false">IF(B1468="","",IFERROR(INDEX(代理店一覧!$B$5:$B$204,MATCH(B1468,代理店一覧!$A$5:$A$204,0)),"※未登録のID"))</f>
        <v/>
      </c>
      <c r="D1468" s="21"/>
      <c r="E1468" s="21"/>
      <c r="F1468" s="21"/>
      <c r="G1468" s="18"/>
      <c r="H1468" s="21"/>
      <c r="I1468" s="26"/>
      <c r="J1468" s="15"/>
      <c r="K1468" s="27"/>
      <c r="L1468" s="25" t="str">
        <f aca="false">IF(B1468="","",B1468&amp;"|"&amp;J1468)</f>
        <v/>
      </c>
    </row>
    <row r="1469" customFormat="false" ht="15" hidden="false" customHeight="false" outlineLevel="0" collapsed="false">
      <c r="A1469" s="15"/>
      <c r="B1469" s="21"/>
      <c r="C1469" s="21" t="str">
        <f aca="false">IF(B1469="","",IFERROR(INDEX(代理店一覧!$B$5:$B$204,MATCH(B1469,代理店一覧!$A$5:$A$204,0)),"※未登録のID"))</f>
        <v/>
      </c>
      <c r="D1469" s="21"/>
      <c r="E1469" s="21"/>
      <c r="F1469" s="21"/>
      <c r="G1469" s="18"/>
      <c r="H1469" s="21"/>
      <c r="I1469" s="26"/>
      <c r="J1469" s="15"/>
      <c r="K1469" s="27"/>
      <c r="L1469" s="25" t="str">
        <f aca="false">IF(B1469="","",B1469&amp;"|"&amp;J1469)</f>
        <v/>
      </c>
    </row>
    <row r="1470" customFormat="false" ht="15" hidden="false" customHeight="false" outlineLevel="0" collapsed="false">
      <c r="A1470" s="15"/>
      <c r="B1470" s="21"/>
      <c r="C1470" s="21" t="str">
        <f aca="false">IF(B1470="","",IFERROR(INDEX(代理店一覧!$B$5:$B$204,MATCH(B1470,代理店一覧!$A$5:$A$204,0)),"※未登録のID"))</f>
        <v/>
      </c>
      <c r="D1470" s="21"/>
      <c r="E1470" s="21"/>
      <c r="F1470" s="21"/>
      <c r="G1470" s="18"/>
      <c r="H1470" s="21"/>
      <c r="I1470" s="26"/>
      <c r="J1470" s="15"/>
      <c r="K1470" s="27"/>
      <c r="L1470" s="25" t="str">
        <f aca="false">IF(B1470="","",B1470&amp;"|"&amp;J1470)</f>
        <v/>
      </c>
    </row>
    <row r="1471" customFormat="false" ht="15" hidden="false" customHeight="false" outlineLevel="0" collapsed="false">
      <c r="A1471" s="15"/>
      <c r="B1471" s="21"/>
      <c r="C1471" s="21" t="str">
        <f aca="false">IF(B1471="","",IFERROR(INDEX(代理店一覧!$B$5:$B$204,MATCH(B1471,代理店一覧!$A$5:$A$204,0)),"※未登録のID"))</f>
        <v/>
      </c>
      <c r="D1471" s="21"/>
      <c r="E1471" s="21"/>
      <c r="F1471" s="21"/>
      <c r="G1471" s="18"/>
      <c r="H1471" s="21"/>
      <c r="I1471" s="26"/>
      <c r="J1471" s="15"/>
      <c r="K1471" s="27"/>
      <c r="L1471" s="25" t="str">
        <f aca="false">IF(B1471="","",B1471&amp;"|"&amp;J1471)</f>
        <v/>
      </c>
    </row>
    <row r="1472" customFormat="false" ht="15" hidden="false" customHeight="false" outlineLevel="0" collapsed="false">
      <c r="A1472" s="15"/>
      <c r="B1472" s="21"/>
      <c r="C1472" s="21" t="str">
        <f aca="false">IF(B1472="","",IFERROR(INDEX(代理店一覧!$B$5:$B$204,MATCH(B1472,代理店一覧!$A$5:$A$204,0)),"※未登録のID"))</f>
        <v/>
      </c>
      <c r="D1472" s="21"/>
      <c r="E1472" s="21"/>
      <c r="F1472" s="21"/>
      <c r="G1472" s="18"/>
      <c r="H1472" s="21"/>
      <c r="I1472" s="26"/>
      <c r="J1472" s="15"/>
      <c r="K1472" s="27"/>
      <c r="L1472" s="25" t="str">
        <f aca="false">IF(B1472="","",B1472&amp;"|"&amp;J1472)</f>
        <v/>
      </c>
    </row>
    <row r="1473" customFormat="false" ht="15" hidden="false" customHeight="false" outlineLevel="0" collapsed="false">
      <c r="A1473" s="15"/>
      <c r="B1473" s="21"/>
      <c r="C1473" s="21" t="str">
        <f aca="false">IF(B1473="","",IFERROR(INDEX(代理店一覧!$B$5:$B$204,MATCH(B1473,代理店一覧!$A$5:$A$204,0)),"※未登録のID"))</f>
        <v/>
      </c>
      <c r="D1473" s="21"/>
      <c r="E1473" s="21"/>
      <c r="F1473" s="21"/>
      <c r="G1473" s="18"/>
      <c r="H1473" s="21"/>
      <c r="I1473" s="26"/>
      <c r="J1473" s="15"/>
      <c r="K1473" s="27"/>
      <c r="L1473" s="25" t="str">
        <f aca="false">IF(B1473="","",B1473&amp;"|"&amp;J1473)</f>
        <v/>
      </c>
    </row>
    <row r="1474" customFormat="false" ht="15" hidden="false" customHeight="false" outlineLevel="0" collapsed="false">
      <c r="A1474" s="15"/>
      <c r="B1474" s="21"/>
      <c r="C1474" s="21" t="str">
        <f aca="false">IF(B1474="","",IFERROR(INDEX(代理店一覧!$B$5:$B$204,MATCH(B1474,代理店一覧!$A$5:$A$204,0)),"※未登録のID"))</f>
        <v/>
      </c>
      <c r="D1474" s="21"/>
      <c r="E1474" s="21"/>
      <c r="F1474" s="21"/>
      <c r="G1474" s="18"/>
      <c r="H1474" s="21"/>
      <c r="I1474" s="26"/>
      <c r="J1474" s="15"/>
      <c r="K1474" s="27"/>
      <c r="L1474" s="25" t="str">
        <f aca="false">IF(B1474="","",B1474&amp;"|"&amp;J1474)</f>
        <v/>
      </c>
    </row>
    <row r="1475" customFormat="false" ht="15" hidden="false" customHeight="false" outlineLevel="0" collapsed="false">
      <c r="A1475" s="15"/>
      <c r="B1475" s="21"/>
      <c r="C1475" s="21" t="str">
        <f aca="false">IF(B1475="","",IFERROR(INDEX(代理店一覧!$B$5:$B$204,MATCH(B1475,代理店一覧!$A$5:$A$204,0)),"※未登録のID"))</f>
        <v/>
      </c>
      <c r="D1475" s="21"/>
      <c r="E1475" s="21"/>
      <c r="F1475" s="21"/>
      <c r="G1475" s="18"/>
      <c r="H1475" s="21"/>
      <c r="I1475" s="26"/>
      <c r="J1475" s="15"/>
      <c r="K1475" s="27"/>
      <c r="L1475" s="25" t="str">
        <f aca="false">IF(B1475="","",B1475&amp;"|"&amp;J1475)</f>
        <v/>
      </c>
    </row>
    <row r="1476" customFormat="false" ht="15" hidden="false" customHeight="false" outlineLevel="0" collapsed="false">
      <c r="A1476" s="15"/>
      <c r="B1476" s="21"/>
      <c r="C1476" s="21" t="str">
        <f aca="false">IF(B1476="","",IFERROR(INDEX(代理店一覧!$B$5:$B$204,MATCH(B1476,代理店一覧!$A$5:$A$204,0)),"※未登録のID"))</f>
        <v/>
      </c>
      <c r="D1476" s="21"/>
      <c r="E1476" s="21"/>
      <c r="F1476" s="21"/>
      <c r="G1476" s="18"/>
      <c r="H1476" s="21"/>
      <c r="I1476" s="26"/>
      <c r="J1476" s="15"/>
      <c r="K1476" s="27"/>
      <c r="L1476" s="25" t="str">
        <f aca="false">IF(B1476="","",B1476&amp;"|"&amp;J1476)</f>
        <v/>
      </c>
    </row>
    <row r="1477" customFormat="false" ht="15" hidden="false" customHeight="false" outlineLevel="0" collapsed="false">
      <c r="A1477" s="15"/>
      <c r="B1477" s="21"/>
      <c r="C1477" s="21" t="str">
        <f aca="false">IF(B1477="","",IFERROR(INDEX(代理店一覧!$B$5:$B$204,MATCH(B1477,代理店一覧!$A$5:$A$204,0)),"※未登録のID"))</f>
        <v/>
      </c>
      <c r="D1477" s="21"/>
      <c r="E1477" s="21"/>
      <c r="F1477" s="21"/>
      <c r="G1477" s="18"/>
      <c r="H1477" s="21"/>
      <c r="I1477" s="26"/>
      <c r="J1477" s="15"/>
      <c r="K1477" s="27"/>
      <c r="L1477" s="25" t="str">
        <f aca="false">IF(B1477="","",B1477&amp;"|"&amp;J1477)</f>
        <v/>
      </c>
    </row>
    <row r="1478" customFormat="false" ht="15" hidden="false" customHeight="false" outlineLevel="0" collapsed="false">
      <c r="A1478" s="15"/>
      <c r="B1478" s="21"/>
      <c r="C1478" s="21" t="str">
        <f aca="false">IF(B1478="","",IFERROR(INDEX(代理店一覧!$B$5:$B$204,MATCH(B1478,代理店一覧!$A$5:$A$204,0)),"※未登録のID"))</f>
        <v/>
      </c>
      <c r="D1478" s="21"/>
      <c r="E1478" s="21"/>
      <c r="F1478" s="21"/>
      <c r="G1478" s="18"/>
      <c r="H1478" s="21"/>
      <c r="I1478" s="26"/>
      <c r="J1478" s="15"/>
      <c r="K1478" s="27"/>
      <c r="L1478" s="25" t="str">
        <f aca="false">IF(B1478="","",B1478&amp;"|"&amp;J1478)</f>
        <v/>
      </c>
    </row>
    <row r="1479" customFormat="false" ht="15" hidden="false" customHeight="false" outlineLevel="0" collapsed="false">
      <c r="A1479" s="15"/>
      <c r="B1479" s="21"/>
      <c r="C1479" s="21" t="str">
        <f aca="false">IF(B1479="","",IFERROR(INDEX(代理店一覧!$B$5:$B$204,MATCH(B1479,代理店一覧!$A$5:$A$204,0)),"※未登録のID"))</f>
        <v/>
      </c>
      <c r="D1479" s="21"/>
      <c r="E1479" s="21"/>
      <c r="F1479" s="21"/>
      <c r="G1479" s="18"/>
      <c r="H1479" s="21"/>
      <c r="I1479" s="26"/>
      <c r="J1479" s="15"/>
      <c r="K1479" s="27"/>
      <c r="L1479" s="25" t="str">
        <f aca="false">IF(B1479="","",B1479&amp;"|"&amp;J1479)</f>
        <v/>
      </c>
    </row>
    <row r="1480" customFormat="false" ht="15" hidden="false" customHeight="false" outlineLevel="0" collapsed="false">
      <c r="A1480" s="15"/>
      <c r="B1480" s="21"/>
      <c r="C1480" s="21" t="str">
        <f aca="false">IF(B1480="","",IFERROR(INDEX(代理店一覧!$B$5:$B$204,MATCH(B1480,代理店一覧!$A$5:$A$204,0)),"※未登録のID"))</f>
        <v/>
      </c>
      <c r="D1480" s="21"/>
      <c r="E1480" s="21"/>
      <c r="F1480" s="21"/>
      <c r="G1480" s="18"/>
      <c r="H1480" s="21"/>
      <c r="I1480" s="26"/>
      <c r="J1480" s="15"/>
      <c r="K1480" s="27"/>
      <c r="L1480" s="25" t="str">
        <f aca="false">IF(B1480="","",B1480&amp;"|"&amp;J1480)</f>
        <v/>
      </c>
    </row>
    <row r="1481" customFormat="false" ht="15" hidden="false" customHeight="false" outlineLevel="0" collapsed="false">
      <c r="A1481" s="15"/>
      <c r="B1481" s="21"/>
      <c r="C1481" s="21" t="str">
        <f aca="false">IF(B1481="","",IFERROR(INDEX(代理店一覧!$B$5:$B$204,MATCH(B1481,代理店一覧!$A$5:$A$204,0)),"※未登録のID"))</f>
        <v/>
      </c>
      <c r="D1481" s="21"/>
      <c r="E1481" s="21"/>
      <c r="F1481" s="21"/>
      <c r="G1481" s="18"/>
      <c r="H1481" s="21"/>
      <c r="I1481" s="26"/>
      <c r="J1481" s="15"/>
      <c r="K1481" s="27"/>
      <c r="L1481" s="25" t="str">
        <f aca="false">IF(B1481="","",B1481&amp;"|"&amp;J1481)</f>
        <v/>
      </c>
    </row>
    <row r="1482" customFormat="false" ht="15" hidden="false" customHeight="false" outlineLevel="0" collapsed="false">
      <c r="A1482" s="15"/>
      <c r="B1482" s="21"/>
      <c r="C1482" s="21" t="str">
        <f aca="false">IF(B1482="","",IFERROR(INDEX(代理店一覧!$B$5:$B$204,MATCH(B1482,代理店一覧!$A$5:$A$204,0)),"※未登録のID"))</f>
        <v/>
      </c>
      <c r="D1482" s="21"/>
      <c r="E1482" s="21"/>
      <c r="F1482" s="21"/>
      <c r="G1482" s="18"/>
      <c r="H1482" s="21"/>
      <c r="I1482" s="26"/>
      <c r="J1482" s="15"/>
      <c r="K1482" s="27"/>
      <c r="L1482" s="25" t="str">
        <f aca="false">IF(B1482="","",B1482&amp;"|"&amp;J1482)</f>
        <v/>
      </c>
    </row>
    <row r="1483" customFormat="false" ht="15" hidden="false" customHeight="false" outlineLevel="0" collapsed="false">
      <c r="A1483" s="15"/>
      <c r="B1483" s="21"/>
      <c r="C1483" s="21" t="str">
        <f aca="false">IF(B1483="","",IFERROR(INDEX(代理店一覧!$B$5:$B$204,MATCH(B1483,代理店一覧!$A$5:$A$204,0)),"※未登録のID"))</f>
        <v/>
      </c>
      <c r="D1483" s="21"/>
      <c r="E1483" s="21"/>
      <c r="F1483" s="21"/>
      <c r="G1483" s="18"/>
      <c r="H1483" s="21"/>
      <c r="I1483" s="26"/>
      <c r="J1483" s="15"/>
      <c r="K1483" s="27"/>
      <c r="L1483" s="25" t="str">
        <f aca="false">IF(B1483="","",B1483&amp;"|"&amp;J1483)</f>
        <v/>
      </c>
    </row>
    <row r="1484" customFormat="false" ht="15" hidden="false" customHeight="false" outlineLevel="0" collapsed="false">
      <c r="A1484" s="15"/>
      <c r="B1484" s="21"/>
      <c r="C1484" s="21" t="str">
        <f aca="false">IF(B1484="","",IFERROR(INDEX(代理店一覧!$B$5:$B$204,MATCH(B1484,代理店一覧!$A$5:$A$204,0)),"※未登録のID"))</f>
        <v/>
      </c>
      <c r="D1484" s="21"/>
      <c r="E1484" s="21"/>
      <c r="F1484" s="21"/>
      <c r="G1484" s="18"/>
      <c r="H1484" s="21"/>
      <c r="I1484" s="26"/>
      <c r="J1484" s="15"/>
      <c r="K1484" s="27"/>
      <c r="L1484" s="25" t="str">
        <f aca="false">IF(B1484="","",B1484&amp;"|"&amp;J1484)</f>
        <v/>
      </c>
    </row>
    <row r="1485" customFormat="false" ht="15" hidden="false" customHeight="false" outlineLevel="0" collapsed="false">
      <c r="A1485" s="15"/>
      <c r="B1485" s="21"/>
      <c r="C1485" s="21" t="str">
        <f aca="false">IF(B1485="","",IFERROR(INDEX(代理店一覧!$B$5:$B$204,MATCH(B1485,代理店一覧!$A$5:$A$204,0)),"※未登録のID"))</f>
        <v/>
      </c>
      <c r="D1485" s="21"/>
      <c r="E1485" s="21"/>
      <c r="F1485" s="21"/>
      <c r="G1485" s="18"/>
      <c r="H1485" s="21"/>
      <c r="I1485" s="26"/>
      <c r="J1485" s="15"/>
      <c r="K1485" s="27"/>
      <c r="L1485" s="25" t="str">
        <f aca="false">IF(B1485="","",B1485&amp;"|"&amp;J1485)</f>
        <v/>
      </c>
    </row>
    <row r="1486" customFormat="false" ht="15" hidden="false" customHeight="false" outlineLevel="0" collapsed="false">
      <c r="A1486" s="15"/>
      <c r="B1486" s="21"/>
      <c r="C1486" s="21" t="str">
        <f aca="false">IF(B1486="","",IFERROR(INDEX(代理店一覧!$B$5:$B$204,MATCH(B1486,代理店一覧!$A$5:$A$204,0)),"※未登録のID"))</f>
        <v/>
      </c>
      <c r="D1486" s="21"/>
      <c r="E1486" s="21"/>
      <c r="F1486" s="21"/>
      <c r="G1486" s="18"/>
      <c r="H1486" s="21"/>
      <c r="I1486" s="26"/>
      <c r="J1486" s="15"/>
      <c r="K1486" s="27"/>
      <c r="L1486" s="25" t="str">
        <f aca="false">IF(B1486="","",B1486&amp;"|"&amp;J1486)</f>
        <v/>
      </c>
    </row>
    <row r="1487" customFormat="false" ht="15" hidden="false" customHeight="false" outlineLevel="0" collapsed="false">
      <c r="A1487" s="15"/>
      <c r="B1487" s="21"/>
      <c r="C1487" s="21" t="str">
        <f aca="false">IF(B1487="","",IFERROR(INDEX(代理店一覧!$B$5:$B$204,MATCH(B1487,代理店一覧!$A$5:$A$204,0)),"※未登録のID"))</f>
        <v/>
      </c>
      <c r="D1487" s="21"/>
      <c r="E1487" s="21"/>
      <c r="F1487" s="21"/>
      <c r="G1487" s="18"/>
      <c r="H1487" s="21"/>
      <c r="I1487" s="26"/>
      <c r="J1487" s="15"/>
      <c r="K1487" s="27"/>
      <c r="L1487" s="25" t="str">
        <f aca="false">IF(B1487="","",B1487&amp;"|"&amp;J1487)</f>
        <v/>
      </c>
    </row>
    <row r="1488" customFormat="false" ht="15" hidden="false" customHeight="false" outlineLevel="0" collapsed="false">
      <c r="A1488" s="15"/>
      <c r="B1488" s="21"/>
      <c r="C1488" s="21" t="str">
        <f aca="false">IF(B1488="","",IFERROR(INDEX(代理店一覧!$B$5:$B$204,MATCH(B1488,代理店一覧!$A$5:$A$204,0)),"※未登録のID"))</f>
        <v/>
      </c>
      <c r="D1488" s="21"/>
      <c r="E1488" s="21"/>
      <c r="F1488" s="21"/>
      <c r="G1488" s="18"/>
      <c r="H1488" s="21"/>
      <c r="I1488" s="26"/>
      <c r="J1488" s="15"/>
      <c r="K1488" s="27"/>
      <c r="L1488" s="25" t="str">
        <f aca="false">IF(B1488="","",B1488&amp;"|"&amp;J1488)</f>
        <v/>
      </c>
    </row>
    <row r="1489" customFormat="false" ht="15" hidden="false" customHeight="false" outlineLevel="0" collapsed="false">
      <c r="A1489" s="15"/>
      <c r="B1489" s="21"/>
      <c r="C1489" s="21" t="str">
        <f aca="false">IF(B1489="","",IFERROR(INDEX(代理店一覧!$B$5:$B$204,MATCH(B1489,代理店一覧!$A$5:$A$204,0)),"※未登録のID"))</f>
        <v/>
      </c>
      <c r="D1489" s="21"/>
      <c r="E1489" s="21"/>
      <c r="F1489" s="21"/>
      <c r="G1489" s="18"/>
      <c r="H1489" s="21"/>
      <c r="I1489" s="26"/>
      <c r="J1489" s="15"/>
      <c r="K1489" s="27"/>
      <c r="L1489" s="25" t="str">
        <f aca="false">IF(B1489="","",B1489&amp;"|"&amp;J1489)</f>
        <v/>
      </c>
    </row>
    <row r="1490" customFormat="false" ht="15" hidden="false" customHeight="false" outlineLevel="0" collapsed="false">
      <c r="A1490" s="15"/>
      <c r="B1490" s="21"/>
      <c r="C1490" s="21" t="str">
        <f aca="false">IF(B1490="","",IFERROR(INDEX(代理店一覧!$B$5:$B$204,MATCH(B1490,代理店一覧!$A$5:$A$204,0)),"※未登録のID"))</f>
        <v/>
      </c>
      <c r="D1490" s="21"/>
      <c r="E1490" s="21"/>
      <c r="F1490" s="21"/>
      <c r="G1490" s="18"/>
      <c r="H1490" s="21"/>
      <c r="I1490" s="26"/>
      <c r="J1490" s="15"/>
      <c r="K1490" s="27"/>
      <c r="L1490" s="25" t="str">
        <f aca="false">IF(B1490="","",B1490&amp;"|"&amp;J1490)</f>
        <v/>
      </c>
    </row>
    <row r="1491" customFormat="false" ht="15" hidden="false" customHeight="false" outlineLevel="0" collapsed="false">
      <c r="A1491" s="15"/>
      <c r="B1491" s="21"/>
      <c r="C1491" s="21" t="str">
        <f aca="false">IF(B1491="","",IFERROR(INDEX(代理店一覧!$B$5:$B$204,MATCH(B1491,代理店一覧!$A$5:$A$204,0)),"※未登録のID"))</f>
        <v/>
      </c>
      <c r="D1491" s="21"/>
      <c r="E1491" s="21"/>
      <c r="F1491" s="21"/>
      <c r="G1491" s="18"/>
      <c r="H1491" s="21"/>
      <c r="I1491" s="26"/>
      <c r="J1491" s="15"/>
      <c r="K1491" s="27"/>
      <c r="L1491" s="25" t="str">
        <f aca="false">IF(B1491="","",B1491&amp;"|"&amp;J1491)</f>
        <v/>
      </c>
    </row>
    <row r="1492" customFormat="false" ht="15" hidden="false" customHeight="false" outlineLevel="0" collapsed="false">
      <c r="A1492" s="15"/>
      <c r="B1492" s="21"/>
      <c r="C1492" s="21" t="str">
        <f aca="false">IF(B1492="","",IFERROR(INDEX(代理店一覧!$B$5:$B$204,MATCH(B1492,代理店一覧!$A$5:$A$204,0)),"※未登録のID"))</f>
        <v/>
      </c>
      <c r="D1492" s="21"/>
      <c r="E1492" s="21"/>
      <c r="F1492" s="21"/>
      <c r="G1492" s="18"/>
      <c r="H1492" s="21"/>
      <c r="I1492" s="26"/>
      <c r="J1492" s="15"/>
      <c r="K1492" s="27"/>
      <c r="L1492" s="25" t="str">
        <f aca="false">IF(B1492="","",B1492&amp;"|"&amp;J1492)</f>
        <v/>
      </c>
    </row>
    <row r="1493" customFormat="false" ht="15" hidden="false" customHeight="false" outlineLevel="0" collapsed="false">
      <c r="A1493" s="15"/>
      <c r="B1493" s="21"/>
      <c r="C1493" s="21" t="str">
        <f aca="false">IF(B1493="","",IFERROR(INDEX(代理店一覧!$B$5:$B$204,MATCH(B1493,代理店一覧!$A$5:$A$204,0)),"※未登録のID"))</f>
        <v/>
      </c>
      <c r="D1493" s="21"/>
      <c r="E1493" s="21"/>
      <c r="F1493" s="21"/>
      <c r="G1493" s="18"/>
      <c r="H1493" s="21"/>
      <c r="I1493" s="26"/>
      <c r="J1493" s="15"/>
      <c r="K1493" s="27"/>
      <c r="L1493" s="25" t="str">
        <f aca="false">IF(B1493="","",B1493&amp;"|"&amp;J1493)</f>
        <v/>
      </c>
    </row>
    <row r="1494" customFormat="false" ht="15" hidden="false" customHeight="false" outlineLevel="0" collapsed="false">
      <c r="A1494" s="15"/>
      <c r="B1494" s="21"/>
      <c r="C1494" s="21" t="str">
        <f aca="false">IF(B1494="","",IFERROR(INDEX(代理店一覧!$B$5:$B$204,MATCH(B1494,代理店一覧!$A$5:$A$204,0)),"※未登録のID"))</f>
        <v/>
      </c>
      <c r="D1494" s="21"/>
      <c r="E1494" s="21"/>
      <c r="F1494" s="21"/>
      <c r="G1494" s="18"/>
      <c r="H1494" s="21"/>
      <c r="I1494" s="26"/>
      <c r="J1494" s="15"/>
      <c r="K1494" s="27"/>
      <c r="L1494" s="25" t="str">
        <f aca="false">IF(B1494="","",B1494&amp;"|"&amp;J1494)</f>
        <v/>
      </c>
    </row>
    <row r="1495" customFormat="false" ht="15" hidden="false" customHeight="false" outlineLevel="0" collapsed="false">
      <c r="A1495" s="15"/>
      <c r="B1495" s="21"/>
      <c r="C1495" s="21" t="str">
        <f aca="false">IF(B1495="","",IFERROR(INDEX(代理店一覧!$B$5:$B$204,MATCH(B1495,代理店一覧!$A$5:$A$204,0)),"※未登録のID"))</f>
        <v/>
      </c>
      <c r="D1495" s="21"/>
      <c r="E1495" s="21"/>
      <c r="F1495" s="21"/>
      <c r="G1495" s="18"/>
      <c r="H1495" s="21"/>
      <c r="I1495" s="26"/>
      <c r="J1495" s="15"/>
      <c r="K1495" s="27"/>
      <c r="L1495" s="25" t="str">
        <f aca="false">IF(B1495="","",B1495&amp;"|"&amp;J1495)</f>
        <v/>
      </c>
    </row>
    <row r="1496" customFormat="false" ht="15" hidden="false" customHeight="false" outlineLevel="0" collapsed="false">
      <c r="A1496" s="15"/>
      <c r="B1496" s="21"/>
      <c r="C1496" s="21" t="str">
        <f aca="false">IF(B1496="","",IFERROR(INDEX(代理店一覧!$B$5:$B$204,MATCH(B1496,代理店一覧!$A$5:$A$204,0)),"※未登録のID"))</f>
        <v/>
      </c>
      <c r="D1496" s="21"/>
      <c r="E1496" s="21"/>
      <c r="F1496" s="21"/>
      <c r="G1496" s="18"/>
      <c r="H1496" s="21"/>
      <c r="I1496" s="26"/>
      <c r="J1496" s="15"/>
      <c r="K1496" s="27"/>
      <c r="L1496" s="25" t="str">
        <f aca="false">IF(B1496="","",B1496&amp;"|"&amp;J1496)</f>
        <v/>
      </c>
    </row>
    <row r="1497" customFormat="false" ht="15" hidden="false" customHeight="false" outlineLevel="0" collapsed="false">
      <c r="A1497" s="15"/>
      <c r="B1497" s="21"/>
      <c r="C1497" s="21" t="str">
        <f aca="false">IF(B1497="","",IFERROR(INDEX(代理店一覧!$B$5:$B$204,MATCH(B1497,代理店一覧!$A$5:$A$204,0)),"※未登録のID"))</f>
        <v/>
      </c>
      <c r="D1497" s="21"/>
      <c r="E1497" s="21"/>
      <c r="F1497" s="21"/>
      <c r="G1497" s="18"/>
      <c r="H1497" s="21"/>
      <c r="I1497" s="26"/>
      <c r="J1497" s="15"/>
      <c r="K1497" s="27"/>
      <c r="L1497" s="25" t="str">
        <f aca="false">IF(B1497="","",B1497&amp;"|"&amp;J1497)</f>
        <v/>
      </c>
    </row>
    <row r="1498" customFormat="false" ht="15" hidden="false" customHeight="false" outlineLevel="0" collapsed="false">
      <c r="A1498" s="15"/>
      <c r="B1498" s="21"/>
      <c r="C1498" s="21" t="str">
        <f aca="false">IF(B1498="","",IFERROR(INDEX(代理店一覧!$B$5:$B$204,MATCH(B1498,代理店一覧!$A$5:$A$204,0)),"※未登録のID"))</f>
        <v/>
      </c>
      <c r="D1498" s="21"/>
      <c r="E1498" s="21"/>
      <c r="F1498" s="21"/>
      <c r="G1498" s="18"/>
      <c r="H1498" s="21"/>
      <c r="I1498" s="26"/>
      <c r="J1498" s="15"/>
      <c r="K1498" s="27"/>
      <c r="L1498" s="25" t="str">
        <f aca="false">IF(B1498="","",B1498&amp;"|"&amp;J1498)</f>
        <v/>
      </c>
    </row>
    <row r="1499" customFormat="false" ht="15" hidden="false" customHeight="false" outlineLevel="0" collapsed="false">
      <c r="A1499" s="15"/>
      <c r="B1499" s="21"/>
      <c r="C1499" s="21" t="str">
        <f aca="false">IF(B1499="","",IFERROR(INDEX(代理店一覧!$B$5:$B$204,MATCH(B1499,代理店一覧!$A$5:$A$204,0)),"※未登録のID"))</f>
        <v/>
      </c>
      <c r="D1499" s="21"/>
      <c r="E1499" s="21"/>
      <c r="F1499" s="21"/>
      <c r="G1499" s="18"/>
      <c r="H1499" s="21"/>
      <c r="I1499" s="26"/>
      <c r="J1499" s="15"/>
      <c r="K1499" s="27"/>
      <c r="L1499" s="25" t="str">
        <f aca="false">IF(B1499="","",B1499&amp;"|"&amp;J1499)</f>
        <v/>
      </c>
    </row>
    <row r="1500" customFormat="false" ht="15" hidden="false" customHeight="false" outlineLevel="0" collapsed="false">
      <c r="A1500" s="15"/>
      <c r="B1500" s="21"/>
      <c r="C1500" s="21" t="str">
        <f aca="false">IF(B1500="","",IFERROR(INDEX(代理店一覧!$B$5:$B$204,MATCH(B1500,代理店一覧!$A$5:$A$204,0)),"※未登録のID"))</f>
        <v/>
      </c>
      <c r="D1500" s="21"/>
      <c r="E1500" s="21"/>
      <c r="F1500" s="21"/>
      <c r="G1500" s="18"/>
      <c r="H1500" s="21"/>
      <c r="I1500" s="26"/>
      <c r="J1500" s="15"/>
      <c r="K1500" s="27"/>
      <c r="L1500" s="25" t="str">
        <f aca="false">IF(B1500="","",B1500&amp;"|"&amp;J1500)</f>
        <v/>
      </c>
    </row>
    <row r="1501" customFormat="false" ht="15" hidden="false" customHeight="false" outlineLevel="0" collapsed="false">
      <c r="A1501" s="15"/>
      <c r="B1501" s="21"/>
      <c r="C1501" s="21" t="str">
        <f aca="false">IF(B1501="","",IFERROR(INDEX(代理店一覧!$B$5:$B$204,MATCH(B1501,代理店一覧!$A$5:$A$204,0)),"※未登録のID"))</f>
        <v/>
      </c>
      <c r="D1501" s="21"/>
      <c r="E1501" s="21"/>
      <c r="F1501" s="21"/>
      <c r="G1501" s="18"/>
      <c r="H1501" s="21"/>
      <c r="I1501" s="26"/>
      <c r="J1501" s="15"/>
      <c r="K1501" s="27"/>
      <c r="L1501" s="25" t="str">
        <f aca="false">IF(B1501="","",B1501&amp;"|"&amp;J1501)</f>
        <v/>
      </c>
    </row>
    <row r="1502" customFormat="false" ht="15" hidden="false" customHeight="false" outlineLevel="0" collapsed="false">
      <c r="A1502" s="15"/>
      <c r="B1502" s="21"/>
      <c r="C1502" s="21" t="str">
        <f aca="false">IF(B1502="","",IFERROR(INDEX(代理店一覧!$B$5:$B$204,MATCH(B1502,代理店一覧!$A$5:$A$204,0)),"※未登録のID"))</f>
        <v/>
      </c>
      <c r="D1502" s="21"/>
      <c r="E1502" s="21"/>
      <c r="F1502" s="21"/>
      <c r="G1502" s="18"/>
      <c r="H1502" s="21"/>
      <c r="I1502" s="26"/>
      <c r="J1502" s="15"/>
      <c r="K1502" s="27"/>
      <c r="L1502" s="25" t="str">
        <f aca="false">IF(B1502="","",B1502&amp;"|"&amp;J1502)</f>
        <v/>
      </c>
    </row>
    <row r="1503" customFormat="false" ht="15" hidden="false" customHeight="false" outlineLevel="0" collapsed="false">
      <c r="A1503" s="15"/>
      <c r="B1503" s="21"/>
      <c r="C1503" s="21" t="str">
        <f aca="false">IF(B1503="","",IFERROR(INDEX(代理店一覧!$B$5:$B$204,MATCH(B1503,代理店一覧!$A$5:$A$204,0)),"※未登録のID"))</f>
        <v/>
      </c>
      <c r="D1503" s="21"/>
      <c r="E1503" s="21"/>
      <c r="F1503" s="21"/>
      <c r="G1503" s="18"/>
      <c r="H1503" s="21"/>
      <c r="I1503" s="26"/>
      <c r="J1503" s="15"/>
      <c r="K1503" s="27"/>
      <c r="L1503" s="25" t="str">
        <f aca="false">IF(B1503="","",B1503&amp;"|"&amp;J1503)</f>
        <v/>
      </c>
    </row>
    <row r="1504" customFormat="false" ht="15" hidden="false" customHeight="false" outlineLevel="0" collapsed="false">
      <c r="A1504" s="15"/>
      <c r="B1504" s="21"/>
      <c r="C1504" s="21" t="str">
        <f aca="false">IF(B1504="","",IFERROR(INDEX(代理店一覧!$B$5:$B$204,MATCH(B1504,代理店一覧!$A$5:$A$204,0)),"※未登録のID"))</f>
        <v/>
      </c>
      <c r="D1504" s="21"/>
      <c r="E1504" s="21"/>
      <c r="F1504" s="21"/>
      <c r="G1504" s="18"/>
      <c r="H1504" s="21"/>
      <c r="I1504" s="26"/>
      <c r="J1504" s="15"/>
      <c r="K1504" s="27"/>
      <c r="L1504" s="25" t="str">
        <f aca="false">IF(B1504="","",B1504&amp;"|"&amp;J1504)</f>
        <v/>
      </c>
    </row>
    <row r="1505" customFormat="false" ht="15" hidden="false" customHeight="false" outlineLevel="0" collapsed="false">
      <c r="A1505" s="15"/>
      <c r="B1505" s="21"/>
      <c r="C1505" s="21" t="str">
        <f aca="false">IF(B1505="","",IFERROR(INDEX(代理店一覧!$B$5:$B$204,MATCH(B1505,代理店一覧!$A$5:$A$204,0)),"※未登録のID"))</f>
        <v/>
      </c>
      <c r="D1505" s="21"/>
      <c r="E1505" s="21"/>
      <c r="F1505" s="21"/>
      <c r="G1505" s="18"/>
      <c r="H1505" s="21"/>
      <c r="I1505" s="26"/>
      <c r="J1505" s="15"/>
      <c r="K1505" s="27"/>
      <c r="L1505" s="25" t="str">
        <f aca="false">IF(B1505="","",B1505&amp;"|"&amp;J1505)</f>
        <v/>
      </c>
    </row>
    <row r="1506" customFormat="false" ht="15" hidden="false" customHeight="false" outlineLevel="0" collapsed="false">
      <c r="A1506" s="15"/>
      <c r="B1506" s="21"/>
      <c r="C1506" s="21" t="str">
        <f aca="false">IF(B1506="","",IFERROR(INDEX(代理店一覧!$B$5:$B$204,MATCH(B1506,代理店一覧!$A$5:$A$204,0)),"※未登録のID"))</f>
        <v/>
      </c>
      <c r="D1506" s="21"/>
      <c r="E1506" s="21"/>
      <c r="F1506" s="21"/>
      <c r="G1506" s="18"/>
      <c r="H1506" s="21"/>
      <c r="I1506" s="26"/>
      <c r="J1506" s="15"/>
      <c r="K1506" s="27"/>
      <c r="L1506" s="25" t="str">
        <f aca="false">IF(B1506="","",B1506&amp;"|"&amp;J1506)</f>
        <v/>
      </c>
    </row>
    <row r="1507" customFormat="false" ht="15" hidden="false" customHeight="false" outlineLevel="0" collapsed="false">
      <c r="A1507" s="15"/>
      <c r="B1507" s="21"/>
      <c r="C1507" s="21" t="str">
        <f aca="false">IF(B1507="","",IFERROR(INDEX(代理店一覧!$B$5:$B$204,MATCH(B1507,代理店一覧!$A$5:$A$204,0)),"※未登録のID"))</f>
        <v/>
      </c>
      <c r="D1507" s="21"/>
      <c r="E1507" s="21"/>
      <c r="F1507" s="21"/>
      <c r="G1507" s="18"/>
      <c r="H1507" s="21"/>
      <c r="I1507" s="26"/>
      <c r="J1507" s="15"/>
      <c r="K1507" s="27"/>
      <c r="L1507" s="25" t="str">
        <f aca="false">IF(B1507="","",B1507&amp;"|"&amp;J1507)</f>
        <v/>
      </c>
    </row>
    <row r="1508" customFormat="false" ht="15" hidden="false" customHeight="false" outlineLevel="0" collapsed="false">
      <c r="A1508" s="15"/>
      <c r="B1508" s="21"/>
      <c r="C1508" s="21" t="str">
        <f aca="false">IF(B1508="","",IFERROR(INDEX(代理店一覧!$B$5:$B$204,MATCH(B1508,代理店一覧!$A$5:$A$204,0)),"※未登録のID"))</f>
        <v/>
      </c>
      <c r="D1508" s="21"/>
      <c r="E1508" s="21"/>
      <c r="F1508" s="21"/>
      <c r="G1508" s="18"/>
      <c r="H1508" s="21"/>
      <c r="I1508" s="26"/>
      <c r="J1508" s="15"/>
      <c r="K1508" s="27"/>
      <c r="L1508" s="25" t="str">
        <f aca="false">IF(B1508="","",B1508&amp;"|"&amp;J1508)</f>
        <v/>
      </c>
    </row>
    <row r="1509" customFormat="false" ht="15" hidden="false" customHeight="false" outlineLevel="0" collapsed="false">
      <c r="A1509" s="15"/>
      <c r="B1509" s="21"/>
      <c r="C1509" s="21" t="str">
        <f aca="false">IF(B1509="","",IFERROR(INDEX(代理店一覧!$B$5:$B$204,MATCH(B1509,代理店一覧!$A$5:$A$204,0)),"※未登録のID"))</f>
        <v/>
      </c>
      <c r="D1509" s="21"/>
      <c r="E1509" s="21"/>
      <c r="F1509" s="21"/>
      <c r="G1509" s="18"/>
      <c r="H1509" s="21"/>
      <c r="I1509" s="26"/>
      <c r="J1509" s="15"/>
      <c r="K1509" s="27"/>
      <c r="L1509" s="25" t="str">
        <f aca="false">IF(B1509="","",B1509&amp;"|"&amp;J1509)</f>
        <v/>
      </c>
    </row>
    <row r="1510" customFormat="false" ht="15" hidden="false" customHeight="false" outlineLevel="0" collapsed="false">
      <c r="A1510" s="15"/>
      <c r="B1510" s="21"/>
      <c r="C1510" s="21" t="str">
        <f aca="false">IF(B1510="","",IFERROR(INDEX(代理店一覧!$B$5:$B$204,MATCH(B1510,代理店一覧!$A$5:$A$204,0)),"※未登録のID"))</f>
        <v/>
      </c>
      <c r="D1510" s="21"/>
      <c r="E1510" s="21"/>
      <c r="F1510" s="21"/>
      <c r="G1510" s="18"/>
      <c r="H1510" s="21"/>
      <c r="I1510" s="26"/>
      <c r="J1510" s="15"/>
      <c r="K1510" s="27"/>
      <c r="L1510" s="25" t="str">
        <f aca="false">IF(B1510="","",B1510&amp;"|"&amp;J1510)</f>
        <v/>
      </c>
    </row>
    <row r="1511" customFormat="false" ht="15" hidden="false" customHeight="false" outlineLevel="0" collapsed="false">
      <c r="A1511" s="15"/>
      <c r="B1511" s="21"/>
      <c r="C1511" s="21" t="str">
        <f aca="false">IF(B1511="","",IFERROR(INDEX(代理店一覧!$B$5:$B$204,MATCH(B1511,代理店一覧!$A$5:$A$204,0)),"※未登録のID"))</f>
        <v/>
      </c>
      <c r="D1511" s="21"/>
      <c r="E1511" s="21"/>
      <c r="F1511" s="21"/>
      <c r="G1511" s="18"/>
      <c r="H1511" s="21"/>
      <c r="I1511" s="26"/>
      <c r="J1511" s="15"/>
      <c r="K1511" s="27"/>
      <c r="L1511" s="25" t="str">
        <f aca="false">IF(B1511="","",B1511&amp;"|"&amp;J1511)</f>
        <v/>
      </c>
    </row>
    <row r="1512" customFormat="false" ht="15" hidden="false" customHeight="false" outlineLevel="0" collapsed="false">
      <c r="A1512" s="15"/>
      <c r="B1512" s="21"/>
      <c r="C1512" s="21" t="str">
        <f aca="false">IF(B1512="","",IFERROR(INDEX(代理店一覧!$B$5:$B$204,MATCH(B1512,代理店一覧!$A$5:$A$204,0)),"※未登録のID"))</f>
        <v/>
      </c>
      <c r="D1512" s="21"/>
      <c r="E1512" s="21"/>
      <c r="F1512" s="21"/>
      <c r="G1512" s="18"/>
      <c r="H1512" s="21"/>
      <c r="I1512" s="26"/>
      <c r="J1512" s="15"/>
      <c r="K1512" s="27"/>
      <c r="L1512" s="25" t="str">
        <f aca="false">IF(B1512="","",B1512&amp;"|"&amp;J1512)</f>
        <v/>
      </c>
    </row>
    <row r="1513" customFormat="false" ht="15" hidden="false" customHeight="false" outlineLevel="0" collapsed="false">
      <c r="A1513" s="15"/>
      <c r="B1513" s="21"/>
      <c r="C1513" s="21" t="str">
        <f aca="false">IF(B1513="","",IFERROR(INDEX(代理店一覧!$B$5:$B$204,MATCH(B1513,代理店一覧!$A$5:$A$204,0)),"※未登録のID"))</f>
        <v/>
      </c>
      <c r="D1513" s="21"/>
      <c r="E1513" s="21"/>
      <c r="F1513" s="21"/>
      <c r="G1513" s="18"/>
      <c r="H1513" s="21"/>
      <c r="I1513" s="26"/>
      <c r="J1513" s="15"/>
      <c r="K1513" s="27"/>
      <c r="L1513" s="25" t="str">
        <f aca="false">IF(B1513="","",B1513&amp;"|"&amp;J1513)</f>
        <v/>
      </c>
    </row>
    <row r="1514" customFormat="false" ht="15" hidden="false" customHeight="false" outlineLevel="0" collapsed="false">
      <c r="A1514" s="15"/>
      <c r="B1514" s="21"/>
      <c r="C1514" s="21" t="str">
        <f aca="false">IF(B1514="","",IFERROR(INDEX(代理店一覧!$B$5:$B$204,MATCH(B1514,代理店一覧!$A$5:$A$204,0)),"※未登録のID"))</f>
        <v/>
      </c>
      <c r="D1514" s="21"/>
      <c r="E1514" s="21"/>
      <c r="F1514" s="21"/>
      <c r="G1514" s="18"/>
      <c r="H1514" s="21"/>
      <c r="I1514" s="26"/>
      <c r="J1514" s="15"/>
      <c r="K1514" s="27"/>
      <c r="L1514" s="25" t="str">
        <f aca="false">IF(B1514="","",B1514&amp;"|"&amp;J1514)</f>
        <v/>
      </c>
    </row>
    <row r="1515" customFormat="false" ht="15" hidden="false" customHeight="false" outlineLevel="0" collapsed="false">
      <c r="A1515" s="15"/>
      <c r="B1515" s="21"/>
      <c r="C1515" s="21" t="str">
        <f aca="false">IF(B1515="","",IFERROR(INDEX(代理店一覧!$B$5:$B$204,MATCH(B1515,代理店一覧!$A$5:$A$204,0)),"※未登録のID"))</f>
        <v/>
      </c>
      <c r="D1515" s="21"/>
      <c r="E1515" s="21"/>
      <c r="F1515" s="21"/>
      <c r="G1515" s="18"/>
      <c r="H1515" s="21"/>
      <c r="I1515" s="26"/>
      <c r="J1515" s="15"/>
      <c r="K1515" s="27"/>
      <c r="L1515" s="25" t="str">
        <f aca="false">IF(B1515="","",B1515&amp;"|"&amp;J1515)</f>
        <v/>
      </c>
    </row>
    <row r="1516" customFormat="false" ht="15" hidden="false" customHeight="false" outlineLevel="0" collapsed="false">
      <c r="A1516" s="15"/>
      <c r="B1516" s="21"/>
      <c r="C1516" s="21" t="str">
        <f aca="false">IF(B1516="","",IFERROR(INDEX(代理店一覧!$B$5:$B$204,MATCH(B1516,代理店一覧!$A$5:$A$204,0)),"※未登録のID"))</f>
        <v/>
      </c>
      <c r="D1516" s="21"/>
      <c r="E1516" s="21"/>
      <c r="F1516" s="21"/>
      <c r="G1516" s="18"/>
      <c r="H1516" s="21"/>
      <c r="I1516" s="26"/>
      <c r="J1516" s="15"/>
      <c r="K1516" s="27"/>
      <c r="L1516" s="25" t="str">
        <f aca="false">IF(B1516="","",B1516&amp;"|"&amp;J1516)</f>
        <v/>
      </c>
    </row>
    <row r="1517" customFormat="false" ht="15" hidden="false" customHeight="false" outlineLevel="0" collapsed="false">
      <c r="A1517" s="15"/>
      <c r="B1517" s="21"/>
      <c r="C1517" s="21" t="str">
        <f aca="false">IF(B1517="","",IFERROR(INDEX(代理店一覧!$B$5:$B$204,MATCH(B1517,代理店一覧!$A$5:$A$204,0)),"※未登録のID"))</f>
        <v/>
      </c>
      <c r="D1517" s="21"/>
      <c r="E1517" s="21"/>
      <c r="F1517" s="21"/>
      <c r="G1517" s="18"/>
      <c r="H1517" s="21"/>
      <c r="I1517" s="26"/>
      <c r="J1517" s="15"/>
      <c r="K1517" s="27"/>
      <c r="L1517" s="25" t="str">
        <f aca="false">IF(B1517="","",B1517&amp;"|"&amp;J1517)</f>
        <v/>
      </c>
    </row>
    <row r="1518" customFormat="false" ht="15" hidden="false" customHeight="false" outlineLevel="0" collapsed="false">
      <c r="A1518" s="15"/>
      <c r="B1518" s="21"/>
      <c r="C1518" s="21" t="str">
        <f aca="false">IF(B1518="","",IFERROR(INDEX(代理店一覧!$B$5:$B$204,MATCH(B1518,代理店一覧!$A$5:$A$204,0)),"※未登録のID"))</f>
        <v/>
      </c>
      <c r="D1518" s="21"/>
      <c r="E1518" s="21"/>
      <c r="F1518" s="21"/>
      <c r="G1518" s="18"/>
      <c r="H1518" s="21"/>
      <c r="I1518" s="26"/>
      <c r="J1518" s="15"/>
      <c r="K1518" s="27"/>
      <c r="L1518" s="25" t="str">
        <f aca="false">IF(B1518="","",B1518&amp;"|"&amp;J1518)</f>
        <v/>
      </c>
    </row>
    <row r="1519" customFormat="false" ht="15" hidden="false" customHeight="false" outlineLevel="0" collapsed="false">
      <c r="A1519" s="15"/>
      <c r="B1519" s="21"/>
      <c r="C1519" s="21" t="str">
        <f aca="false">IF(B1519="","",IFERROR(INDEX(代理店一覧!$B$5:$B$204,MATCH(B1519,代理店一覧!$A$5:$A$204,0)),"※未登録のID"))</f>
        <v/>
      </c>
      <c r="D1519" s="21"/>
      <c r="E1519" s="21"/>
      <c r="F1519" s="21"/>
      <c r="G1519" s="18"/>
      <c r="H1519" s="21"/>
      <c r="I1519" s="26"/>
      <c r="J1519" s="15"/>
      <c r="K1519" s="27"/>
      <c r="L1519" s="25" t="str">
        <f aca="false">IF(B1519="","",B1519&amp;"|"&amp;J1519)</f>
        <v/>
      </c>
    </row>
    <row r="1520" customFormat="false" ht="15" hidden="false" customHeight="false" outlineLevel="0" collapsed="false">
      <c r="A1520" s="15"/>
      <c r="B1520" s="21"/>
      <c r="C1520" s="21" t="str">
        <f aca="false">IF(B1520="","",IFERROR(INDEX(代理店一覧!$B$5:$B$204,MATCH(B1520,代理店一覧!$A$5:$A$204,0)),"※未登録のID"))</f>
        <v/>
      </c>
      <c r="D1520" s="21"/>
      <c r="E1520" s="21"/>
      <c r="F1520" s="21"/>
      <c r="G1520" s="18"/>
      <c r="H1520" s="21"/>
      <c r="I1520" s="26"/>
      <c r="J1520" s="15"/>
      <c r="K1520" s="27"/>
      <c r="L1520" s="25" t="str">
        <f aca="false">IF(B1520="","",B1520&amp;"|"&amp;J1520)</f>
        <v/>
      </c>
    </row>
    <row r="1521" customFormat="false" ht="15" hidden="false" customHeight="false" outlineLevel="0" collapsed="false">
      <c r="A1521" s="15"/>
      <c r="B1521" s="21"/>
      <c r="C1521" s="21" t="str">
        <f aca="false">IF(B1521="","",IFERROR(INDEX(代理店一覧!$B$5:$B$204,MATCH(B1521,代理店一覧!$A$5:$A$204,0)),"※未登録のID"))</f>
        <v/>
      </c>
      <c r="D1521" s="21"/>
      <c r="E1521" s="21"/>
      <c r="F1521" s="21"/>
      <c r="G1521" s="18"/>
      <c r="H1521" s="21"/>
      <c r="I1521" s="26"/>
      <c r="J1521" s="15"/>
      <c r="K1521" s="27"/>
      <c r="L1521" s="25" t="str">
        <f aca="false">IF(B1521="","",B1521&amp;"|"&amp;J1521)</f>
        <v/>
      </c>
    </row>
    <row r="1522" customFormat="false" ht="15" hidden="false" customHeight="false" outlineLevel="0" collapsed="false">
      <c r="A1522" s="15"/>
      <c r="B1522" s="21"/>
      <c r="C1522" s="21" t="str">
        <f aca="false">IF(B1522="","",IFERROR(INDEX(代理店一覧!$B$5:$B$204,MATCH(B1522,代理店一覧!$A$5:$A$204,0)),"※未登録のID"))</f>
        <v/>
      </c>
      <c r="D1522" s="21"/>
      <c r="E1522" s="21"/>
      <c r="F1522" s="21"/>
      <c r="G1522" s="18"/>
      <c r="H1522" s="21"/>
      <c r="I1522" s="26"/>
      <c r="J1522" s="15"/>
      <c r="K1522" s="27"/>
      <c r="L1522" s="25" t="str">
        <f aca="false">IF(B1522="","",B1522&amp;"|"&amp;J1522)</f>
        <v/>
      </c>
    </row>
    <row r="1523" customFormat="false" ht="15" hidden="false" customHeight="false" outlineLevel="0" collapsed="false">
      <c r="A1523" s="15"/>
      <c r="B1523" s="21"/>
      <c r="C1523" s="21" t="str">
        <f aca="false">IF(B1523="","",IFERROR(INDEX(代理店一覧!$B$5:$B$204,MATCH(B1523,代理店一覧!$A$5:$A$204,0)),"※未登録のID"))</f>
        <v/>
      </c>
      <c r="D1523" s="21"/>
      <c r="E1523" s="21"/>
      <c r="F1523" s="21"/>
      <c r="G1523" s="18"/>
      <c r="H1523" s="21"/>
      <c r="I1523" s="26"/>
      <c r="J1523" s="15"/>
      <c r="K1523" s="27"/>
      <c r="L1523" s="25" t="str">
        <f aca="false">IF(B1523="","",B1523&amp;"|"&amp;J1523)</f>
        <v/>
      </c>
    </row>
    <row r="1524" customFormat="false" ht="15" hidden="false" customHeight="false" outlineLevel="0" collapsed="false">
      <c r="A1524" s="15"/>
      <c r="B1524" s="21"/>
      <c r="C1524" s="21" t="str">
        <f aca="false">IF(B1524="","",IFERROR(INDEX(代理店一覧!$B$5:$B$204,MATCH(B1524,代理店一覧!$A$5:$A$204,0)),"※未登録のID"))</f>
        <v/>
      </c>
      <c r="D1524" s="21"/>
      <c r="E1524" s="21"/>
      <c r="F1524" s="21"/>
      <c r="G1524" s="18"/>
      <c r="H1524" s="21"/>
      <c r="I1524" s="26"/>
      <c r="J1524" s="15"/>
      <c r="K1524" s="27"/>
      <c r="L1524" s="25" t="str">
        <f aca="false">IF(B1524="","",B1524&amp;"|"&amp;J1524)</f>
        <v/>
      </c>
    </row>
    <row r="1525" customFormat="false" ht="15" hidden="false" customHeight="false" outlineLevel="0" collapsed="false">
      <c r="A1525" s="15"/>
      <c r="B1525" s="21"/>
      <c r="C1525" s="21" t="str">
        <f aca="false">IF(B1525="","",IFERROR(INDEX(代理店一覧!$B$5:$B$204,MATCH(B1525,代理店一覧!$A$5:$A$204,0)),"※未登録のID"))</f>
        <v/>
      </c>
      <c r="D1525" s="21"/>
      <c r="E1525" s="21"/>
      <c r="F1525" s="21"/>
      <c r="G1525" s="18"/>
      <c r="H1525" s="21"/>
      <c r="I1525" s="26"/>
      <c r="J1525" s="15"/>
      <c r="K1525" s="27"/>
      <c r="L1525" s="25" t="str">
        <f aca="false">IF(B1525="","",B1525&amp;"|"&amp;J1525)</f>
        <v/>
      </c>
    </row>
    <row r="1526" customFormat="false" ht="15" hidden="false" customHeight="false" outlineLevel="0" collapsed="false">
      <c r="A1526" s="15"/>
      <c r="B1526" s="21"/>
      <c r="C1526" s="21" t="str">
        <f aca="false">IF(B1526="","",IFERROR(INDEX(代理店一覧!$B$5:$B$204,MATCH(B1526,代理店一覧!$A$5:$A$204,0)),"※未登録のID"))</f>
        <v/>
      </c>
      <c r="D1526" s="21"/>
      <c r="E1526" s="21"/>
      <c r="F1526" s="21"/>
      <c r="G1526" s="18"/>
      <c r="H1526" s="21"/>
      <c r="I1526" s="26"/>
      <c r="J1526" s="15"/>
      <c r="K1526" s="27"/>
      <c r="L1526" s="25" t="str">
        <f aca="false">IF(B1526="","",B1526&amp;"|"&amp;J1526)</f>
        <v/>
      </c>
    </row>
    <row r="1527" customFormat="false" ht="15" hidden="false" customHeight="false" outlineLevel="0" collapsed="false">
      <c r="A1527" s="15"/>
      <c r="B1527" s="21"/>
      <c r="C1527" s="21" t="str">
        <f aca="false">IF(B1527="","",IFERROR(INDEX(代理店一覧!$B$5:$B$204,MATCH(B1527,代理店一覧!$A$5:$A$204,0)),"※未登録のID"))</f>
        <v/>
      </c>
      <c r="D1527" s="21"/>
      <c r="E1527" s="21"/>
      <c r="F1527" s="21"/>
      <c r="G1527" s="18"/>
      <c r="H1527" s="21"/>
      <c r="I1527" s="26"/>
      <c r="J1527" s="15"/>
      <c r="K1527" s="27"/>
      <c r="L1527" s="25" t="str">
        <f aca="false">IF(B1527="","",B1527&amp;"|"&amp;J1527)</f>
        <v/>
      </c>
    </row>
    <row r="1528" customFormat="false" ht="15" hidden="false" customHeight="false" outlineLevel="0" collapsed="false">
      <c r="A1528" s="15"/>
      <c r="B1528" s="21"/>
      <c r="C1528" s="21" t="str">
        <f aca="false">IF(B1528="","",IFERROR(INDEX(代理店一覧!$B$5:$B$204,MATCH(B1528,代理店一覧!$A$5:$A$204,0)),"※未登録のID"))</f>
        <v/>
      </c>
      <c r="D1528" s="21"/>
      <c r="E1528" s="21"/>
      <c r="F1528" s="21"/>
      <c r="G1528" s="18"/>
      <c r="H1528" s="21"/>
      <c r="I1528" s="26"/>
      <c r="J1528" s="15"/>
      <c r="K1528" s="27"/>
      <c r="L1528" s="25" t="str">
        <f aca="false">IF(B1528="","",B1528&amp;"|"&amp;J1528)</f>
        <v/>
      </c>
    </row>
    <row r="1529" customFormat="false" ht="15" hidden="false" customHeight="false" outlineLevel="0" collapsed="false">
      <c r="A1529" s="15"/>
      <c r="B1529" s="21"/>
      <c r="C1529" s="21" t="str">
        <f aca="false">IF(B1529="","",IFERROR(INDEX(代理店一覧!$B$5:$B$204,MATCH(B1529,代理店一覧!$A$5:$A$204,0)),"※未登録のID"))</f>
        <v/>
      </c>
      <c r="D1529" s="21"/>
      <c r="E1529" s="21"/>
      <c r="F1529" s="21"/>
      <c r="G1529" s="18"/>
      <c r="H1529" s="21"/>
      <c r="I1529" s="26"/>
      <c r="J1529" s="15"/>
      <c r="K1529" s="27"/>
      <c r="L1529" s="25" t="str">
        <f aca="false">IF(B1529="","",B1529&amp;"|"&amp;J1529)</f>
        <v/>
      </c>
    </row>
    <row r="1530" customFormat="false" ht="15" hidden="false" customHeight="false" outlineLevel="0" collapsed="false">
      <c r="A1530" s="15"/>
      <c r="B1530" s="21"/>
      <c r="C1530" s="21" t="str">
        <f aca="false">IF(B1530="","",IFERROR(INDEX(代理店一覧!$B$5:$B$204,MATCH(B1530,代理店一覧!$A$5:$A$204,0)),"※未登録のID"))</f>
        <v/>
      </c>
      <c r="D1530" s="21"/>
      <c r="E1530" s="21"/>
      <c r="F1530" s="21"/>
      <c r="G1530" s="18"/>
      <c r="H1530" s="21"/>
      <c r="I1530" s="26"/>
      <c r="J1530" s="15"/>
      <c r="K1530" s="27"/>
      <c r="L1530" s="25" t="str">
        <f aca="false">IF(B1530="","",B1530&amp;"|"&amp;J1530)</f>
        <v/>
      </c>
    </row>
    <row r="1531" customFormat="false" ht="15" hidden="false" customHeight="false" outlineLevel="0" collapsed="false">
      <c r="A1531" s="15"/>
      <c r="B1531" s="21"/>
      <c r="C1531" s="21" t="str">
        <f aca="false">IF(B1531="","",IFERROR(INDEX(代理店一覧!$B$5:$B$204,MATCH(B1531,代理店一覧!$A$5:$A$204,0)),"※未登録のID"))</f>
        <v/>
      </c>
      <c r="D1531" s="21"/>
      <c r="E1531" s="21"/>
      <c r="F1531" s="21"/>
      <c r="G1531" s="18"/>
      <c r="H1531" s="21"/>
      <c r="I1531" s="26"/>
      <c r="J1531" s="15"/>
      <c r="K1531" s="27"/>
      <c r="L1531" s="25" t="str">
        <f aca="false">IF(B1531="","",B1531&amp;"|"&amp;J1531)</f>
        <v/>
      </c>
    </row>
    <row r="1532" customFormat="false" ht="15" hidden="false" customHeight="false" outlineLevel="0" collapsed="false">
      <c r="A1532" s="15"/>
      <c r="B1532" s="21"/>
      <c r="C1532" s="21" t="str">
        <f aca="false">IF(B1532="","",IFERROR(INDEX(代理店一覧!$B$5:$B$204,MATCH(B1532,代理店一覧!$A$5:$A$204,0)),"※未登録のID"))</f>
        <v/>
      </c>
      <c r="D1532" s="21"/>
      <c r="E1532" s="21"/>
      <c r="F1532" s="21"/>
      <c r="G1532" s="18"/>
      <c r="H1532" s="21"/>
      <c r="I1532" s="26"/>
      <c r="J1532" s="15"/>
      <c r="K1532" s="27"/>
      <c r="L1532" s="25" t="str">
        <f aca="false">IF(B1532="","",B1532&amp;"|"&amp;J1532)</f>
        <v/>
      </c>
    </row>
    <row r="1533" customFormat="false" ht="15" hidden="false" customHeight="false" outlineLevel="0" collapsed="false">
      <c r="A1533" s="15"/>
      <c r="B1533" s="21"/>
      <c r="C1533" s="21" t="str">
        <f aca="false">IF(B1533="","",IFERROR(INDEX(代理店一覧!$B$5:$B$204,MATCH(B1533,代理店一覧!$A$5:$A$204,0)),"※未登録のID"))</f>
        <v/>
      </c>
      <c r="D1533" s="21"/>
      <c r="E1533" s="21"/>
      <c r="F1533" s="21"/>
      <c r="G1533" s="18"/>
      <c r="H1533" s="21"/>
      <c r="I1533" s="26"/>
      <c r="J1533" s="15"/>
      <c r="K1533" s="27"/>
      <c r="L1533" s="25" t="str">
        <f aca="false">IF(B1533="","",B1533&amp;"|"&amp;J1533)</f>
        <v/>
      </c>
    </row>
    <row r="1534" customFormat="false" ht="15" hidden="false" customHeight="false" outlineLevel="0" collapsed="false">
      <c r="A1534" s="15"/>
      <c r="B1534" s="21"/>
      <c r="C1534" s="21" t="str">
        <f aca="false">IF(B1534="","",IFERROR(INDEX(代理店一覧!$B$5:$B$204,MATCH(B1534,代理店一覧!$A$5:$A$204,0)),"※未登録のID"))</f>
        <v/>
      </c>
      <c r="D1534" s="21"/>
      <c r="E1534" s="21"/>
      <c r="F1534" s="21"/>
      <c r="G1534" s="18"/>
      <c r="H1534" s="21"/>
      <c r="I1534" s="26"/>
      <c r="J1534" s="15"/>
      <c r="K1534" s="27"/>
      <c r="L1534" s="25" t="str">
        <f aca="false">IF(B1534="","",B1534&amp;"|"&amp;J1534)</f>
        <v/>
      </c>
    </row>
    <row r="1535" customFormat="false" ht="15" hidden="false" customHeight="false" outlineLevel="0" collapsed="false">
      <c r="A1535" s="15"/>
      <c r="B1535" s="21"/>
      <c r="C1535" s="21" t="str">
        <f aca="false">IF(B1535="","",IFERROR(INDEX(代理店一覧!$B$5:$B$204,MATCH(B1535,代理店一覧!$A$5:$A$204,0)),"※未登録のID"))</f>
        <v/>
      </c>
      <c r="D1535" s="21"/>
      <c r="E1535" s="21"/>
      <c r="F1535" s="21"/>
      <c r="G1535" s="18"/>
      <c r="H1535" s="21"/>
      <c r="I1535" s="26"/>
      <c r="J1535" s="15"/>
      <c r="K1535" s="27"/>
      <c r="L1535" s="25" t="str">
        <f aca="false">IF(B1535="","",B1535&amp;"|"&amp;J1535)</f>
        <v/>
      </c>
    </row>
    <row r="1536" customFormat="false" ht="15" hidden="false" customHeight="false" outlineLevel="0" collapsed="false">
      <c r="A1536" s="15"/>
      <c r="B1536" s="21"/>
      <c r="C1536" s="21" t="str">
        <f aca="false">IF(B1536="","",IFERROR(INDEX(代理店一覧!$B$5:$B$204,MATCH(B1536,代理店一覧!$A$5:$A$204,0)),"※未登録のID"))</f>
        <v/>
      </c>
      <c r="D1536" s="21"/>
      <c r="E1536" s="21"/>
      <c r="F1536" s="21"/>
      <c r="G1536" s="18"/>
      <c r="H1536" s="21"/>
      <c r="I1536" s="26"/>
      <c r="J1536" s="15"/>
      <c r="K1536" s="27"/>
      <c r="L1536" s="25" t="str">
        <f aca="false">IF(B1536="","",B1536&amp;"|"&amp;J1536)</f>
        <v/>
      </c>
    </row>
    <row r="1537" customFormat="false" ht="15" hidden="false" customHeight="false" outlineLevel="0" collapsed="false">
      <c r="A1537" s="15"/>
      <c r="B1537" s="21"/>
      <c r="C1537" s="21" t="str">
        <f aca="false">IF(B1537="","",IFERROR(INDEX(代理店一覧!$B$5:$B$204,MATCH(B1537,代理店一覧!$A$5:$A$204,0)),"※未登録のID"))</f>
        <v/>
      </c>
      <c r="D1537" s="21"/>
      <c r="E1537" s="21"/>
      <c r="F1537" s="21"/>
      <c r="G1537" s="18"/>
      <c r="H1537" s="21"/>
      <c r="I1537" s="26"/>
      <c r="J1537" s="15"/>
      <c r="K1537" s="27"/>
      <c r="L1537" s="25" t="str">
        <f aca="false">IF(B1537="","",B1537&amp;"|"&amp;J1537)</f>
        <v/>
      </c>
    </row>
    <row r="1538" customFormat="false" ht="15" hidden="false" customHeight="false" outlineLevel="0" collapsed="false">
      <c r="A1538" s="15"/>
      <c r="B1538" s="21"/>
      <c r="C1538" s="21" t="str">
        <f aca="false">IF(B1538="","",IFERROR(INDEX(代理店一覧!$B$5:$B$204,MATCH(B1538,代理店一覧!$A$5:$A$204,0)),"※未登録のID"))</f>
        <v/>
      </c>
      <c r="D1538" s="21"/>
      <c r="E1538" s="21"/>
      <c r="F1538" s="21"/>
      <c r="G1538" s="18"/>
      <c r="H1538" s="21"/>
      <c r="I1538" s="26"/>
      <c r="J1538" s="15"/>
      <c r="K1538" s="27"/>
      <c r="L1538" s="25" t="str">
        <f aca="false">IF(B1538="","",B1538&amp;"|"&amp;J1538)</f>
        <v/>
      </c>
    </row>
    <row r="1539" customFormat="false" ht="15" hidden="false" customHeight="false" outlineLevel="0" collapsed="false">
      <c r="A1539" s="15"/>
      <c r="B1539" s="21"/>
      <c r="C1539" s="21" t="str">
        <f aca="false">IF(B1539="","",IFERROR(INDEX(代理店一覧!$B$5:$B$204,MATCH(B1539,代理店一覧!$A$5:$A$204,0)),"※未登録のID"))</f>
        <v/>
      </c>
      <c r="D1539" s="21"/>
      <c r="E1539" s="21"/>
      <c r="F1539" s="21"/>
      <c r="G1539" s="18"/>
      <c r="H1539" s="21"/>
      <c r="I1539" s="26"/>
      <c r="J1539" s="15"/>
      <c r="K1539" s="27"/>
      <c r="L1539" s="25" t="str">
        <f aca="false">IF(B1539="","",B1539&amp;"|"&amp;J1539)</f>
        <v/>
      </c>
    </row>
    <row r="1540" customFormat="false" ht="15" hidden="false" customHeight="false" outlineLevel="0" collapsed="false">
      <c r="A1540" s="15"/>
      <c r="B1540" s="21"/>
      <c r="C1540" s="21" t="str">
        <f aca="false">IF(B1540="","",IFERROR(INDEX(代理店一覧!$B$5:$B$204,MATCH(B1540,代理店一覧!$A$5:$A$204,0)),"※未登録のID"))</f>
        <v/>
      </c>
      <c r="D1540" s="21"/>
      <c r="E1540" s="21"/>
      <c r="F1540" s="21"/>
      <c r="G1540" s="18"/>
      <c r="H1540" s="21"/>
      <c r="I1540" s="26"/>
      <c r="J1540" s="15"/>
      <c r="K1540" s="27"/>
      <c r="L1540" s="25" t="str">
        <f aca="false">IF(B1540="","",B1540&amp;"|"&amp;J1540)</f>
        <v/>
      </c>
    </row>
    <row r="1541" customFormat="false" ht="15" hidden="false" customHeight="false" outlineLevel="0" collapsed="false">
      <c r="A1541" s="15"/>
      <c r="B1541" s="21"/>
      <c r="C1541" s="21" t="str">
        <f aca="false">IF(B1541="","",IFERROR(INDEX(代理店一覧!$B$5:$B$204,MATCH(B1541,代理店一覧!$A$5:$A$204,0)),"※未登録のID"))</f>
        <v/>
      </c>
      <c r="D1541" s="21"/>
      <c r="E1541" s="21"/>
      <c r="F1541" s="21"/>
      <c r="G1541" s="18"/>
      <c r="H1541" s="21"/>
      <c r="I1541" s="26"/>
      <c r="J1541" s="15"/>
      <c r="K1541" s="27"/>
      <c r="L1541" s="25" t="str">
        <f aca="false">IF(B1541="","",B1541&amp;"|"&amp;J1541)</f>
        <v/>
      </c>
    </row>
    <row r="1542" customFormat="false" ht="15" hidden="false" customHeight="false" outlineLevel="0" collapsed="false">
      <c r="A1542" s="15"/>
      <c r="B1542" s="21"/>
      <c r="C1542" s="21" t="str">
        <f aca="false">IF(B1542="","",IFERROR(INDEX(代理店一覧!$B$5:$B$204,MATCH(B1542,代理店一覧!$A$5:$A$204,0)),"※未登録のID"))</f>
        <v/>
      </c>
      <c r="D1542" s="21"/>
      <c r="E1542" s="21"/>
      <c r="F1542" s="21"/>
      <c r="G1542" s="18"/>
      <c r="H1542" s="21"/>
      <c r="I1542" s="26"/>
      <c r="J1542" s="15"/>
      <c r="K1542" s="27"/>
      <c r="L1542" s="25" t="str">
        <f aca="false">IF(B1542="","",B1542&amp;"|"&amp;J1542)</f>
        <v/>
      </c>
    </row>
    <row r="1543" customFormat="false" ht="15" hidden="false" customHeight="false" outlineLevel="0" collapsed="false">
      <c r="A1543" s="15"/>
      <c r="B1543" s="21"/>
      <c r="C1543" s="21" t="str">
        <f aca="false">IF(B1543="","",IFERROR(INDEX(代理店一覧!$B$5:$B$204,MATCH(B1543,代理店一覧!$A$5:$A$204,0)),"※未登録のID"))</f>
        <v/>
      </c>
      <c r="D1543" s="21"/>
      <c r="E1543" s="21"/>
      <c r="F1543" s="21"/>
      <c r="G1543" s="18"/>
      <c r="H1543" s="21"/>
      <c r="I1543" s="26"/>
      <c r="J1543" s="15"/>
      <c r="K1543" s="27"/>
      <c r="L1543" s="25" t="str">
        <f aca="false">IF(B1543="","",B1543&amp;"|"&amp;J1543)</f>
        <v/>
      </c>
    </row>
    <row r="1544" customFormat="false" ht="15" hidden="false" customHeight="false" outlineLevel="0" collapsed="false">
      <c r="A1544" s="15"/>
      <c r="B1544" s="21"/>
      <c r="C1544" s="21" t="str">
        <f aca="false">IF(B1544="","",IFERROR(INDEX(代理店一覧!$B$5:$B$204,MATCH(B1544,代理店一覧!$A$5:$A$204,0)),"※未登録のID"))</f>
        <v/>
      </c>
      <c r="D1544" s="21"/>
      <c r="E1544" s="21"/>
      <c r="F1544" s="21"/>
      <c r="G1544" s="18"/>
      <c r="H1544" s="21"/>
      <c r="I1544" s="26"/>
      <c r="J1544" s="15"/>
      <c r="K1544" s="27"/>
      <c r="L1544" s="25" t="str">
        <f aca="false">IF(B1544="","",B1544&amp;"|"&amp;J1544)</f>
        <v/>
      </c>
    </row>
    <row r="1545" customFormat="false" ht="15" hidden="false" customHeight="false" outlineLevel="0" collapsed="false">
      <c r="A1545" s="15"/>
      <c r="B1545" s="21"/>
      <c r="C1545" s="21" t="str">
        <f aca="false">IF(B1545="","",IFERROR(INDEX(代理店一覧!$B$5:$B$204,MATCH(B1545,代理店一覧!$A$5:$A$204,0)),"※未登録のID"))</f>
        <v/>
      </c>
      <c r="D1545" s="21"/>
      <c r="E1545" s="21"/>
      <c r="F1545" s="21"/>
      <c r="G1545" s="18"/>
      <c r="H1545" s="21"/>
      <c r="I1545" s="26"/>
      <c r="J1545" s="15"/>
      <c r="K1545" s="27"/>
      <c r="L1545" s="25" t="str">
        <f aca="false">IF(B1545="","",B1545&amp;"|"&amp;J1545)</f>
        <v/>
      </c>
    </row>
    <row r="1546" customFormat="false" ht="15" hidden="false" customHeight="false" outlineLevel="0" collapsed="false">
      <c r="A1546" s="15"/>
      <c r="B1546" s="21"/>
      <c r="C1546" s="21" t="str">
        <f aca="false">IF(B1546="","",IFERROR(INDEX(代理店一覧!$B$5:$B$204,MATCH(B1546,代理店一覧!$A$5:$A$204,0)),"※未登録のID"))</f>
        <v/>
      </c>
      <c r="D1546" s="21"/>
      <c r="E1546" s="21"/>
      <c r="F1546" s="21"/>
      <c r="G1546" s="18"/>
      <c r="H1546" s="21"/>
      <c r="I1546" s="26"/>
      <c r="J1546" s="15"/>
      <c r="K1546" s="27"/>
      <c r="L1546" s="25" t="str">
        <f aca="false">IF(B1546="","",B1546&amp;"|"&amp;J1546)</f>
        <v/>
      </c>
    </row>
    <row r="1547" customFormat="false" ht="15" hidden="false" customHeight="false" outlineLevel="0" collapsed="false">
      <c r="A1547" s="15"/>
      <c r="B1547" s="21"/>
      <c r="C1547" s="21" t="str">
        <f aca="false">IF(B1547="","",IFERROR(INDEX(代理店一覧!$B$5:$B$204,MATCH(B1547,代理店一覧!$A$5:$A$204,0)),"※未登録のID"))</f>
        <v/>
      </c>
      <c r="D1547" s="21"/>
      <c r="E1547" s="21"/>
      <c r="F1547" s="21"/>
      <c r="G1547" s="18"/>
      <c r="H1547" s="21"/>
      <c r="I1547" s="26"/>
      <c r="J1547" s="15"/>
      <c r="K1547" s="27"/>
      <c r="L1547" s="25" t="str">
        <f aca="false">IF(B1547="","",B1547&amp;"|"&amp;J1547)</f>
        <v/>
      </c>
    </row>
    <row r="1548" customFormat="false" ht="15" hidden="false" customHeight="false" outlineLevel="0" collapsed="false">
      <c r="A1548" s="15"/>
      <c r="B1548" s="21"/>
      <c r="C1548" s="21" t="str">
        <f aca="false">IF(B1548="","",IFERROR(INDEX(代理店一覧!$B$5:$B$204,MATCH(B1548,代理店一覧!$A$5:$A$204,0)),"※未登録のID"))</f>
        <v/>
      </c>
      <c r="D1548" s="21"/>
      <c r="E1548" s="21"/>
      <c r="F1548" s="21"/>
      <c r="G1548" s="18"/>
      <c r="H1548" s="21"/>
      <c r="I1548" s="26"/>
      <c r="J1548" s="15"/>
      <c r="K1548" s="27"/>
      <c r="L1548" s="25" t="str">
        <f aca="false">IF(B1548="","",B1548&amp;"|"&amp;J1548)</f>
        <v/>
      </c>
    </row>
    <row r="1549" customFormat="false" ht="15" hidden="false" customHeight="false" outlineLevel="0" collapsed="false">
      <c r="A1549" s="15"/>
      <c r="B1549" s="21"/>
      <c r="C1549" s="21" t="str">
        <f aca="false">IF(B1549="","",IFERROR(INDEX(代理店一覧!$B$5:$B$204,MATCH(B1549,代理店一覧!$A$5:$A$204,0)),"※未登録のID"))</f>
        <v/>
      </c>
      <c r="D1549" s="21"/>
      <c r="E1549" s="21"/>
      <c r="F1549" s="21"/>
      <c r="G1549" s="18"/>
      <c r="H1549" s="21"/>
      <c r="I1549" s="26"/>
      <c r="J1549" s="15"/>
      <c r="K1549" s="27"/>
      <c r="L1549" s="25" t="str">
        <f aca="false">IF(B1549="","",B1549&amp;"|"&amp;J1549)</f>
        <v/>
      </c>
    </row>
    <row r="1550" customFormat="false" ht="15" hidden="false" customHeight="false" outlineLevel="0" collapsed="false">
      <c r="A1550" s="15"/>
      <c r="B1550" s="21"/>
      <c r="C1550" s="21" t="str">
        <f aca="false">IF(B1550="","",IFERROR(INDEX(代理店一覧!$B$5:$B$204,MATCH(B1550,代理店一覧!$A$5:$A$204,0)),"※未登録のID"))</f>
        <v/>
      </c>
      <c r="D1550" s="21"/>
      <c r="E1550" s="21"/>
      <c r="F1550" s="21"/>
      <c r="G1550" s="18"/>
      <c r="H1550" s="21"/>
      <c r="I1550" s="26"/>
      <c r="J1550" s="15"/>
      <c r="K1550" s="27"/>
      <c r="L1550" s="25" t="str">
        <f aca="false">IF(B1550="","",B1550&amp;"|"&amp;J1550)</f>
        <v/>
      </c>
    </row>
    <row r="1551" customFormat="false" ht="15" hidden="false" customHeight="false" outlineLevel="0" collapsed="false">
      <c r="A1551" s="15"/>
      <c r="B1551" s="21"/>
      <c r="C1551" s="21" t="str">
        <f aca="false">IF(B1551="","",IFERROR(INDEX(代理店一覧!$B$5:$B$204,MATCH(B1551,代理店一覧!$A$5:$A$204,0)),"※未登録のID"))</f>
        <v/>
      </c>
      <c r="D1551" s="21"/>
      <c r="E1551" s="21"/>
      <c r="F1551" s="21"/>
      <c r="G1551" s="18"/>
      <c r="H1551" s="21"/>
      <c r="I1551" s="26"/>
      <c r="J1551" s="15"/>
      <c r="K1551" s="27"/>
      <c r="L1551" s="25" t="str">
        <f aca="false">IF(B1551="","",B1551&amp;"|"&amp;J1551)</f>
        <v/>
      </c>
    </row>
    <row r="1552" customFormat="false" ht="15" hidden="false" customHeight="false" outlineLevel="0" collapsed="false">
      <c r="A1552" s="15"/>
      <c r="B1552" s="21"/>
      <c r="C1552" s="21" t="str">
        <f aca="false">IF(B1552="","",IFERROR(INDEX(代理店一覧!$B$5:$B$204,MATCH(B1552,代理店一覧!$A$5:$A$204,0)),"※未登録のID"))</f>
        <v/>
      </c>
      <c r="D1552" s="21"/>
      <c r="E1552" s="21"/>
      <c r="F1552" s="21"/>
      <c r="G1552" s="18"/>
      <c r="H1552" s="21"/>
      <c r="I1552" s="26"/>
      <c r="J1552" s="15"/>
      <c r="K1552" s="27"/>
      <c r="L1552" s="25" t="str">
        <f aca="false">IF(B1552="","",B1552&amp;"|"&amp;J1552)</f>
        <v/>
      </c>
    </row>
    <row r="1553" customFormat="false" ht="15" hidden="false" customHeight="false" outlineLevel="0" collapsed="false">
      <c r="A1553" s="15"/>
      <c r="B1553" s="21"/>
      <c r="C1553" s="21" t="str">
        <f aca="false">IF(B1553="","",IFERROR(INDEX(代理店一覧!$B$5:$B$204,MATCH(B1553,代理店一覧!$A$5:$A$204,0)),"※未登録のID"))</f>
        <v/>
      </c>
      <c r="D1553" s="21"/>
      <c r="E1553" s="21"/>
      <c r="F1553" s="21"/>
      <c r="G1553" s="18"/>
      <c r="H1553" s="21"/>
      <c r="I1553" s="26"/>
      <c r="J1553" s="15"/>
      <c r="K1553" s="27"/>
      <c r="L1553" s="25" t="str">
        <f aca="false">IF(B1553="","",B1553&amp;"|"&amp;J1553)</f>
        <v/>
      </c>
    </row>
    <row r="1554" customFormat="false" ht="15" hidden="false" customHeight="false" outlineLevel="0" collapsed="false">
      <c r="A1554" s="15"/>
      <c r="B1554" s="21"/>
      <c r="C1554" s="21" t="str">
        <f aca="false">IF(B1554="","",IFERROR(INDEX(代理店一覧!$B$5:$B$204,MATCH(B1554,代理店一覧!$A$5:$A$204,0)),"※未登録のID"))</f>
        <v/>
      </c>
      <c r="D1554" s="21"/>
      <c r="E1554" s="21"/>
      <c r="F1554" s="21"/>
      <c r="G1554" s="18"/>
      <c r="H1554" s="21"/>
      <c r="I1554" s="26"/>
      <c r="J1554" s="15"/>
      <c r="K1554" s="27"/>
      <c r="L1554" s="25" t="str">
        <f aca="false">IF(B1554="","",B1554&amp;"|"&amp;J1554)</f>
        <v/>
      </c>
    </row>
    <row r="1555" customFormat="false" ht="15" hidden="false" customHeight="false" outlineLevel="0" collapsed="false">
      <c r="A1555" s="15"/>
      <c r="B1555" s="21"/>
      <c r="C1555" s="21" t="str">
        <f aca="false">IF(B1555="","",IFERROR(INDEX(代理店一覧!$B$5:$B$204,MATCH(B1555,代理店一覧!$A$5:$A$204,0)),"※未登録のID"))</f>
        <v/>
      </c>
      <c r="D1555" s="21"/>
      <c r="E1555" s="21"/>
      <c r="F1555" s="21"/>
      <c r="G1555" s="18"/>
      <c r="H1555" s="21"/>
      <c r="I1555" s="26"/>
      <c r="J1555" s="15"/>
      <c r="K1555" s="27"/>
      <c r="L1555" s="25" t="str">
        <f aca="false">IF(B1555="","",B1555&amp;"|"&amp;J1555)</f>
        <v/>
      </c>
    </row>
    <row r="1556" customFormat="false" ht="15" hidden="false" customHeight="false" outlineLevel="0" collapsed="false">
      <c r="A1556" s="15"/>
      <c r="B1556" s="21"/>
      <c r="C1556" s="21" t="str">
        <f aca="false">IF(B1556="","",IFERROR(INDEX(代理店一覧!$B$5:$B$204,MATCH(B1556,代理店一覧!$A$5:$A$204,0)),"※未登録のID"))</f>
        <v/>
      </c>
      <c r="D1556" s="21"/>
      <c r="E1556" s="21"/>
      <c r="F1556" s="21"/>
      <c r="G1556" s="18"/>
      <c r="H1556" s="21"/>
      <c r="I1556" s="26"/>
      <c r="J1556" s="15"/>
      <c r="K1556" s="27"/>
      <c r="L1556" s="25" t="str">
        <f aca="false">IF(B1556="","",B1556&amp;"|"&amp;J1556)</f>
        <v/>
      </c>
    </row>
    <row r="1557" customFormat="false" ht="15" hidden="false" customHeight="false" outlineLevel="0" collapsed="false">
      <c r="A1557" s="15"/>
      <c r="B1557" s="21"/>
      <c r="C1557" s="21" t="str">
        <f aca="false">IF(B1557="","",IFERROR(INDEX(代理店一覧!$B$5:$B$204,MATCH(B1557,代理店一覧!$A$5:$A$204,0)),"※未登録のID"))</f>
        <v/>
      </c>
      <c r="D1557" s="21"/>
      <c r="E1557" s="21"/>
      <c r="F1557" s="21"/>
      <c r="G1557" s="18"/>
      <c r="H1557" s="21"/>
      <c r="I1557" s="26"/>
      <c r="J1557" s="15"/>
      <c r="K1557" s="27"/>
      <c r="L1557" s="25" t="str">
        <f aca="false">IF(B1557="","",B1557&amp;"|"&amp;J1557)</f>
        <v/>
      </c>
    </row>
    <row r="1558" customFormat="false" ht="15" hidden="false" customHeight="false" outlineLevel="0" collapsed="false">
      <c r="A1558" s="15"/>
      <c r="B1558" s="21"/>
      <c r="C1558" s="21" t="str">
        <f aca="false">IF(B1558="","",IFERROR(INDEX(代理店一覧!$B$5:$B$204,MATCH(B1558,代理店一覧!$A$5:$A$204,0)),"※未登録のID"))</f>
        <v/>
      </c>
      <c r="D1558" s="21"/>
      <c r="E1558" s="21"/>
      <c r="F1558" s="21"/>
      <c r="G1558" s="18"/>
      <c r="H1558" s="21"/>
      <c r="I1558" s="26"/>
      <c r="J1558" s="15"/>
      <c r="K1558" s="27"/>
      <c r="L1558" s="25" t="str">
        <f aca="false">IF(B1558="","",B1558&amp;"|"&amp;J1558)</f>
        <v/>
      </c>
    </row>
    <row r="1559" customFormat="false" ht="15" hidden="false" customHeight="false" outlineLevel="0" collapsed="false">
      <c r="A1559" s="15"/>
      <c r="B1559" s="21"/>
      <c r="C1559" s="21" t="str">
        <f aca="false">IF(B1559="","",IFERROR(INDEX(代理店一覧!$B$5:$B$204,MATCH(B1559,代理店一覧!$A$5:$A$204,0)),"※未登録のID"))</f>
        <v/>
      </c>
      <c r="D1559" s="21"/>
      <c r="E1559" s="21"/>
      <c r="F1559" s="21"/>
      <c r="G1559" s="18"/>
      <c r="H1559" s="21"/>
      <c r="I1559" s="26"/>
      <c r="J1559" s="15"/>
      <c r="K1559" s="27"/>
      <c r="L1559" s="25" t="str">
        <f aca="false">IF(B1559="","",B1559&amp;"|"&amp;J1559)</f>
        <v/>
      </c>
    </row>
    <row r="1560" customFormat="false" ht="15" hidden="false" customHeight="false" outlineLevel="0" collapsed="false">
      <c r="A1560" s="15"/>
      <c r="B1560" s="21"/>
      <c r="C1560" s="21" t="str">
        <f aca="false">IF(B1560="","",IFERROR(INDEX(代理店一覧!$B$5:$B$204,MATCH(B1560,代理店一覧!$A$5:$A$204,0)),"※未登録のID"))</f>
        <v/>
      </c>
      <c r="D1560" s="21"/>
      <c r="E1560" s="21"/>
      <c r="F1560" s="21"/>
      <c r="G1560" s="18"/>
      <c r="H1560" s="21"/>
      <c r="I1560" s="26"/>
      <c r="J1560" s="15"/>
      <c r="K1560" s="27"/>
      <c r="L1560" s="25" t="str">
        <f aca="false">IF(B1560="","",B1560&amp;"|"&amp;J1560)</f>
        <v/>
      </c>
    </row>
    <row r="1561" customFormat="false" ht="15" hidden="false" customHeight="false" outlineLevel="0" collapsed="false">
      <c r="A1561" s="15"/>
      <c r="B1561" s="21"/>
      <c r="C1561" s="21" t="str">
        <f aca="false">IF(B1561="","",IFERROR(INDEX(代理店一覧!$B$5:$B$204,MATCH(B1561,代理店一覧!$A$5:$A$204,0)),"※未登録のID"))</f>
        <v/>
      </c>
      <c r="D1561" s="21"/>
      <c r="E1561" s="21"/>
      <c r="F1561" s="21"/>
      <c r="G1561" s="18"/>
      <c r="H1561" s="21"/>
      <c r="I1561" s="26"/>
      <c r="J1561" s="15"/>
      <c r="K1561" s="27"/>
      <c r="L1561" s="25" t="str">
        <f aca="false">IF(B1561="","",B1561&amp;"|"&amp;J1561)</f>
        <v/>
      </c>
    </row>
    <row r="1562" customFormat="false" ht="15" hidden="false" customHeight="false" outlineLevel="0" collapsed="false">
      <c r="A1562" s="15"/>
      <c r="B1562" s="21"/>
      <c r="C1562" s="21" t="str">
        <f aca="false">IF(B1562="","",IFERROR(INDEX(代理店一覧!$B$5:$B$204,MATCH(B1562,代理店一覧!$A$5:$A$204,0)),"※未登録のID"))</f>
        <v/>
      </c>
      <c r="D1562" s="21"/>
      <c r="E1562" s="21"/>
      <c r="F1562" s="21"/>
      <c r="G1562" s="18"/>
      <c r="H1562" s="21"/>
      <c r="I1562" s="26"/>
      <c r="J1562" s="15"/>
      <c r="K1562" s="27"/>
      <c r="L1562" s="25" t="str">
        <f aca="false">IF(B1562="","",B1562&amp;"|"&amp;J1562)</f>
        <v/>
      </c>
    </row>
    <row r="1563" customFormat="false" ht="15" hidden="false" customHeight="false" outlineLevel="0" collapsed="false">
      <c r="A1563" s="15"/>
      <c r="B1563" s="21"/>
      <c r="C1563" s="21" t="str">
        <f aca="false">IF(B1563="","",IFERROR(INDEX(代理店一覧!$B$5:$B$204,MATCH(B1563,代理店一覧!$A$5:$A$204,0)),"※未登録のID"))</f>
        <v/>
      </c>
      <c r="D1563" s="21"/>
      <c r="E1563" s="21"/>
      <c r="F1563" s="21"/>
      <c r="G1563" s="18"/>
      <c r="H1563" s="21"/>
      <c r="I1563" s="26"/>
      <c r="J1563" s="15"/>
      <c r="K1563" s="27"/>
      <c r="L1563" s="25" t="str">
        <f aca="false">IF(B1563="","",B1563&amp;"|"&amp;J1563)</f>
        <v/>
      </c>
    </row>
    <row r="1564" customFormat="false" ht="15" hidden="false" customHeight="false" outlineLevel="0" collapsed="false">
      <c r="A1564" s="15"/>
      <c r="B1564" s="21"/>
      <c r="C1564" s="21" t="str">
        <f aca="false">IF(B1564="","",IFERROR(INDEX(代理店一覧!$B$5:$B$204,MATCH(B1564,代理店一覧!$A$5:$A$204,0)),"※未登録のID"))</f>
        <v/>
      </c>
      <c r="D1564" s="21"/>
      <c r="E1564" s="21"/>
      <c r="F1564" s="21"/>
      <c r="G1564" s="18"/>
      <c r="H1564" s="21"/>
      <c r="I1564" s="26"/>
      <c r="J1564" s="15"/>
      <c r="K1564" s="27"/>
      <c r="L1564" s="25" t="str">
        <f aca="false">IF(B1564="","",B1564&amp;"|"&amp;J1564)</f>
        <v/>
      </c>
    </row>
    <row r="1565" customFormat="false" ht="15" hidden="false" customHeight="false" outlineLevel="0" collapsed="false">
      <c r="A1565" s="15"/>
      <c r="B1565" s="21"/>
      <c r="C1565" s="21" t="str">
        <f aca="false">IF(B1565="","",IFERROR(INDEX(代理店一覧!$B$5:$B$204,MATCH(B1565,代理店一覧!$A$5:$A$204,0)),"※未登録のID"))</f>
        <v/>
      </c>
      <c r="D1565" s="21"/>
      <c r="E1565" s="21"/>
      <c r="F1565" s="21"/>
      <c r="G1565" s="18"/>
      <c r="H1565" s="21"/>
      <c r="I1565" s="26"/>
      <c r="J1565" s="15"/>
      <c r="K1565" s="27"/>
      <c r="L1565" s="25" t="str">
        <f aca="false">IF(B1565="","",B1565&amp;"|"&amp;J1565)</f>
        <v/>
      </c>
    </row>
    <row r="1566" customFormat="false" ht="15" hidden="false" customHeight="false" outlineLevel="0" collapsed="false">
      <c r="A1566" s="15"/>
      <c r="B1566" s="21"/>
      <c r="C1566" s="21" t="str">
        <f aca="false">IF(B1566="","",IFERROR(INDEX(代理店一覧!$B$5:$B$204,MATCH(B1566,代理店一覧!$A$5:$A$204,0)),"※未登録のID"))</f>
        <v/>
      </c>
      <c r="D1566" s="21"/>
      <c r="E1566" s="21"/>
      <c r="F1566" s="21"/>
      <c r="G1566" s="18"/>
      <c r="H1566" s="21"/>
      <c r="I1566" s="26"/>
      <c r="J1566" s="15"/>
      <c r="K1566" s="27"/>
      <c r="L1566" s="25" t="str">
        <f aca="false">IF(B1566="","",B1566&amp;"|"&amp;J1566)</f>
        <v/>
      </c>
    </row>
    <row r="1567" customFormat="false" ht="15" hidden="false" customHeight="false" outlineLevel="0" collapsed="false">
      <c r="A1567" s="15"/>
      <c r="B1567" s="21"/>
      <c r="C1567" s="21" t="str">
        <f aca="false">IF(B1567="","",IFERROR(INDEX(代理店一覧!$B$5:$B$204,MATCH(B1567,代理店一覧!$A$5:$A$204,0)),"※未登録のID"))</f>
        <v/>
      </c>
      <c r="D1567" s="21"/>
      <c r="E1567" s="21"/>
      <c r="F1567" s="21"/>
      <c r="G1567" s="18"/>
      <c r="H1567" s="21"/>
      <c r="I1567" s="26"/>
      <c r="J1567" s="15"/>
      <c r="K1567" s="27"/>
      <c r="L1567" s="25" t="str">
        <f aca="false">IF(B1567="","",B1567&amp;"|"&amp;J1567)</f>
        <v/>
      </c>
    </row>
    <row r="1568" customFormat="false" ht="15" hidden="false" customHeight="false" outlineLevel="0" collapsed="false">
      <c r="A1568" s="15"/>
      <c r="B1568" s="21"/>
      <c r="C1568" s="21" t="str">
        <f aca="false">IF(B1568="","",IFERROR(INDEX(代理店一覧!$B$5:$B$204,MATCH(B1568,代理店一覧!$A$5:$A$204,0)),"※未登録のID"))</f>
        <v/>
      </c>
      <c r="D1568" s="21"/>
      <c r="E1568" s="21"/>
      <c r="F1568" s="21"/>
      <c r="G1568" s="18"/>
      <c r="H1568" s="21"/>
      <c r="I1568" s="26"/>
      <c r="J1568" s="15"/>
      <c r="K1568" s="27"/>
      <c r="L1568" s="25" t="str">
        <f aca="false">IF(B1568="","",B1568&amp;"|"&amp;J1568)</f>
        <v/>
      </c>
    </row>
    <row r="1569" customFormat="false" ht="15" hidden="false" customHeight="false" outlineLevel="0" collapsed="false">
      <c r="A1569" s="15"/>
      <c r="B1569" s="21"/>
      <c r="C1569" s="21" t="str">
        <f aca="false">IF(B1569="","",IFERROR(INDEX(代理店一覧!$B$5:$B$204,MATCH(B1569,代理店一覧!$A$5:$A$204,0)),"※未登録のID"))</f>
        <v/>
      </c>
      <c r="D1569" s="21"/>
      <c r="E1569" s="21"/>
      <c r="F1569" s="21"/>
      <c r="G1569" s="18"/>
      <c r="H1569" s="21"/>
      <c r="I1569" s="26"/>
      <c r="J1569" s="15"/>
      <c r="K1569" s="27"/>
      <c r="L1569" s="25" t="str">
        <f aca="false">IF(B1569="","",B1569&amp;"|"&amp;J1569)</f>
        <v/>
      </c>
    </row>
    <row r="1570" customFormat="false" ht="15" hidden="false" customHeight="false" outlineLevel="0" collapsed="false">
      <c r="A1570" s="15"/>
      <c r="B1570" s="21"/>
      <c r="C1570" s="21" t="str">
        <f aca="false">IF(B1570="","",IFERROR(INDEX(代理店一覧!$B$5:$B$204,MATCH(B1570,代理店一覧!$A$5:$A$204,0)),"※未登録のID"))</f>
        <v/>
      </c>
      <c r="D1570" s="21"/>
      <c r="E1570" s="21"/>
      <c r="F1570" s="21"/>
      <c r="G1570" s="18"/>
      <c r="H1570" s="21"/>
      <c r="I1570" s="26"/>
      <c r="J1570" s="15"/>
      <c r="K1570" s="27"/>
      <c r="L1570" s="25" t="str">
        <f aca="false">IF(B1570="","",B1570&amp;"|"&amp;J1570)</f>
        <v/>
      </c>
    </row>
    <row r="1571" customFormat="false" ht="15" hidden="false" customHeight="false" outlineLevel="0" collapsed="false">
      <c r="A1571" s="15"/>
      <c r="B1571" s="21"/>
      <c r="C1571" s="21" t="str">
        <f aca="false">IF(B1571="","",IFERROR(INDEX(代理店一覧!$B$5:$B$204,MATCH(B1571,代理店一覧!$A$5:$A$204,0)),"※未登録のID"))</f>
        <v/>
      </c>
      <c r="D1571" s="21"/>
      <c r="E1571" s="21"/>
      <c r="F1571" s="21"/>
      <c r="G1571" s="18"/>
      <c r="H1571" s="21"/>
      <c r="I1571" s="26"/>
      <c r="J1571" s="15"/>
      <c r="K1571" s="27"/>
      <c r="L1571" s="25" t="str">
        <f aca="false">IF(B1571="","",B1571&amp;"|"&amp;J1571)</f>
        <v/>
      </c>
    </row>
    <row r="1572" customFormat="false" ht="15" hidden="false" customHeight="false" outlineLevel="0" collapsed="false">
      <c r="A1572" s="15"/>
      <c r="B1572" s="21"/>
      <c r="C1572" s="21" t="str">
        <f aca="false">IF(B1572="","",IFERROR(INDEX(代理店一覧!$B$5:$B$204,MATCH(B1572,代理店一覧!$A$5:$A$204,0)),"※未登録のID"))</f>
        <v/>
      </c>
      <c r="D1572" s="21"/>
      <c r="E1572" s="21"/>
      <c r="F1572" s="21"/>
      <c r="G1572" s="18"/>
      <c r="H1572" s="21"/>
      <c r="I1572" s="26"/>
      <c r="J1572" s="15"/>
      <c r="K1572" s="27"/>
      <c r="L1572" s="25" t="str">
        <f aca="false">IF(B1572="","",B1572&amp;"|"&amp;J1572)</f>
        <v/>
      </c>
    </row>
    <row r="1573" customFormat="false" ht="15" hidden="false" customHeight="false" outlineLevel="0" collapsed="false">
      <c r="A1573" s="15"/>
      <c r="B1573" s="21"/>
      <c r="C1573" s="21" t="str">
        <f aca="false">IF(B1573="","",IFERROR(INDEX(代理店一覧!$B$5:$B$204,MATCH(B1573,代理店一覧!$A$5:$A$204,0)),"※未登録のID"))</f>
        <v/>
      </c>
      <c r="D1573" s="21"/>
      <c r="E1573" s="21"/>
      <c r="F1573" s="21"/>
      <c r="G1573" s="18"/>
      <c r="H1573" s="21"/>
      <c r="I1573" s="26"/>
      <c r="J1573" s="15"/>
      <c r="K1573" s="27"/>
      <c r="L1573" s="25" t="str">
        <f aca="false">IF(B1573="","",B1573&amp;"|"&amp;J1573)</f>
        <v/>
      </c>
    </row>
    <row r="1574" customFormat="false" ht="15" hidden="false" customHeight="false" outlineLevel="0" collapsed="false">
      <c r="A1574" s="15"/>
      <c r="B1574" s="21"/>
      <c r="C1574" s="21" t="str">
        <f aca="false">IF(B1574="","",IFERROR(INDEX(代理店一覧!$B$5:$B$204,MATCH(B1574,代理店一覧!$A$5:$A$204,0)),"※未登録のID"))</f>
        <v/>
      </c>
      <c r="D1574" s="21"/>
      <c r="E1574" s="21"/>
      <c r="F1574" s="21"/>
      <c r="G1574" s="18"/>
      <c r="H1574" s="21"/>
      <c r="I1574" s="26"/>
      <c r="J1574" s="15"/>
      <c r="K1574" s="27"/>
      <c r="L1574" s="25" t="str">
        <f aca="false">IF(B1574="","",B1574&amp;"|"&amp;J1574)</f>
        <v/>
      </c>
    </row>
    <row r="1575" customFormat="false" ht="15" hidden="false" customHeight="false" outlineLevel="0" collapsed="false">
      <c r="A1575" s="15"/>
      <c r="B1575" s="21"/>
      <c r="C1575" s="21" t="str">
        <f aca="false">IF(B1575="","",IFERROR(INDEX(代理店一覧!$B$5:$B$204,MATCH(B1575,代理店一覧!$A$5:$A$204,0)),"※未登録のID"))</f>
        <v/>
      </c>
      <c r="D1575" s="21"/>
      <c r="E1575" s="21"/>
      <c r="F1575" s="21"/>
      <c r="G1575" s="18"/>
      <c r="H1575" s="21"/>
      <c r="I1575" s="26"/>
      <c r="J1575" s="15"/>
      <c r="K1575" s="27"/>
      <c r="L1575" s="25" t="str">
        <f aca="false">IF(B1575="","",B1575&amp;"|"&amp;J1575)</f>
        <v/>
      </c>
    </row>
    <row r="1576" customFormat="false" ht="15" hidden="false" customHeight="false" outlineLevel="0" collapsed="false">
      <c r="A1576" s="15"/>
      <c r="B1576" s="21"/>
      <c r="C1576" s="21" t="str">
        <f aca="false">IF(B1576="","",IFERROR(INDEX(代理店一覧!$B$5:$B$204,MATCH(B1576,代理店一覧!$A$5:$A$204,0)),"※未登録のID"))</f>
        <v/>
      </c>
      <c r="D1576" s="21"/>
      <c r="E1576" s="21"/>
      <c r="F1576" s="21"/>
      <c r="G1576" s="18"/>
      <c r="H1576" s="21"/>
      <c r="I1576" s="26"/>
      <c r="J1576" s="15"/>
      <c r="K1576" s="27"/>
      <c r="L1576" s="25" t="str">
        <f aca="false">IF(B1576="","",B1576&amp;"|"&amp;J1576)</f>
        <v/>
      </c>
    </row>
    <row r="1577" customFormat="false" ht="15" hidden="false" customHeight="false" outlineLevel="0" collapsed="false">
      <c r="A1577" s="15"/>
      <c r="B1577" s="21"/>
      <c r="C1577" s="21" t="str">
        <f aca="false">IF(B1577="","",IFERROR(INDEX(代理店一覧!$B$5:$B$204,MATCH(B1577,代理店一覧!$A$5:$A$204,0)),"※未登録のID"))</f>
        <v/>
      </c>
      <c r="D1577" s="21"/>
      <c r="E1577" s="21"/>
      <c r="F1577" s="21"/>
      <c r="G1577" s="18"/>
      <c r="H1577" s="21"/>
      <c r="I1577" s="26"/>
      <c r="J1577" s="15"/>
      <c r="K1577" s="27"/>
      <c r="L1577" s="25" t="str">
        <f aca="false">IF(B1577="","",B1577&amp;"|"&amp;J1577)</f>
        <v/>
      </c>
    </row>
    <row r="1578" customFormat="false" ht="15" hidden="false" customHeight="false" outlineLevel="0" collapsed="false">
      <c r="A1578" s="15"/>
      <c r="B1578" s="21"/>
      <c r="C1578" s="21" t="str">
        <f aca="false">IF(B1578="","",IFERROR(INDEX(代理店一覧!$B$5:$B$204,MATCH(B1578,代理店一覧!$A$5:$A$204,0)),"※未登録のID"))</f>
        <v/>
      </c>
      <c r="D1578" s="21"/>
      <c r="E1578" s="21"/>
      <c r="F1578" s="21"/>
      <c r="G1578" s="18"/>
      <c r="H1578" s="21"/>
      <c r="I1578" s="26"/>
      <c r="J1578" s="15"/>
      <c r="K1578" s="27"/>
      <c r="L1578" s="25" t="str">
        <f aca="false">IF(B1578="","",B1578&amp;"|"&amp;J1578)</f>
        <v/>
      </c>
    </row>
    <row r="1579" customFormat="false" ht="15" hidden="false" customHeight="false" outlineLevel="0" collapsed="false">
      <c r="A1579" s="15"/>
      <c r="B1579" s="21"/>
      <c r="C1579" s="21" t="str">
        <f aca="false">IF(B1579="","",IFERROR(INDEX(代理店一覧!$B$5:$B$204,MATCH(B1579,代理店一覧!$A$5:$A$204,0)),"※未登録のID"))</f>
        <v/>
      </c>
      <c r="D1579" s="21"/>
      <c r="E1579" s="21"/>
      <c r="F1579" s="21"/>
      <c r="G1579" s="18"/>
      <c r="H1579" s="21"/>
      <c r="I1579" s="26"/>
      <c r="J1579" s="15"/>
      <c r="K1579" s="27"/>
      <c r="L1579" s="25" t="str">
        <f aca="false">IF(B1579="","",B1579&amp;"|"&amp;J1579)</f>
        <v/>
      </c>
    </row>
    <row r="1580" customFormat="false" ht="15" hidden="false" customHeight="false" outlineLevel="0" collapsed="false">
      <c r="A1580" s="15"/>
      <c r="B1580" s="21"/>
      <c r="C1580" s="21" t="str">
        <f aca="false">IF(B1580="","",IFERROR(INDEX(代理店一覧!$B$5:$B$204,MATCH(B1580,代理店一覧!$A$5:$A$204,0)),"※未登録のID"))</f>
        <v/>
      </c>
      <c r="D1580" s="21"/>
      <c r="E1580" s="21"/>
      <c r="F1580" s="21"/>
      <c r="G1580" s="18"/>
      <c r="H1580" s="21"/>
      <c r="I1580" s="26"/>
      <c r="J1580" s="15"/>
      <c r="K1580" s="27"/>
      <c r="L1580" s="25" t="str">
        <f aca="false">IF(B1580="","",B1580&amp;"|"&amp;J1580)</f>
        <v/>
      </c>
    </row>
    <row r="1581" customFormat="false" ht="15" hidden="false" customHeight="false" outlineLevel="0" collapsed="false">
      <c r="A1581" s="15"/>
      <c r="B1581" s="21"/>
      <c r="C1581" s="21" t="str">
        <f aca="false">IF(B1581="","",IFERROR(INDEX(代理店一覧!$B$5:$B$204,MATCH(B1581,代理店一覧!$A$5:$A$204,0)),"※未登録のID"))</f>
        <v/>
      </c>
      <c r="D1581" s="21"/>
      <c r="E1581" s="21"/>
      <c r="F1581" s="21"/>
      <c r="G1581" s="18"/>
      <c r="H1581" s="21"/>
      <c r="I1581" s="26"/>
      <c r="J1581" s="15"/>
      <c r="K1581" s="27"/>
      <c r="L1581" s="25" t="str">
        <f aca="false">IF(B1581="","",B1581&amp;"|"&amp;J1581)</f>
        <v/>
      </c>
    </row>
    <row r="1582" customFormat="false" ht="15" hidden="false" customHeight="false" outlineLevel="0" collapsed="false">
      <c r="A1582" s="15"/>
      <c r="B1582" s="21"/>
      <c r="C1582" s="21" t="str">
        <f aca="false">IF(B1582="","",IFERROR(INDEX(代理店一覧!$B$5:$B$204,MATCH(B1582,代理店一覧!$A$5:$A$204,0)),"※未登録のID"))</f>
        <v/>
      </c>
      <c r="D1582" s="21"/>
      <c r="E1582" s="21"/>
      <c r="F1582" s="21"/>
      <c r="G1582" s="18"/>
      <c r="H1582" s="21"/>
      <c r="I1582" s="26"/>
      <c r="J1582" s="15"/>
      <c r="K1582" s="27"/>
      <c r="L1582" s="25" t="str">
        <f aca="false">IF(B1582="","",B1582&amp;"|"&amp;J1582)</f>
        <v/>
      </c>
    </row>
    <row r="1583" customFormat="false" ht="15" hidden="false" customHeight="false" outlineLevel="0" collapsed="false">
      <c r="A1583" s="15"/>
      <c r="B1583" s="21"/>
      <c r="C1583" s="21" t="str">
        <f aca="false">IF(B1583="","",IFERROR(INDEX(代理店一覧!$B$5:$B$204,MATCH(B1583,代理店一覧!$A$5:$A$204,0)),"※未登録のID"))</f>
        <v/>
      </c>
      <c r="D1583" s="21"/>
      <c r="E1583" s="21"/>
      <c r="F1583" s="21"/>
      <c r="G1583" s="18"/>
      <c r="H1583" s="21"/>
      <c r="I1583" s="26"/>
      <c r="J1583" s="15"/>
      <c r="K1583" s="27"/>
      <c r="L1583" s="25" t="str">
        <f aca="false">IF(B1583="","",B1583&amp;"|"&amp;J1583)</f>
        <v/>
      </c>
    </row>
    <row r="1584" customFormat="false" ht="15" hidden="false" customHeight="false" outlineLevel="0" collapsed="false">
      <c r="A1584" s="15"/>
      <c r="B1584" s="21"/>
      <c r="C1584" s="21" t="str">
        <f aca="false">IF(B1584="","",IFERROR(INDEX(代理店一覧!$B$5:$B$204,MATCH(B1584,代理店一覧!$A$5:$A$204,0)),"※未登録のID"))</f>
        <v/>
      </c>
      <c r="D1584" s="21"/>
      <c r="E1584" s="21"/>
      <c r="F1584" s="21"/>
      <c r="G1584" s="18"/>
      <c r="H1584" s="21"/>
      <c r="I1584" s="26"/>
      <c r="J1584" s="15"/>
      <c r="K1584" s="27"/>
      <c r="L1584" s="25" t="str">
        <f aca="false">IF(B1584="","",B1584&amp;"|"&amp;J1584)</f>
        <v/>
      </c>
    </row>
    <row r="1585" customFormat="false" ht="15" hidden="false" customHeight="false" outlineLevel="0" collapsed="false">
      <c r="A1585" s="15"/>
      <c r="B1585" s="21"/>
      <c r="C1585" s="21" t="str">
        <f aca="false">IF(B1585="","",IFERROR(INDEX(代理店一覧!$B$5:$B$204,MATCH(B1585,代理店一覧!$A$5:$A$204,0)),"※未登録のID"))</f>
        <v/>
      </c>
      <c r="D1585" s="21"/>
      <c r="E1585" s="21"/>
      <c r="F1585" s="21"/>
      <c r="G1585" s="18"/>
      <c r="H1585" s="21"/>
      <c r="I1585" s="26"/>
      <c r="J1585" s="15"/>
      <c r="K1585" s="27"/>
      <c r="L1585" s="25" t="str">
        <f aca="false">IF(B1585="","",B1585&amp;"|"&amp;J1585)</f>
        <v/>
      </c>
    </row>
    <row r="1586" customFormat="false" ht="15" hidden="false" customHeight="false" outlineLevel="0" collapsed="false">
      <c r="A1586" s="15"/>
      <c r="B1586" s="21"/>
      <c r="C1586" s="21" t="str">
        <f aca="false">IF(B1586="","",IFERROR(INDEX(代理店一覧!$B$5:$B$204,MATCH(B1586,代理店一覧!$A$5:$A$204,0)),"※未登録のID"))</f>
        <v/>
      </c>
      <c r="D1586" s="21"/>
      <c r="E1586" s="21"/>
      <c r="F1586" s="21"/>
      <c r="G1586" s="18"/>
      <c r="H1586" s="21"/>
      <c r="I1586" s="26"/>
      <c r="J1586" s="15"/>
      <c r="K1586" s="27"/>
      <c r="L1586" s="25" t="str">
        <f aca="false">IF(B1586="","",B1586&amp;"|"&amp;J1586)</f>
        <v/>
      </c>
    </row>
    <row r="1587" customFormat="false" ht="15" hidden="false" customHeight="false" outlineLevel="0" collapsed="false">
      <c r="A1587" s="15"/>
      <c r="B1587" s="21"/>
      <c r="C1587" s="21" t="str">
        <f aca="false">IF(B1587="","",IFERROR(INDEX(代理店一覧!$B$5:$B$204,MATCH(B1587,代理店一覧!$A$5:$A$204,0)),"※未登録のID"))</f>
        <v/>
      </c>
      <c r="D1587" s="21"/>
      <c r="E1587" s="21"/>
      <c r="F1587" s="21"/>
      <c r="G1587" s="18"/>
      <c r="H1587" s="21"/>
      <c r="I1587" s="26"/>
      <c r="J1587" s="15"/>
      <c r="K1587" s="27"/>
      <c r="L1587" s="25" t="str">
        <f aca="false">IF(B1587="","",B1587&amp;"|"&amp;J1587)</f>
        <v/>
      </c>
    </row>
    <row r="1588" customFormat="false" ht="15" hidden="false" customHeight="false" outlineLevel="0" collapsed="false">
      <c r="A1588" s="15"/>
      <c r="B1588" s="21"/>
      <c r="C1588" s="21" t="str">
        <f aca="false">IF(B1588="","",IFERROR(INDEX(代理店一覧!$B$5:$B$204,MATCH(B1588,代理店一覧!$A$5:$A$204,0)),"※未登録のID"))</f>
        <v/>
      </c>
      <c r="D1588" s="21"/>
      <c r="E1588" s="21"/>
      <c r="F1588" s="21"/>
      <c r="G1588" s="18"/>
      <c r="H1588" s="21"/>
      <c r="I1588" s="26"/>
      <c r="J1588" s="15"/>
      <c r="K1588" s="27"/>
      <c r="L1588" s="25" t="str">
        <f aca="false">IF(B1588="","",B1588&amp;"|"&amp;J1588)</f>
        <v/>
      </c>
    </row>
    <row r="1589" customFormat="false" ht="15" hidden="false" customHeight="false" outlineLevel="0" collapsed="false">
      <c r="A1589" s="15"/>
      <c r="B1589" s="21"/>
      <c r="C1589" s="21" t="str">
        <f aca="false">IF(B1589="","",IFERROR(INDEX(代理店一覧!$B$5:$B$204,MATCH(B1589,代理店一覧!$A$5:$A$204,0)),"※未登録のID"))</f>
        <v/>
      </c>
      <c r="D1589" s="21"/>
      <c r="E1589" s="21"/>
      <c r="F1589" s="21"/>
      <c r="G1589" s="18"/>
      <c r="H1589" s="21"/>
      <c r="I1589" s="26"/>
      <c r="J1589" s="15"/>
      <c r="K1589" s="27"/>
      <c r="L1589" s="25" t="str">
        <f aca="false">IF(B1589="","",B1589&amp;"|"&amp;J1589)</f>
        <v/>
      </c>
    </row>
    <row r="1590" customFormat="false" ht="15" hidden="false" customHeight="false" outlineLevel="0" collapsed="false">
      <c r="A1590" s="15"/>
      <c r="B1590" s="21"/>
      <c r="C1590" s="21" t="str">
        <f aca="false">IF(B1590="","",IFERROR(INDEX(代理店一覧!$B$5:$B$204,MATCH(B1590,代理店一覧!$A$5:$A$204,0)),"※未登録のID"))</f>
        <v/>
      </c>
      <c r="D1590" s="21"/>
      <c r="E1590" s="21"/>
      <c r="F1590" s="21"/>
      <c r="G1590" s="18"/>
      <c r="H1590" s="21"/>
      <c r="I1590" s="26"/>
      <c r="J1590" s="15"/>
      <c r="K1590" s="27"/>
      <c r="L1590" s="25" t="str">
        <f aca="false">IF(B1590="","",B1590&amp;"|"&amp;J1590)</f>
        <v/>
      </c>
    </row>
    <row r="1591" customFormat="false" ht="15" hidden="false" customHeight="false" outlineLevel="0" collapsed="false">
      <c r="A1591" s="15"/>
      <c r="B1591" s="21"/>
      <c r="C1591" s="21" t="str">
        <f aca="false">IF(B1591="","",IFERROR(INDEX(代理店一覧!$B$5:$B$204,MATCH(B1591,代理店一覧!$A$5:$A$204,0)),"※未登録のID"))</f>
        <v/>
      </c>
      <c r="D1591" s="21"/>
      <c r="E1591" s="21"/>
      <c r="F1591" s="21"/>
      <c r="G1591" s="18"/>
      <c r="H1591" s="21"/>
      <c r="I1591" s="26"/>
      <c r="J1591" s="15"/>
      <c r="K1591" s="27"/>
      <c r="L1591" s="25" t="str">
        <f aca="false">IF(B1591="","",B1591&amp;"|"&amp;J1591)</f>
        <v/>
      </c>
    </row>
    <row r="1592" customFormat="false" ht="15" hidden="false" customHeight="false" outlineLevel="0" collapsed="false">
      <c r="A1592" s="15"/>
      <c r="B1592" s="21"/>
      <c r="C1592" s="21" t="str">
        <f aca="false">IF(B1592="","",IFERROR(INDEX(代理店一覧!$B$5:$B$204,MATCH(B1592,代理店一覧!$A$5:$A$204,0)),"※未登録のID"))</f>
        <v/>
      </c>
      <c r="D1592" s="21"/>
      <c r="E1592" s="21"/>
      <c r="F1592" s="21"/>
      <c r="G1592" s="18"/>
      <c r="H1592" s="21"/>
      <c r="I1592" s="26"/>
      <c r="J1592" s="15"/>
      <c r="K1592" s="27"/>
      <c r="L1592" s="25" t="str">
        <f aca="false">IF(B1592="","",B1592&amp;"|"&amp;J1592)</f>
        <v/>
      </c>
    </row>
    <row r="1593" customFormat="false" ht="15" hidden="false" customHeight="false" outlineLevel="0" collapsed="false">
      <c r="A1593" s="15"/>
      <c r="B1593" s="21"/>
      <c r="C1593" s="21" t="str">
        <f aca="false">IF(B1593="","",IFERROR(INDEX(代理店一覧!$B$5:$B$204,MATCH(B1593,代理店一覧!$A$5:$A$204,0)),"※未登録のID"))</f>
        <v/>
      </c>
      <c r="D1593" s="21"/>
      <c r="E1593" s="21"/>
      <c r="F1593" s="21"/>
      <c r="G1593" s="18"/>
      <c r="H1593" s="21"/>
      <c r="I1593" s="26"/>
      <c r="J1593" s="15"/>
      <c r="K1593" s="27"/>
      <c r="L1593" s="25" t="str">
        <f aca="false">IF(B1593="","",B1593&amp;"|"&amp;J1593)</f>
        <v/>
      </c>
    </row>
    <row r="1594" customFormat="false" ht="15" hidden="false" customHeight="false" outlineLevel="0" collapsed="false">
      <c r="A1594" s="15"/>
      <c r="B1594" s="21"/>
      <c r="C1594" s="21" t="str">
        <f aca="false">IF(B1594="","",IFERROR(INDEX(代理店一覧!$B$5:$B$204,MATCH(B1594,代理店一覧!$A$5:$A$204,0)),"※未登録のID"))</f>
        <v/>
      </c>
      <c r="D1594" s="21"/>
      <c r="E1594" s="21"/>
      <c r="F1594" s="21"/>
      <c r="G1594" s="18"/>
      <c r="H1594" s="21"/>
      <c r="I1594" s="26"/>
      <c r="J1594" s="15"/>
      <c r="K1594" s="27"/>
      <c r="L1594" s="25" t="str">
        <f aca="false">IF(B1594="","",B1594&amp;"|"&amp;J1594)</f>
        <v/>
      </c>
    </row>
    <row r="1595" customFormat="false" ht="15" hidden="false" customHeight="false" outlineLevel="0" collapsed="false">
      <c r="A1595" s="15"/>
      <c r="B1595" s="21"/>
      <c r="C1595" s="21" t="str">
        <f aca="false">IF(B1595="","",IFERROR(INDEX(代理店一覧!$B$5:$B$204,MATCH(B1595,代理店一覧!$A$5:$A$204,0)),"※未登録のID"))</f>
        <v/>
      </c>
      <c r="D1595" s="21"/>
      <c r="E1595" s="21"/>
      <c r="F1595" s="21"/>
      <c r="G1595" s="18"/>
      <c r="H1595" s="21"/>
      <c r="I1595" s="26"/>
      <c r="J1595" s="15"/>
      <c r="K1595" s="27"/>
      <c r="L1595" s="25" t="str">
        <f aca="false">IF(B1595="","",B1595&amp;"|"&amp;J1595)</f>
        <v/>
      </c>
    </row>
    <row r="1596" customFormat="false" ht="15" hidden="false" customHeight="false" outlineLevel="0" collapsed="false">
      <c r="A1596" s="15"/>
      <c r="B1596" s="21"/>
      <c r="C1596" s="21" t="str">
        <f aca="false">IF(B1596="","",IFERROR(INDEX(代理店一覧!$B$5:$B$204,MATCH(B1596,代理店一覧!$A$5:$A$204,0)),"※未登録のID"))</f>
        <v/>
      </c>
      <c r="D1596" s="21"/>
      <c r="E1596" s="21"/>
      <c r="F1596" s="21"/>
      <c r="G1596" s="18"/>
      <c r="H1596" s="21"/>
      <c r="I1596" s="26"/>
      <c r="J1596" s="15"/>
      <c r="K1596" s="27"/>
      <c r="L1596" s="25" t="str">
        <f aca="false">IF(B1596="","",B1596&amp;"|"&amp;J1596)</f>
        <v/>
      </c>
    </row>
    <row r="1597" customFormat="false" ht="15" hidden="false" customHeight="false" outlineLevel="0" collapsed="false">
      <c r="A1597" s="15"/>
      <c r="B1597" s="21"/>
      <c r="C1597" s="21" t="str">
        <f aca="false">IF(B1597="","",IFERROR(INDEX(代理店一覧!$B$5:$B$204,MATCH(B1597,代理店一覧!$A$5:$A$204,0)),"※未登録のID"))</f>
        <v/>
      </c>
      <c r="D1597" s="21"/>
      <c r="E1597" s="21"/>
      <c r="F1597" s="21"/>
      <c r="G1597" s="18"/>
      <c r="H1597" s="21"/>
      <c r="I1597" s="26"/>
      <c r="J1597" s="15"/>
      <c r="K1597" s="27"/>
      <c r="L1597" s="25" t="str">
        <f aca="false">IF(B1597="","",B1597&amp;"|"&amp;J1597)</f>
        <v/>
      </c>
    </row>
    <row r="1598" customFormat="false" ht="15" hidden="false" customHeight="false" outlineLevel="0" collapsed="false">
      <c r="A1598" s="15"/>
      <c r="B1598" s="21"/>
      <c r="C1598" s="21" t="str">
        <f aca="false">IF(B1598="","",IFERROR(INDEX(代理店一覧!$B$5:$B$204,MATCH(B1598,代理店一覧!$A$5:$A$204,0)),"※未登録のID"))</f>
        <v/>
      </c>
      <c r="D1598" s="21"/>
      <c r="E1598" s="21"/>
      <c r="F1598" s="21"/>
      <c r="G1598" s="18"/>
      <c r="H1598" s="21"/>
      <c r="I1598" s="26"/>
      <c r="J1598" s="15"/>
      <c r="K1598" s="27"/>
      <c r="L1598" s="25" t="str">
        <f aca="false">IF(B1598="","",B1598&amp;"|"&amp;J1598)</f>
        <v/>
      </c>
    </row>
    <row r="1599" customFormat="false" ht="15" hidden="false" customHeight="false" outlineLevel="0" collapsed="false">
      <c r="A1599" s="15"/>
      <c r="B1599" s="21"/>
      <c r="C1599" s="21" t="str">
        <f aca="false">IF(B1599="","",IFERROR(INDEX(代理店一覧!$B$5:$B$204,MATCH(B1599,代理店一覧!$A$5:$A$204,0)),"※未登録のID"))</f>
        <v/>
      </c>
      <c r="D1599" s="21"/>
      <c r="E1599" s="21"/>
      <c r="F1599" s="21"/>
      <c r="G1599" s="18"/>
      <c r="H1599" s="21"/>
      <c r="I1599" s="26"/>
      <c r="J1599" s="15"/>
      <c r="K1599" s="27"/>
      <c r="L1599" s="25" t="str">
        <f aca="false">IF(B1599="","",B1599&amp;"|"&amp;J1599)</f>
        <v/>
      </c>
    </row>
    <row r="1600" customFormat="false" ht="15" hidden="false" customHeight="false" outlineLevel="0" collapsed="false">
      <c r="A1600" s="15"/>
      <c r="B1600" s="21"/>
      <c r="C1600" s="21" t="str">
        <f aca="false">IF(B1600="","",IFERROR(INDEX(代理店一覧!$B$5:$B$204,MATCH(B1600,代理店一覧!$A$5:$A$204,0)),"※未登録のID"))</f>
        <v/>
      </c>
      <c r="D1600" s="21"/>
      <c r="E1600" s="21"/>
      <c r="F1600" s="21"/>
      <c r="G1600" s="18"/>
      <c r="H1600" s="21"/>
      <c r="I1600" s="26"/>
      <c r="J1600" s="15"/>
      <c r="K1600" s="27"/>
      <c r="L1600" s="25" t="str">
        <f aca="false">IF(B1600="","",B1600&amp;"|"&amp;J1600)</f>
        <v/>
      </c>
    </row>
    <row r="1601" customFormat="false" ht="15" hidden="false" customHeight="false" outlineLevel="0" collapsed="false">
      <c r="A1601" s="15"/>
      <c r="B1601" s="21"/>
      <c r="C1601" s="21" t="str">
        <f aca="false">IF(B1601="","",IFERROR(INDEX(代理店一覧!$B$5:$B$204,MATCH(B1601,代理店一覧!$A$5:$A$204,0)),"※未登録のID"))</f>
        <v/>
      </c>
      <c r="D1601" s="21"/>
      <c r="E1601" s="21"/>
      <c r="F1601" s="21"/>
      <c r="G1601" s="18"/>
      <c r="H1601" s="21"/>
      <c r="I1601" s="26"/>
      <c r="J1601" s="15"/>
      <c r="K1601" s="27"/>
      <c r="L1601" s="25" t="str">
        <f aca="false">IF(B1601="","",B1601&amp;"|"&amp;J1601)</f>
        <v/>
      </c>
    </row>
    <row r="1602" customFormat="false" ht="15" hidden="false" customHeight="false" outlineLevel="0" collapsed="false">
      <c r="A1602" s="15"/>
      <c r="B1602" s="21"/>
      <c r="C1602" s="21" t="str">
        <f aca="false">IF(B1602="","",IFERROR(INDEX(代理店一覧!$B$5:$B$204,MATCH(B1602,代理店一覧!$A$5:$A$204,0)),"※未登録のID"))</f>
        <v/>
      </c>
      <c r="D1602" s="21"/>
      <c r="E1602" s="21"/>
      <c r="F1602" s="21"/>
      <c r="G1602" s="18"/>
      <c r="H1602" s="21"/>
      <c r="I1602" s="26"/>
      <c r="J1602" s="15"/>
      <c r="K1602" s="27"/>
      <c r="L1602" s="25" t="str">
        <f aca="false">IF(B1602="","",B1602&amp;"|"&amp;J1602)</f>
        <v/>
      </c>
    </row>
    <row r="1603" customFormat="false" ht="15" hidden="false" customHeight="false" outlineLevel="0" collapsed="false">
      <c r="A1603" s="15"/>
      <c r="B1603" s="21"/>
      <c r="C1603" s="21" t="str">
        <f aca="false">IF(B1603="","",IFERROR(INDEX(代理店一覧!$B$5:$B$204,MATCH(B1603,代理店一覧!$A$5:$A$204,0)),"※未登録のID"))</f>
        <v/>
      </c>
      <c r="D1603" s="21"/>
      <c r="E1603" s="21"/>
      <c r="F1603" s="21"/>
      <c r="G1603" s="18"/>
      <c r="H1603" s="21"/>
      <c r="I1603" s="26"/>
      <c r="J1603" s="15"/>
      <c r="K1603" s="27"/>
      <c r="L1603" s="25" t="str">
        <f aca="false">IF(B1603="","",B1603&amp;"|"&amp;J1603)</f>
        <v/>
      </c>
    </row>
    <row r="1604" customFormat="false" ht="15" hidden="false" customHeight="false" outlineLevel="0" collapsed="false">
      <c r="A1604" s="15"/>
      <c r="B1604" s="21"/>
      <c r="C1604" s="21" t="str">
        <f aca="false">IF(B1604="","",IFERROR(INDEX(代理店一覧!$B$5:$B$204,MATCH(B1604,代理店一覧!$A$5:$A$204,0)),"※未登録のID"))</f>
        <v/>
      </c>
      <c r="D1604" s="21"/>
      <c r="E1604" s="21"/>
      <c r="F1604" s="21"/>
      <c r="G1604" s="18"/>
      <c r="H1604" s="21"/>
      <c r="I1604" s="26"/>
      <c r="J1604" s="15"/>
      <c r="K1604" s="27"/>
      <c r="L1604" s="25" t="str">
        <f aca="false">IF(B1604="","",B1604&amp;"|"&amp;J1604)</f>
        <v/>
      </c>
    </row>
    <row r="1605" customFormat="false" ht="15" hidden="false" customHeight="false" outlineLevel="0" collapsed="false">
      <c r="A1605" s="15"/>
      <c r="B1605" s="21"/>
      <c r="C1605" s="21" t="str">
        <f aca="false">IF(B1605="","",IFERROR(INDEX(代理店一覧!$B$5:$B$204,MATCH(B1605,代理店一覧!$A$5:$A$204,0)),"※未登録のID"))</f>
        <v/>
      </c>
      <c r="D1605" s="21"/>
      <c r="E1605" s="21"/>
      <c r="F1605" s="21"/>
      <c r="G1605" s="18"/>
      <c r="H1605" s="21"/>
      <c r="I1605" s="26"/>
      <c r="J1605" s="15"/>
      <c r="K1605" s="27"/>
      <c r="L1605" s="25" t="str">
        <f aca="false">IF(B1605="","",B1605&amp;"|"&amp;J1605)</f>
        <v/>
      </c>
    </row>
    <row r="1606" customFormat="false" ht="15" hidden="false" customHeight="false" outlineLevel="0" collapsed="false">
      <c r="A1606" s="15"/>
      <c r="B1606" s="21"/>
      <c r="C1606" s="21" t="str">
        <f aca="false">IF(B1606="","",IFERROR(INDEX(代理店一覧!$B$5:$B$204,MATCH(B1606,代理店一覧!$A$5:$A$204,0)),"※未登録のID"))</f>
        <v/>
      </c>
      <c r="D1606" s="21"/>
      <c r="E1606" s="21"/>
      <c r="F1606" s="21"/>
      <c r="G1606" s="18"/>
      <c r="H1606" s="21"/>
      <c r="I1606" s="26"/>
      <c r="J1606" s="15"/>
      <c r="K1606" s="27"/>
      <c r="L1606" s="25" t="str">
        <f aca="false">IF(B1606="","",B1606&amp;"|"&amp;J1606)</f>
        <v/>
      </c>
    </row>
    <row r="1607" customFormat="false" ht="15" hidden="false" customHeight="false" outlineLevel="0" collapsed="false">
      <c r="A1607" s="15"/>
      <c r="B1607" s="21"/>
      <c r="C1607" s="21" t="str">
        <f aca="false">IF(B1607="","",IFERROR(INDEX(代理店一覧!$B$5:$B$204,MATCH(B1607,代理店一覧!$A$5:$A$204,0)),"※未登録のID"))</f>
        <v/>
      </c>
      <c r="D1607" s="21"/>
      <c r="E1607" s="21"/>
      <c r="F1607" s="21"/>
      <c r="G1607" s="18"/>
      <c r="H1607" s="21"/>
      <c r="I1607" s="26"/>
      <c r="J1607" s="15"/>
      <c r="K1607" s="27"/>
      <c r="L1607" s="25" t="str">
        <f aca="false">IF(B1607="","",B1607&amp;"|"&amp;J1607)</f>
        <v/>
      </c>
    </row>
    <row r="1608" customFormat="false" ht="15" hidden="false" customHeight="false" outlineLevel="0" collapsed="false">
      <c r="A1608" s="15"/>
      <c r="B1608" s="21"/>
      <c r="C1608" s="21" t="str">
        <f aca="false">IF(B1608="","",IFERROR(INDEX(代理店一覧!$B$5:$B$204,MATCH(B1608,代理店一覧!$A$5:$A$204,0)),"※未登録のID"))</f>
        <v/>
      </c>
      <c r="D1608" s="21"/>
      <c r="E1608" s="21"/>
      <c r="F1608" s="21"/>
      <c r="G1608" s="18"/>
      <c r="H1608" s="21"/>
      <c r="I1608" s="26"/>
      <c r="J1608" s="15"/>
      <c r="K1608" s="27"/>
      <c r="L1608" s="25" t="str">
        <f aca="false">IF(B1608="","",B1608&amp;"|"&amp;J1608)</f>
        <v/>
      </c>
    </row>
    <row r="1609" customFormat="false" ht="15" hidden="false" customHeight="false" outlineLevel="0" collapsed="false">
      <c r="A1609" s="15"/>
      <c r="B1609" s="21"/>
      <c r="C1609" s="21" t="str">
        <f aca="false">IF(B1609="","",IFERROR(INDEX(代理店一覧!$B$5:$B$204,MATCH(B1609,代理店一覧!$A$5:$A$204,0)),"※未登録のID"))</f>
        <v/>
      </c>
      <c r="D1609" s="21"/>
      <c r="E1609" s="21"/>
      <c r="F1609" s="21"/>
      <c r="G1609" s="18"/>
      <c r="H1609" s="21"/>
      <c r="I1609" s="26"/>
      <c r="J1609" s="15"/>
      <c r="K1609" s="27"/>
      <c r="L1609" s="25" t="str">
        <f aca="false">IF(B1609="","",B1609&amp;"|"&amp;J1609)</f>
        <v/>
      </c>
    </row>
    <row r="1610" customFormat="false" ht="15" hidden="false" customHeight="false" outlineLevel="0" collapsed="false">
      <c r="A1610" s="15"/>
      <c r="B1610" s="21"/>
      <c r="C1610" s="21" t="str">
        <f aca="false">IF(B1610="","",IFERROR(INDEX(代理店一覧!$B$5:$B$204,MATCH(B1610,代理店一覧!$A$5:$A$204,0)),"※未登録のID"))</f>
        <v/>
      </c>
      <c r="D1610" s="21"/>
      <c r="E1610" s="21"/>
      <c r="F1610" s="21"/>
      <c r="G1610" s="18"/>
      <c r="H1610" s="21"/>
      <c r="I1610" s="26"/>
      <c r="J1610" s="15"/>
      <c r="K1610" s="27"/>
      <c r="L1610" s="25" t="str">
        <f aca="false">IF(B1610="","",B1610&amp;"|"&amp;J1610)</f>
        <v/>
      </c>
    </row>
    <row r="1611" customFormat="false" ht="15" hidden="false" customHeight="false" outlineLevel="0" collapsed="false">
      <c r="A1611" s="15"/>
      <c r="B1611" s="21"/>
      <c r="C1611" s="21" t="str">
        <f aca="false">IF(B1611="","",IFERROR(INDEX(代理店一覧!$B$5:$B$204,MATCH(B1611,代理店一覧!$A$5:$A$204,0)),"※未登録のID"))</f>
        <v/>
      </c>
      <c r="D1611" s="21"/>
      <c r="E1611" s="21"/>
      <c r="F1611" s="21"/>
      <c r="G1611" s="18"/>
      <c r="H1611" s="21"/>
      <c r="I1611" s="26"/>
      <c r="J1611" s="15"/>
      <c r="K1611" s="27"/>
      <c r="L1611" s="25" t="str">
        <f aca="false">IF(B1611="","",B1611&amp;"|"&amp;J1611)</f>
        <v/>
      </c>
    </row>
    <row r="1612" customFormat="false" ht="15" hidden="false" customHeight="false" outlineLevel="0" collapsed="false">
      <c r="A1612" s="15"/>
      <c r="B1612" s="21"/>
      <c r="C1612" s="21" t="str">
        <f aca="false">IF(B1612="","",IFERROR(INDEX(代理店一覧!$B$5:$B$204,MATCH(B1612,代理店一覧!$A$5:$A$204,0)),"※未登録のID"))</f>
        <v/>
      </c>
      <c r="D1612" s="21"/>
      <c r="E1612" s="21"/>
      <c r="F1612" s="21"/>
      <c r="G1612" s="18"/>
      <c r="H1612" s="21"/>
      <c r="I1612" s="26"/>
      <c r="J1612" s="15"/>
      <c r="K1612" s="27"/>
      <c r="L1612" s="25" t="str">
        <f aca="false">IF(B1612="","",B1612&amp;"|"&amp;J1612)</f>
        <v/>
      </c>
    </row>
    <row r="1613" customFormat="false" ht="15" hidden="false" customHeight="false" outlineLevel="0" collapsed="false">
      <c r="A1613" s="15"/>
      <c r="B1613" s="21"/>
      <c r="C1613" s="21" t="str">
        <f aca="false">IF(B1613="","",IFERROR(INDEX(代理店一覧!$B$5:$B$204,MATCH(B1613,代理店一覧!$A$5:$A$204,0)),"※未登録のID"))</f>
        <v/>
      </c>
      <c r="D1613" s="21"/>
      <c r="E1613" s="21"/>
      <c r="F1613" s="21"/>
      <c r="G1613" s="18"/>
      <c r="H1613" s="21"/>
      <c r="I1613" s="26"/>
      <c r="J1613" s="15"/>
      <c r="K1613" s="27"/>
      <c r="L1613" s="25" t="str">
        <f aca="false">IF(B1613="","",B1613&amp;"|"&amp;J1613)</f>
        <v/>
      </c>
    </row>
    <row r="1614" customFormat="false" ht="15" hidden="false" customHeight="false" outlineLevel="0" collapsed="false">
      <c r="A1614" s="15"/>
      <c r="B1614" s="21"/>
      <c r="C1614" s="21" t="str">
        <f aca="false">IF(B1614="","",IFERROR(INDEX(代理店一覧!$B$5:$B$204,MATCH(B1614,代理店一覧!$A$5:$A$204,0)),"※未登録のID"))</f>
        <v/>
      </c>
      <c r="D1614" s="21"/>
      <c r="E1614" s="21"/>
      <c r="F1614" s="21"/>
      <c r="G1614" s="18"/>
      <c r="H1614" s="21"/>
      <c r="I1614" s="26"/>
      <c r="J1614" s="15"/>
      <c r="K1614" s="27"/>
      <c r="L1614" s="25" t="str">
        <f aca="false">IF(B1614="","",B1614&amp;"|"&amp;J1614)</f>
        <v/>
      </c>
    </row>
    <row r="1615" customFormat="false" ht="15" hidden="false" customHeight="false" outlineLevel="0" collapsed="false">
      <c r="A1615" s="15"/>
      <c r="B1615" s="21"/>
      <c r="C1615" s="21" t="str">
        <f aca="false">IF(B1615="","",IFERROR(INDEX(代理店一覧!$B$5:$B$204,MATCH(B1615,代理店一覧!$A$5:$A$204,0)),"※未登録のID"))</f>
        <v/>
      </c>
      <c r="D1615" s="21"/>
      <c r="E1615" s="21"/>
      <c r="F1615" s="21"/>
      <c r="G1615" s="18"/>
      <c r="H1615" s="21"/>
      <c r="I1615" s="26"/>
      <c r="J1615" s="15"/>
      <c r="K1615" s="27"/>
      <c r="L1615" s="25" t="str">
        <f aca="false">IF(B1615="","",B1615&amp;"|"&amp;J1615)</f>
        <v/>
      </c>
    </row>
    <row r="1616" customFormat="false" ht="15" hidden="false" customHeight="false" outlineLevel="0" collapsed="false">
      <c r="A1616" s="15"/>
      <c r="B1616" s="21"/>
      <c r="C1616" s="21" t="str">
        <f aca="false">IF(B1616="","",IFERROR(INDEX(代理店一覧!$B$5:$B$204,MATCH(B1616,代理店一覧!$A$5:$A$204,0)),"※未登録のID"))</f>
        <v/>
      </c>
      <c r="D1616" s="21"/>
      <c r="E1616" s="21"/>
      <c r="F1616" s="21"/>
      <c r="G1616" s="18"/>
      <c r="H1616" s="21"/>
      <c r="I1616" s="26"/>
      <c r="J1616" s="15"/>
      <c r="K1616" s="27"/>
      <c r="L1616" s="25" t="str">
        <f aca="false">IF(B1616="","",B1616&amp;"|"&amp;J1616)</f>
        <v/>
      </c>
    </row>
    <row r="1617" customFormat="false" ht="15" hidden="false" customHeight="false" outlineLevel="0" collapsed="false">
      <c r="A1617" s="15"/>
      <c r="B1617" s="21"/>
      <c r="C1617" s="21" t="str">
        <f aca="false">IF(B1617="","",IFERROR(INDEX(代理店一覧!$B$5:$B$204,MATCH(B1617,代理店一覧!$A$5:$A$204,0)),"※未登録のID"))</f>
        <v/>
      </c>
      <c r="D1617" s="21"/>
      <c r="E1617" s="21"/>
      <c r="F1617" s="21"/>
      <c r="G1617" s="18"/>
      <c r="H1617" s="21"/>
      <c r="I1617" s="26"/>
      <c r="J1617" s="15"/>
      <c r="K1617" s="27"/>
      <c r="L1617" s="25" t="str">
        <f aca="false">IF(B1617="","",B1617&amp;"|"&amp;J1617)</f>
        <v/>
      </c>
    </row>
    <row r="1618" customFormat="false" ht="15" hidden="false" customHeight="false" outlineLevel="0" collapsed="false">
      <c r="A1618" s="15"/>
      <c r="B1618" s="21"/>
      <c r="C1618" s="21" t="str">
        <f aca="false">IF(B1618="","",IFERROR(INDEX(代理店一覧!$B$5:$B$204,MATCH(B1618,代理店一覧!$A$5:$A$204,0)),"※未登録のID"))</f>
        <v/>
      </c>
      <c r="D1618" s="21"/>
      <c r="E1618" s="21"/>
      <c r="F1618" s="21"/>
      <c r="G1618" s="18"/>
      <c r="H1618" s="21"/>
      <c r="I1618" s="26"/>
      <c r="J1618" s="15"/>
      <c r="K1618" s="27"/>
      <c r="L1618" s="25" t="str">
        <f aca="false">IF(B1618="","",B1618&amp;"|"&amp;J1618)</f>
        <v/>
      </c>
    </row>
    <row r="1619" customFormat="false" ht="15" hidden="false" customHeight="false" outlineLevel="0" collapsed="false">
      <c r="A1619" s="15"/>
      <c r="B1619" s="21"/>
      <c r="C1619" s="21" t="str">
        <f aca="false">IF(B1619="","",IFERROR(INDEX(代理店一覧!$B$5:$B$204,MATCH(B1619,代理店一覧!$A$5:$A$204,0)),"※未登録のID"))</f>
        <v/>
      </c>
      <c r="D1619" s="21"/>
      <c r="E1619" s="21"/>
      <c r="F1619" s="21"/>
      <c r="G1619" s="18"/>
      <c r="H1619" s="21"/>
      <c r="I1619" s="26"/>
      <c r="J1619" s="15"/>
      <c r="K1619" s="27"/>
      <c r="L1619" s="25" t="str">
        <f aca="false">IF(B1619="","",B1619&amp;"|"&amp;J1619)</f>
        <v/>
      </c>
    </row>
    <row r="1620" customFormat="false" ht="15" hidden="false" customHeight="false" outlineLevel="0" collapsed="false">
      <c r="A1620" s="15"/>
      <c r="B1620" s="21"/>
      <c r="C1620" s="21" t="str">
        <f aca="false">IF(B1620="","",IFERROR(INDEX(代理店一覧!$B$5:$B$204,MATCH(B1620,代理店一覧!$A$5:$A$204,0)),"※未登録のID"))</f>
        <v/>
      </c>
      <c r="D1620" s="21"/>
      <c r="E1620" s="21"/>
      <c r="F1620" s="21"/>
      <c r="G1620" s="18"/>
      <c r="H1620" s="21"/>
      <c r="I1620" s="26"/>
      <c r="J1620" s="15"/>
      <c r="K1620" s="27"/>
      <c r="L1620" s="25" t="str">
        <f aca="false">IF(B1620="","",B1620&amp;"|"&amp;J1620)</f>
        <v/>
      </c>
    </row>
    <row r="1621" customFormat="false" ht="15" hidden="false" customHeight="false" outlineLevel="0" collapsed="false">
      <c r="A1621" s="15"/>
      <c r="B1621" s="21"/>
      <c r="C1621" s="21" t="str">
        <f aca="false">IF(B1621="","",IFERROR(INDEX(代理店一覧!$B$5:$B$204,MATCH(B1621,代理店一覧!$A$5:$A$204,0)),"※未登録のID"))</f>
        <v/>
      </c>
      <c r="D1621" s="21"/>
      <c r="E1621" s="21"/>
      <c r="F1621" s="21"/>
      <c r="G1621" s="18"/>
      <c r="H1621" s="21"/>
      <c r="I1621" s="26"/>
      <c r="J1621" s="15"/>
      <c r="K1621" s="27"/>
      <c r="L1621" s="25" t="str">
        <f aca="false">IF(B1621="","",B1621&amp;"|"&amp;J1621)</f>
        <v/>
      </c>
    </row>
    <row r="1622" customFormat="false" ht="15" hidden="false" customHeight="false" outlineLevel="0" collapsed="false">
      <c r="A1622" s="15"/>
      <c r="B1622" s="21"/>
      <c r="C1622" s="21" t="str">
        <f aca="false">IF(B1622="","",IFERROR(INDEX(代理店一覧!$B$5:$B$204,MATCH(B1622,代理店一覧!$A$5:$A$204,0)),"※未登録のID"))</f>
        <v/>
      </c>
      <c r="D1622" s="21"/>
      <c r="E1622" s="21"/>
      <c r="F1622" s="21"/>
      <c r="G1622" s="18"/>
      <c r="H1622" s="21"/>
      <c r="I1622" s="26"/>
      <c r="J1622" s="15"/>
      <c r="K1622" s="27"/>
      <c r="L1622" s="25" t="str">
        <f aca="false">IF(B1622="","",B1622&amp;"|"&amp;J1622)</f>
        <v/>
      </c>
    </row>
    <row r="1623" customFormat="false" ht="15" hidden="false" customHeight="false" outlineLevel="0" collapsed="false">
      <c r="A1623" s="15"/>
      <c r="B1623" s="21"/>
      <c r="C1623" s="21" t="str">
        <f aca="false">IF(B1623="","",IFERROR(INDEX(代理店一覧!$B$5:$B$204,MATCH(B1623,代理店一覧!$A$5:$A$204,0)),"※未登録のID"))</f>
        <v/>
      </c>
      <c r="D1623" s="21"/>
      <c r="E1623" s="21"/>
      <c r="F1623" s="21"/>
      <c r="G1623" s="18"/>
      <c r="H1623" s="21"/>
      <c r="I1623" s="26"/>
      <c r="J1623" s="15"/>
      <c r="K1623" s="27"/>
      <c r="L1623" s="25" t="str">
        <f aca="false">IF(B1623="","",B1623&amp;"|"&amp;J1623)</f>
        <v/>
      </c>
    </row>
    <row r="1624" customFormat="false" ht="15" hidden="false" customHeight="false" outlineLevel="0" collapsed="false">
      <c r="A1624" s="15"/>
      <c r="B1624" s="21"/>
      <c r="C1624" s="21" t="str">
        <f aca="false">IF(B1624="","",IFERROR(INDEX(代理店一覧!$B$5:$B$204,MATCH(B1624,代理店一覧!$A$5:$A$204,0)),"※未登録のID"))</f>
        <v/>
      </c>
      <c r="D1624" s="21"/>
      <c r="E1624" s="21"/>
      <c r="F1624" s="21"/>
      <c r="G1624" s="18"/>
      <c r="H1624" s="21"/>
      <c r="I1624" s="26"/>
      <c r="J1624" s="15"/>
      <c r="K1624" s="27"/>
      <c r="L1624" s="25" t="str">
        <f aca="false">IF(B1624="","",B1624&amp;"|"&amp;J1624)</f>
        <v/>
      </c>
    </row>
    <row r="1625" customFormat="false" ht="15" hidden="false" customHeight="false" outlineLevel="0" collapsed="false">
      <c r="A1625" s="15"/>
      <c r="B1625" s="21"/>
      <c r="C1625" s="21" t="str">
        <f aca="false">IF(B1625="","",IFERROR(INDEX(代理店一覧!$B$5:$B$204,MATCH(B1625,代理店一覧!$A$5:$A$204,0)),"※未登録のID"))</f>
        <v/>
      </c>
      <c r="D1625" s="21"/>
      <c r="E1625" s="21"/>
      <c r="F1625" s="21"/>
      <c r="G1625" s="18"/>
      <c r="H1625" s="21"/>
      <c r="I1625" s="26"/>
      <c r="J1625" s="15"/>
      <c r="K1625" s="27"/>
      <c r="L1625" s="25" t="str">
        <f aca="false">IF(B1625="","",B1625&amp;"|"&amp;J1625)</f>
        <v/>
      </c>
    </row>
    <row r="1626" customFormat="false" ht="15" hidden="false" customHeight="false" outlineLevel="0" collapsed="false">
      <c r="A1626" s="15"/>
      <c r="B1626" s="21"/>
      <c r="C1626" s="21" t="str">
        <f aca="false">IF(B1626="","",IFERROR(INDEX(代理店一覧!$B$5:$B$204,MATCH(B1626,代理店一覧!$A$5:$A$204,0)),"※未登録のID"))</f>
        <v/>
      </c>
      <c r="D1626" s="21"/>
      <c r="E1626" s="21"/>
      <c r="F1626" s="21"/>
      <c r="G1626" s="18"/>
      <c r="H1626" s="21"/>
      <c r="I1626" s="26"/>
      <c r="J1626" s="15"/>
      <c r="K1626" s="27"/>
      <c r="L1626" s="25" t="str">
        <f aca="false">IF(B1626="","",B1626&amp;"|"&amp;J1626)</f>
        <v/>
      </c>
    </row>
    <row r="1627" customFormat="false" ht="15" hidden="false" customHeight="false" outlineLevel="0" collapsed="false">
      <c r="A1627" s="15"/>
      <c r="B1627" s="21"/>
      <c r="C1627" s="21" t="str">
        <f aca="false">IF(B1627="","",IFERROR(INDEX(代理店一覧!$B$5:$B$204,MATCH(B1627,代理店一覧!$A$5:$A$204,0)),"※未登録のID"))</f>
        <v/>
      </c>
      <c r="D1627" s="21"/>
      <c r="E1627" s="21"/>
      <c r="F1627" s="21"/>
      <c r="G1627" s="18"/>
      <c r="H1627" s="21"/>
      <c r="I1627" s="26"/>
      <c r="J1627" s="15"/>
      <c r="K1627" s="27"/>
      <c r="L1627" s="25" t="str">
        <f aca="false">IF(B1627="","",B1627&amp;"|"&amp;J1627)</f>
        <v/>
      </c>
    </row>
    <row r="1628" customFormat="false" ht="15" hidden="false" customHeight="false" outlineLevel="0" collapsed="false">
      <c r="A1628" s="15"/>
      <c r="B1628" s="21"/>
      <c r="C1628" s="21" t="str">
        <f aca="false">IF(B1628="","",IFERROR(INDEX(代理店一覧!$B$5:$B$204,MATCH(B1628,代理店一覧!$A$5:$A$204,0)),"※未登録のID"))</f>
        <v/>
      </c>
      <c r="D1628" s="21"/>
      <c r="E1628" s="21"/>
      <c r="F1628" s="21"/>
      <c r="G1628" s="18"/>
      <c r="H1628" s="21"/>
      <c r="I1628" s="26"/>
      <c r="J1628" s="15"/>
      <c r="K1628" s="27"/>
      <c r="L1628" s="25" t="str">
        <f aca="false">IF(B1628="","",B1628&amp;"|"&amp;J1628)</f>
        <v/>
      </c>
    </row>
    <row r="1629" customFormat="false" ht="15" hidden="false" customHeight="false" outlineLevel="0" collapsed="false">
      <c r="A1629" s="15"/>
      <c r="B1629" s="21"/>
      <c r="C1629" s="21" t="str">
        <f aca="false">IF(B1629="","",IFERROR(INDEX(代理店一覧!$B$5:$B$204,MATCH(B1629,代理店一覧!$A$5:$A$204,0)),"※未登録のID"))</f>
        <v/>
      </c>
      <c r="D1629" s="21"/>
      <c r="E1629" s="21"/>
      <c r="F1629" s="21"/>
      <c r="G1629" s="18"/>
      <c r="H1629" s="21"/>
      <c r="I1629" s="26"/>
      <c r="J1629" s="15"/>
      <c r="K1629" s="27"/>
      <c r="L1629" s="25" t="str">
        <f aca="false">IF(B1629="","",B1629&amp;"|"&amp;J1629)</f>
        <v/>
      </c>
    </row>
    <row r="1630" customFormat="false" ht="15" hidden="false" customHeight="false" outlineLevel="0" collapsed="false">
      <c r="A1630" s="15"/>
      <c r="B1630" s="21"/>
      <c r="C1630" s="21" t="str">
        <f aca="false">IF(B1630="","",IFERROR(INDEX(代理店一覧!$B$5:$B$204,MATCH(B1630,代理店一覧!$A$5:$A$204,0)),"※未登録のID"))</f>
        <v/>
      </c>
      <c r="D1630" s="21"/>
      <c r="E1630" s="21"/>
      <c r="F1630" s="21"/>
      <c r="G1630" s="18"/>
      <c r="H1630" s="21"/>
      <c r="I1630" s="26"/>
      <c r="J1630" s="15"/>
      <c r="K1630" s="27"/>
      <c r="L1630" s="25" t="str">
        <f aca="false">IF(B1630="","",B1630&amp;"|"&amp;J1630)</f>
        <v/>
      </c>
    </row>
    <row r="1631" customFormat="false" ht="15" hidden="false" customHeight="false" outlineLevel="0" collapsed="false">
      <c r="A1631" s="15"/>
      <c r="B1631" s="21"/>
      <c r="C1631" s="21" t="str">
        <f aca="false">IF(B1631="","",IFERROR(INDEX(代理店一覧!$B$5:$B$204,MATCH(B1631,代理店一覧!$A$5:$A$204,0)),"※未登録のID"))</f>
        <v/>
      </c>
      <c r="D1631" s="21"/>
      <c r="E1631" s="21"/>
      <c r="F1631" s="21"/>
      <c r="G1631" s="18"/>
      <c r="H1631" s="21"/>
      <c r="I1631" s="26"/>
      <c r="J1631" s="15"/>
      <c r="K1631" s="27"/>
      <c r="L1631" s="25" t="str">
        <f aca="false">IF(B1631="","",B1631&amp;"|"&amp;J1631)</f>
        <v/>
      </c>
    </row>
    <row r="1632" customFormat="false" ht="15" hidden="false" customHeight="false" outlineLevel="0" collapsed="false">
      <c r="A1632" s="15"/>
      <c r="B1632" s="21"/>
      <c r="C1632" s="21" t="str">
        <f aca="false">IF(B1632="","",IFERROR(INDEX(代理店一覧!$B$5:$B$204,MATCH(B1632,代理店一覧!$A$5:$A$204,0)),"※未登録のID"))</f>
        <v/>
      </c>
      <c r="D1632" s="21"/>
      <c r="E1632" s="21"/>
      <c r="F1632" s="21"/>
      <c r="G1632" s="18"/>
      <c r="H1632" s="21"/>
      <c r="I1632" s="26"/>
      <c r="J1632" s="15"/>
      <c r="K1632" s="27"/>
      <c r="L1632" s="25" t="str">
        <f aca="false">IF(B1632="","",B1632&amp;"|"&amp;J1632)</f>
        <v/>
      </c>
    </row>
    <row r="1633" customFormat="false" ht="15" hidden="false" customHeight="false" outlineLevel="0" collapsed="false">
      <c r="A1633" s="15"/>
      <c r="B1633" s="21"/>
      <c r="C1633" s="21" t="str">
        <f aca="false">IF(B1633="","",IFERROR(INDEX(代理店一覧!$B$5:$B$204,MATCH(B1633,代理店一覧!$A$5:$A$204,0)),"※未登録のID"))</f>
        <v/>
      </c>
      <c r="D1633" s="21"/>
      <c r="E1633" s="21"/>
      <c r="F1633" s="21"/>
      <c r="G1633" s="18"/>
      <c r="H1633" s="21"/>
      <c r="I1633" s="26"/>
      <c r="J1633" s="15"/>
      <c r="K1633" s="27"/>
      <c r="L1633" s="25" t="str">
        <f aca="false">IF(B1633="","",B1633&amp;"|"&amp;J1633)</f>
        <v/>
      </c>
    </row>
    <row r="1634" customFormat="false" ht="15" hidden="false" customHeight="false" outlineLevel="0" collapsed="false">
      <c r="A1634" s="15"/>
      <c r="B1634" s="21"/>
      <c r="C1634" s="21" t="str">
        <f aca="false">IF(B1634="","",IFERROR(INDEX(代理店一覧!$B$5:$B$204,MATCH(B1634,代理店一覧!$A$5:$A$204,0)),"※未登録のID"))</f>
        <v/>
      </c>
      <c r="D1634" s="21"/>
      <c r="E1634" s="21"/>
      <c r="F1634" s="21"/>
      <c r="G1634" s="18"/>
      <c r="H1634" s="21"/>
      <c r="I1634" s="26"/>
      <c r="J1634" s="15"/>
      <c r="K1634" s="27"/>
      <c r="L1634" s="25" t="str">
        <f aca="false">IF(B1634="","",B1634&amp;"|"&amp;J1634)</f>
        <v/>
      </c>
    </row>
    <row r="1635" customFormat="false" ht="15" hidden="false" customHeight="false" outlineLevel="0" collapsed="false">
      <c r="A1635" s="15"/>
      <c r="B1635" s="21"/>
      <c r="C1635" s="21" t="str">
        <f aca="false">IF(B1635="","",IFERROR(INDEX(代理店一覧!$B$5:$B$204,MATCH(B1635,代理店一覧!$A$5:$A$204,0)),"※未登録のID"))</f>
        <v/>
      </c>
      <c r="D1635" s="21"/>
      <c r="E1635" s="21"/>
      <c r="F1635" s="21"/>
      <c r="G1635" s="18"/>
      <c r="H1635" s="21"/>
      <c r="I1635" s="26"/>
      <c r="J1635" s="15"/>
      <c r="K1635" s="27"/>
      <c r="L1635" s="25" t="str">
        <f aca="false">IF(B1635="","",B1635&amp;"|"&amp;J1635)</f>
        <v/>
      </c>
    </row>
    <row r="1636" customFormat="false" ht="15" hidden="false" customHeight="false" outlineLevel="0" collapsed="false">
      <c r="A1636" s="15"/>
      <c r="B1636" s="21"/>
      <c r="C1636" s="21" t="str">
        <f aca="false">IF(B1636="","",IFERROR(INDEX(代理店一覧!$B$5:$B$204,MATCH(B1636,代理店一覧!$A$5:$A$204,0)),"※未登録のID"))</f>
        <v/>
      </c>
      <c r="D1636" s="21"/>
      <c r="E1636" s="21"/>
      <c r="F1636" s="21"/>
      <c r="G1636" s="18"/>
      <c r="H1636" s="21"/>
      <c r="I1636" s="26"/>
      <c r="J1636" s="15"/>
      <c r="K1636" s="27"/>
      <c r="L1636" s="25" t="str">
        <f aca="false">IF(B1636="","",B1636&amp;"|"&amp;J1636)</f>
        <v/>
      </c>
    </row>
    <row r="1637" customFormat="false" ht="15" hidden="false" customHeight="false" outlineLevel="0" collapsed="false">
      <c r="A1637" s="15"/>
      <c r="B1637" s="21"/>
      <c r="C1637" s="21" t="str">
        <f aca="false">IF(B1637="","",IFERROR(INDEX(代理店一覧!$B$5:$B$204,MATCH(B1637,代理店一覧!$A$5:$A$204,0)),"※未登録のID"))</f>
        <v/>
      </c>
      <c r="D1637" s="21"/>
      <c r="E1637" s="21"/>
      <c r="F1637" s="21"/>
      <c r="G1637" s="18"/>
      <c r="H1637" s="21"/>
      <c r="I1637" s="26"/>
      <c r="J1637" s="15"/>
      <c r="K1637" s="27"/>
      <c r="L1637" s="25" t="str">
        <f aca="false">IF(B1637="","",B1637&amp;"|"&amp;J1637)</f>
        <v/>
      </c>
    </row>
    <row r="1638" customFormat="false" ht="15" hidden="false" customHeight="false" outlineLevel="0" collapsed="false">
      <c r="A1638" s="15"/>
      <c r="B1638" s="21"/>
      <c r="C1638" s="21" t="str">
        <f aca="false">IF(B1638="","",IFERROR(INDEX(代理店一覧!$B$5:$B$204,MATCH(B1638,代理店一覧!$A$5:$A$204,0)),"※未登録のID"))</f>
        <v/>
      </c>
      <c r="D1638" s="21"/>
      <c r="E1638" s="21"/>
      <c r="F1638" s="21"/>
      <c r="G1638" s="18"/>
      <c r="H1638" s="21"/>
      <c r="I1638" s="26"/>
      <c r="J1638" s="15"/>
      <c r="K1638" s="27"/>
      <c r="L1638" s="25" t="str">
        <f aca="false">IF(B1638="","",B1638&amp;"|"&amp;J1638)</f>
        <v/>
      </c>
    </row>
    <row r="1639" customFormat="false" ht="15" hidden="false" customHeight="false" outlineLevel="0" collapsed="false">
      <c r="A1639" s="15"/>
      <c r="B1639" s="21"/>
      <c r="C1639" s="21" t="str">
        <f aca="false">IF(B1639="","",IFERROR(INDEX(代理店一覧!$B$5:$B$204,MATCH(B1639,代理店一覧!$A$5:$A$204,0)),"※未登録のID"))</f>
        <v/>
      </c>
      <c r="D1639" s="21"/>
      <c r="E1639" s="21"/>
      <c r="F1639" s="21"/>
      <c r="G1639" s="18"/>
      <c r="H1639" s="21"/>
      <c r="I1639" s="26"/>
      <c r="J1639" s="15"/>
      <c r="K1639" s="27"/>
      <c r="L1639" s="25" t="str">
        <f aca="false">IF(B1639="","",B1639&amp;"|"&amp;J1639)</f>
        <v/>
      </c>
    </row>
    <row r="1640" customFormat="false" ht="15" hidden="false" customHeight="false" outlineLevel="0" collapsed="false">
      <c r="A1640" s="15"/>
      <c r="B1640" s="21"/>
      <c r="C1640" s="21" t="str">
        <f aca="false">IF(B1640="","",IFERROR(INDEX(代理店一覧!$B$5:$B$204,MATCH(B1640,代理店一覧!$A$5:$A$204,0)),"※未登録のID"))</f>
        <v/>
      </c>
      <c r="D1640" s="21"/>
      <c r="E1640" s="21"/>
      <c r="F1640" s="21"/>
      <c r="G1640" s="18"/>
      <c r="H1640" s="21"/>
      <c r="I1640" s="26"/>
      <c r="J1640" s="15"/>
      <c r="K1640" s="27"/>
      <c r="L1640" s="25" t="str">
        <f aca="false">IF(B1640="","",B1640&amp;"|"&amp;J1640)</f>
        <v/>
      </c>
    </row>
    <row r="1641" customFormat="false" ht="15" hidden="false" customHeight="false" outlineLevel="0" collapsed="false">
      <c r="A1641" s="15"/>
      <c r="B1641" s="21"/>
      <c r="C1641" s="21" t="str">
        <f aca="false">IF(B1641="","",IFERROR(INDEX(代理店一覧!$B$5:$B$204,MATCH(B1641,代理店一覧!$A$5:$A$204,0)),"※未登録のID"))</f>
        <v/>
      </c>
      <c r="D1641" s="21"/>
      <c r="E1641" s="21"/>
      <c r="F1641" s="21"/>
      <c r="G1641" s="18"/>
      <c r="H1641" s="21"/>
      <c r="I1641" s="26"/>
      <c r="J1641" s="15"/>
      <c r="K1641" s="27"/>
      <c r="L1641" s="25" t="str">
        <f aca="false">IF(B1641="","",B1641&amp;"|"&amp;J1641)</f>
        <v/>
      </c>
    </row>
    <row r="1642" customFormat="false" ht="15" hidden="false" customHeight="false" outlineLevel="0" collapsed="false">
      <c r="A1642" s="15"/>
      <c r="B1642" s="21"/>
      <c r="C1642" s="21" t="str">
        <f aca="false">IF(B1642="","",IFERROR(INDEX(代理店一覧!$B$5:$B$204,MATCH(B1642,代理店一覧!$A$5:$A$204,0)),"※未登録のID"))</f>
        <v/>
      </c>
      <c r="D1642" s="21"/>
      <c r="E1642" s="21"/>
      <c r="F1642" s="21"/>
      <c r="G1642" s="18"/>
      <c r="H1642" s="21"/>
      <c r="I1642" s="26"/>
      <c r="J1642" s="15"/>
      <c r="K1642" s="27"/>
      <c r="L1642" s="25" t="str">
        <f aca="false">IF(B1642="","",B1642&amp;"|"&amp;J1642)</f>
        <v/>
      </c>
    </row>
    <row r="1643" customFormat="false" ht="15" hidden="false" customHeight="false" outlineLevel="0" collapsed="false">
      <c r="A1643" s="15"/>
      <c r="B1643" s="21"/>
      <c r="C1643" s="21" t="str">
        <f aca="false">IF(B1643="","",IFERROR(INDEX(代理店一覧!$B$5:$B$204,MATCH(B1643,代理店一覧!$A$5:$A$204,0)),"※未登録のID"))</f>
        <v/>
      </c>
      <c r="D1643" s="21"/>
      <c r="E1643" s="21"/>
      <c r="F1643" s="21"/>
      <c r="G1643" s="18"/>
      <c r="H1643" s="21"/>
      <c r="I1643" s="26"/>
      <c r="J1643" s="15"/>
      <c r="K1643" s="27"/>
      <c r="L1643" s="25" t="str">
        <f aca="false">IF(B1643="","",B1643&amp;"|"&amp;J1643)</f>
        <v/>
      </c>
    </row>
    <row r="1644" customFormat="false" ht="15" hidden="false" customHeight="false" outlineLevel="0" collapsed="false">
      <c r="A1644" s="15"/>
      <c r="B1644" s="21"/>
      <c r="C1644" s="21" t="str">
        <f aca="false">IF(B1644="","",IFERROR(INDEX(代理店一覧!$B$5:$B$204,MATCH(B1644,代理店一覧!$A$5:$A$204,0)),"※未登録のID"))</f>
        <v/>
      </c>
      <c r="D1644" s="21"/>
      <c r="E1644" s="21"/>
      <c r="F1644" s="21"/>
      <c r="G1644" s="18"/>
      <c r="H1644" s="21"/>
      <c r="I1644" s="26"/>
      <c r="J1644" s="15"/>
      <c r="K1644" s="27"/>
      <c r="L1644" s="25" t="str">
        <f aca="false">IF(B1644="","",B1644&amp;"|"&amp;J1644)</f>
        <v/>
      </c>
    </row>
    <row r="1645" customFormat="false" ht="15" hidden="false" customHeight="false" outlineLevel="0" collapsed="false">
      <c r="A1645" s="15"/>
      <c r="B1645" s="21"/>
      <c r="C1645" s="21" t="str">
        <f aca="false">IF(B1645="","",IFERROR(INDEX(代理店一覧!$B$5:$B$204,MATCH(B1645,代理店一覧!$A$5:$A$204,0)),"※未登録のID"))</f>
        <v/>
      </c>
      <c r="D1645" s="21"/>
      <c r="E1645" s="21"/>
      <c r="F1645" s="21"/>
      <c r="G1645" s="18"/>
      <c r="H1645" s="21"/>
      <c r="I1645" s="26"/>
      <c r="J1645" s="15"/>
      <c r="K1645" s="27"/>
      <c r="L1645" s="25" t="str">
        <f aca="false">IF(B1645="","",B1645&amp;"|"&amp;J1645)</f>
        <v/>
      </c>
    </row>
    <row r="1646" customFormat="false" ht="15" hidden="false" customHeight="false" outlineLevel="0" collapsed="false">
      <c r="A1646" s="15"/>
      <c r="B1646" s="21"/>
      <c r="C1646" s="21" t="str">
        <f aca="false">IF(B1646="","",IFERROR(INDEX(代理店一覧!$B$5:$B$204,MATCH(B1646,代理店一覧!$A$5:$A$204,0)),"※未登録のID"))</f>
        <v/>
      </c>
      <c r="D1646" s="21"/>
      <c r="E1646" s="21"/>
      <c r="F1646" s="21"/>
      <c r="G1646" s="18"/>
      <c r="H1646" s="21"/>
      <c r="I1646" s="26"/>
      <c r="J1646" s="15"/>
      <c r="K1646" s="27"/>
      <c r="L1646" s="25" t="str">
        <f aca="false">IF(B1646="","",B1646&amp;"|"&amp;J1646)</f>
        <v/>
      </c>
    </row>
    <row r="1647" customFormat="false" ht="15" hidden="false" customHeight="false" outlineLevel="0" collapsed="false">
      <c r="A1647" s="15"/>
      <c r="B1647" s="21"/>
      <c r="C1647" s="21" t="str">
        <f aca="false">IF(B1647="","",IFERROR(INDEX(代理店一覧!$B$5:$B$204,MATCH(B1647,代理店一覧!$A$5:$A$204,0)),"※未登録のID"))</f>
        <v/>
      </c>
      <c r="D1647" s="21"/>
      <c r="E1647" s="21"/>
      <c r="F1647" s="21"/>
      <c r="G1647" s="18"/>
      <c r="H1647" s="21"/>
      <c r="I1647" s="26"/>
      <c r="J1647" s="15"/>
      <c r="K1647" s="27"/>
      <c r="L1647" s="25" t="str">
        <f aca="false">IF(B1647="","",B1647&amp;"|"&amp;J1647)</f>
        <v/>
      </c>
    </row>
    <row r="1648" customFormat="false" ht="15" hidden="false" customHeight="false" outlineLevel="0" collapsed="false">
      <c r="A1648" s="15"/>
      <c r="B1648" s="21"/>
      <c r="C1648" s="21" t="str">
        <f aca="false">IF(B1648="","",IFERROR(INDEX(代理店一覧!$B$5:$B$204,MATCH(B1648,代理店一覧!$A$5:$A$204,0)),"※未登録のID"))</f>
        <v/>
      </c>
      <c r="D1648" s="21"/>
      <c r="E1648" s="21"/>
      <c r="F1648" s="21"/>
      <c r="G1648" s="18"/>
      <c r="H1648" s="21"/>
      <c r="I1648" s="26"/>
      <c r="J1648" s="15"/>
      <c r="K1648" s="27"/>
      <c r="L1648" s="25" t="str">
        <f aca="false">IF(B1648="","",B1648&amp;"|"&amp;J1648)</f>
        <v/>
      </c>
    </row>
    <row r="1649" customFormat="false" ht="15" hidden="false" customHeight="false" outlineLevel="0" collapsed="false">
      <c r="A1649" s="15"/>
      <c r="B1649" s="21"/>
      <c r="C1649" s="21" t="str">
        <f aca="false">IF(B1649="","",IFERROR(INDEX(代理店一覧!$B$5:$B$204,MATCH(B1649,代理店一覧!$A$5:$A$204,0)),"※未登録のID"))</f>
        <v/>
      </c>
      <c r="D1649" s="21"/>
      <c r="E1649" s="21"/>
      <c r="F1649" s="21"/>
      <c r="G1649" s="18"/>
      <c r="H1649" s="21"/>
      <c r="I1649" s="26"/>
      <c r="J1649" s="15"/>
      <c r="K1649" s="27"/>
      <c r="L1649" s="25" t="str">
        <f aca="false">IF(B1649="","",B1649&amp;"|"&amp;J1649)</f>
        <v/>
      </c>
    </row>
    <row r="1650" customFormat="false" ht="15" hidden="false" customHeight="false" outlineLevel="0" collapsed="false">
      <c r="A1650" s="15"/>
      <c r="B1650" s="21"/>
      <c r="C1650" s="21" t="str">
        <f aca="false">IF(B1650="","",IFERROR(INDEX(代理店一覧!$B$5:$B$204,MATCH(B1650,代理店一覧!$A$5:$A$204,0)),"※未登録のID"))</f>
        <v/>
      </c>
      <c r="D1650" s="21"/>
      <c r="E1650" s="21"/>
      <c r="F1650" s="21"/>
      <c r="G1650" s="18"/>
      <c r="H1650" s="21"/>
      <c r="I1650" s="26"/>
      <c r="J1650" s="15"/>
      <c r="K1650" s="27"/>
      <c r="L1650" s="25" t="str">
        <f aca="false">IF(B1650="","",B1650&amp;"|"&amp;J1650)</f>
        <v/>
      </c>
    </row>
    <row r="1651" customFormat="false" ht="15" hidden="false" customHeight="false" outlineLevel="0" collapsed="false">
      <c r="A1651" s="15"/>
      <c r="B1651" s="21"/>
      <c r="C1651" s="21" t="str">
        <f aca="false">IF(B1651="","",IFERROR(INDEX(代理店一覧!$B$5:$B$204,MATCH(B1651,代理店一覧!$A$5:$A$204,0)),"※未登録のID"))</f>
        <v/>
      </c>
      <c r="D1651" s="21"/>
      <c r="E1651" s="21"/>
      <c r="F1651" s="21"/>
      <c r="G1651" s="18"/>
      <c r="H1651" s="21"/>
      <c r="I1651" s="26"/>
      <c r="J1651" s="15"/>
      <c r="K1651" s="27"/>
      <c r="L1651" s="25" t="str">
        <f aca="false">IF(B1651="","",B1651&amp;"|"&amp;J1651)</f>
        <v/>
      </c>
    </row>
    <row r="1652" customFormat="false" ht="15" hidden="false" customHeight="false" outlineLevel="0" collapsed="false">
      <c r="A1652" s="15"/>
      <c r="B1652" s="21"/>
      <c r="C1652" s="21" t="str">
        <f aca="false">IF(B1652="","",IFERROR(INDEX(代理店一覧!$B$5:$B$204,MATCH(B1652,代理店一覧!$A$5:$A$204,0)),"※未登録のID"))</f>
        <v/>
      </c>
      <c r="D1652" s="21"/>
      <c r="E1652" s="21"/>
      <c r="F1652" s="21"/>
      <c r="G1652" s="18"/>
      <c r="H1652" s="21"/>
      <c r="I1652" s="26"/>
      <c r="J1652" s="15"/>
      <c r="K1652" s="27"/>
      <c r="L1652" s="25" t="str">
        <f aca="false">IF(B1652="","",B1652&amp;"|"&amp;J1652)</f>
        <v/>
      </c>
    </row>
    <row r="1653" customFormat="false" ht="15" hidden="false" customHeight="false" outlineLevel="0" collapsed="false">
      <c r="A1653" s="15"/>
      <c r="B1653" s="21"/>
      <c r="C1653" s="21" t="str">
        <f aca="false">IF(B1653="","",IFERROR(INDEX(代理店一覧!$B$5:$B$204,MATCH(B1653,代理店一覧!$A$5:$A$204,0)),"※未登録のID"))</f>
        <v/>
      </c>
      <c r="D1653" s="21"/>
      <c r="E1653" s="21"/>
      <c r="F1653" s="21"/>
      <c r="G1653" s="18"/>
      <c r="H1653" s="21"/>
      <c r="I1653" s="26"/>
      <c r="J1653" s="15"/>
      <c r="K1653" s="27"/>
      <c r="L1653" s="25" t="str">
        <f aca="false">IF(B1653="","",B1653&amp;"|"&amp;J1653)</f>
        <v/>
      </c>
    </row>
    <row r="1654" customFormat="false" ht="15" hidden="false" customHeight="false" outlineLevel="0" collapsed="false">
      <c r="A1654" s="15"/>
      <c r="B1654" s="21"/>
      <c r="C1654" s="21" t="str">
        <f aca="false">IF(B1654="","",IFERROR(INDEX(代理店一覧!$B$5:$B$204,MATCH(B1654,代理店一覧!$A$5:$A$204,0)),"※未登録のID"))</f>
        <v/>
      </c>
      <c r="D1654" s="21"/>
      <c r="E1654" s="21"/>
      <c r="F1654" s="21"/>
      <c r="G1654" s="18"/>
      <c r="H1654" s="21"/>
      <c r="I1654" s="26"/>
      <c r="J1654" s="15"/>
      <c r="K1654" s="27"/>
      <c r="L1654" s="25" t="str">
        <f aca="false">IF(B1654="","",B1654&amp;"|"&amp;J1654)</f>
        <v/>
      </c>
    </row>
    <row r="1655" customFormat="false" ht="15" hidden="false" customHeight="false" outlineLevel="0" collapsed="false">
      <c r="A1655" s="15"/>
      <c r="B1655" s="21"/>
      <c r="C1655" s="21" t="str">
        <f aca="false">IF(B1655="","",IFERROR(INDEX(代理店一覧!$B$5:$B$204,MATCH(B1655,代理店一覧!$A$5:$A$204,0)),"※未登録のID"))</f>
        <v/>
      </c>
      <c r="D1655" s="21"/>
      <c r="E1655" s="21"/>
      <c r="F1655" s="21"/>
      <c r="G1655" s="18"/>
      <c r="H1655" s="21"/>
      <c r="I1655" s="26"/>
      <c r="J1655" s="15"/>
      <c r="K1655" s="27"/>
      <c r="L1655" s="25" t="str">
        <f aca="false">IF(B1655="","",B1655&amp;"|"&amp;J1655)</f>
        <v/>
      </c>
    </row>
    <row r="1656" customFormat="false" ht="15" hidden="false" customHeight="false" outlineLevel="0" collapsed="false">
      <c r="A1656" s="15"/>
      <c r="B1656" s="21"/>
      <c r="C1656" s="21" t="str">
        <f aca="false">IF(B1656="","",IFERROR(INDEX(代理店一覧!$B$5:$B$204,MATCH(B1656,代理店一覧!$A$5:$A$204,0)),"※未登録のID"))</f>
        <v/>
      </c>
      <c r="D1656" s="21"/>
      <c r="E1656" s="21"/>
      <c r="F1656" s="21"/>
      <c r="G1656" s="18"/>
      <c r="H1656" s="21"/>
      <c r="I1656" s="26"/>
      <c r="J1656" s="15"/>
      <c r="K1656" s="27"/>
      <c r="L1656" s="25" t="str">
        <f aca="false">IF(B1656="","",B1656&amp;"|"&amp;J1656)</f>
        <v/>
      </c>
    </row>
    <row r="1657" customFormat="false" ht="15" hidden="false" customHeight="false" outlineLevel="0" collapsed="false">
      <c r="A1657" s="15"/>
      <c r="B1657" s="21"/>
      <c r="C1657" s="21" t="str">
        <f aca="false">IF(B1657="","",IFERROR(INDEX(代理店一覧!$B$5:$B$204,MATCH(B1657,代理店一覧!$A$5:$A$204,0)),"※未登録のID"))</f>
        <v/>
      </c>
      <c r="D1657" s="21"/>
      <c r="E1657" s="21"/>
      <c r="F1657" s="21"/>
      <c r="G1657" s="18"/>
      <c r="H1657" s="21"/>
      <c r="I1657" s="26"/>
      <c r="J1657" s="15"/>
      <c r="K1657" s="27"/>
      <c r="L1657" s="25" t="str">
        <f aca="false">IF(B1657="","",B1657&amp;"|"&amp;J1657)</f>
        <v/>
      </c>
    </row>
    <row r="1658" customFormat="false" ht="15" hidden="false" customHeight="false" outlineLevel="0" collapsed="false">
      <c r="A1658" s="15"/>
      <c r="B1658" s="21"/>
      <c r="C1658" s="21" t="str">
        <f aca="false">IF(B1658="","",IFERROR(INDEX(代理店一覧!$B$5:$B$204,MATCH(B1658,代理店一覧!$A$5:$A$204,0)),"※未登録のID"))</f>
        <v/>
      </c>
      <c r="D1658" s="21"/>
      <c r="E1658" s="21"/>
      <c r="F1658" s="21"/>
      <c r="G1658" s="18"/>
      <c r="H1658" s="21"/>
      <c r="I1658" s="26"/>
      <c r="J1658" s="15"/>
      <c r="K1658" s="27"/>
      <c r="L1658" s="25" t="str">
        <f aca="false">IF(B1658="","",B1658&amp;"|"&amp;J1658)</f>
        <v/>
      </c>
    </row>
    <row r="1659" customFormat="false" ht="15" hidden="false" customHeight="false" outlineLevel="0" collapsed="false">
      <c r="A1659" s="15"/>
      <c r="B1659" s="21"/>
      <c r="C1659" s="21" t="str">
        <f aca="false">IF(B1659="","",IFERROR(INDEX(代理店一覧!$B$5:$B$204,MATCH(B1659,代理店一覧!$A$5:$A$204,0)),"※未登録のID"))</f>
        <v/>
      </c>
      <c r="D1659" s="21"/>
      <c r="E1659" s="21"/>
      <c r="F1659" s="21"/>
      <c r="G1659" s="18"/>
      <c r="H1659" s="21"/>
      <c r="I1659" s="26"/>
      <c r="J1659" s="15"/>
      <c r="K1659" s="27"/>
      <c r="L1659" s="25" t="str">
        <f aca="false">IF(B1659="","",B1659&amp;"|"&amp;J1659)</f>
        <v/>
      </c>
    </row>
    <row r="1660" customFormat="false" ht="15" hidden="false" customHeight="false" outlineLevel="0" collapsed="false">
      <c r="A1660" s="15"/>
      <c r="B1660" s="21"/>
      <c r="C1660" s="21" t="str">
        <f aca="false">IF(B1660="","",IFERROR(INDEX(代理店一覧!$B$5:$B$204,MATCH(B1660,代理店一覧!$A$5:$A$204,0)),"※未登録のID"))</f>
        <v/>
      </c>
      <c r="D1660" s="21"/>
      <c r="E1660" s="21"/>
      <c r="F1660" s="21"/>
      <c r="G1660" s="18"/>
      <c r="H1660" s="21"/>
      <c r="I1660" s="26"/>
      <c r="J1660" s="15"/>
      <c r="K1660" s="27"/>
      <c r="L1660" s="25" t="str">
        <f aca="false">IF(B1660="","",B1660&amp;"|"&amp;J1660)</f>
        <v/>
      </c>
    </row>
    <row r="1661" customFormat="false" ht="15" hidden="false" customHeight="false" outlineLevel="0" collapsed="false">
      <c r="A1661" s="15"/>
      <c r="B1661" s="21"/>
      <c r="C1661" s="21" t="str">
        <f aca="false">IF(B1661="","",IFERROR(INDEX(代理店一覧!$B$5:$B$204,MATCH(B1661,代理店一覧!$A$5:$A$204,0)),"※未登録のID"))</f>
        <v/>
      </c>
      <c r="D1661" s="21"/>
      <c r="E1661" s="21"/>
      <c r="F1661" s="21"/>
      <c r="G1661" s="18"/>
      <c r="H1661" s="21"/>
      <c r="I1661" s="26"/>
      <c r="J1661" s="15"/>
      <c r="K1661" s="27"/>
      <c r="L1661" s="25" t="str">
        <f aca="false">IF(B1661="","",B1661&amp;"|"&amp;J1661)</f>
        <v/>
      </c>
    </row>
    <row r="1662" customFormat="false" ht="15" hidden="false" customHeight="false" outlineLevel="0" collapsed="false">
      <c r="A1662" s="15"/>
      <c r="B1662" s="21"/>
      <c r="C1662" s="21" t="str">
        <f aca="false">IF(B1662="","",IFERROR(INDEX(代理店一覧!$B$5:$B$204,MATCH(B1662,代理店一覧!$A$5:$A$204,0)),"※未登録のID"))</f>
        <v/>
      </c>
      <c r="D1662" s="21"/>
      <c r="E1662" s="21"/>
      <c r="F1662" s="21"/>
      <c r="G1662" s="18"/>
      <c r="H1662" s="21"/>
      <c r="I1662" s="26"/>
      <c r="J1662" s="15"/>
      <c r="K1662" s="27"/>
      <c r="L1662" s="25" t="str">
        <f aca="false">IF(B1662="","",B1662&amp;"|"&amp;J1662)</f>
        <v/>
      </c>
    </row>
    <row r="1663" customFormat="false" ht="15" hidden="false" customHeight="false" outlineLevel="0" collapsed="false">
      <c r="A1663" s="15"/>
      <c r="B1663" s="21"/>
      <c r="C1663" s="21" t="str">
        <f aca="false">IF(B1663="","",IFERROR(INDEX(代理店一覧!$B$5:$B$204,MATCH(B1663,代理店一覧!$A$5:$A$204,0)),"※未登録のID"))</f>
        <v/>
      </c>
      <c r="D1663" s="21"/>
      <c r="E1663" s="21"/>
      <c r="F1663" s="21"/>
      <c r="G1663" s="18"/>
      <c r="H1663" s="21"/>
      <c r="I1663" s="26"/>
      <c r="J1663" s="15"/>
      <c r="K1663" s="27"/>
      <c r="L1663" s="25" t="str">
        <f aca="false">IF(B1663="","",B1663&amp;"|"&amp;J1663)</f>
        <v/>
      </c>
    </row>
    <row r="1664" customFormat="false" ht="15" hidden="false" customHeight="false" outlineLevel="0" collapsed="false">
      <c r="A1664" s="15"/>
      <c r="B1664" s="21"/>
      <c r="C1664" s="21" t="str">
        <f aca="false">IF(B1664="","",IFERROR(INDEX(代理店一覧!$B$5:$B$204,MATCH(B1664,代理店一覧!$A$5:$A$204,0)),"※未登録のID"))</f>
        <v/>
      </c>
      <c r="D1664" s="21"/>
      <c r="E1664" s="21"/>
      <c r="F1664" s="21"/>
      <c r="G1664" s="18"/>
      <c r="H1664" s="21"/>
      <c r="I1664" s="26"/>
      <c r="J1664" s="15"/>
      <c r="K1664" s="27"/>
      <c r="L1664" s="25" t="str">
        <f aca="false">IF(B1664="","",B1664&amp;"|"&amp;J1664)</f>
        <v/>
      </c>
    </row>
    <row r="1665" customFormat="false" ht="15" hidden="false" customHeight="false" outlineLevel="0" collapsed="false">
      <c r="A1665" s="15"/>
      <c r="B1665" s="21"/>
      <c r="C1665" s="21" t="str">
        <f aca="false">IF(B1665="","",IFERROR(INDEX(代理店一覧!$B$5:$B$204,MATCH(B1665,代理店一覧!$A$5:$A$204,0)),"※未登録のID"))</f>
        <v/>
      </c>
      <c r="D1665" s="21"/>
      <c r="E1665" s="21"/>
      <c r="F1665" s="21"/>
      <c r="G1665" s="18"/>
      <c r="H1665" s="21"/>
      <c r="I1665" s="26"/>
      <c r="J1665" s="15"/>
      <c r="K1665" s="27"/>
      <c r="L1665" s="25" t="str">
        <f aca="false">IF(B1665="","",B1665&amp;"|"&amp;J1665)</f>
        <v/>
      </c>
    </row>
    <row r="1666" customFormat="false" ht="15" hidden="false" customHeight="false" outlineLevel="0" collapsed="false">
      <c r="A1666" s="15"/>
      <c r="B1666" s="21"/>
      <c r="C1666" s="21" t="str">
        <f aca="false">IF(B1666="","",IFERROR(INDEX(代理店一覧!$B$5:$B$204,MATCH(B1666,代理店一覧!$A$5:$A$204,0)),"※未登録のID"))</f>
        <v/>
      </c>
      <c r="D1666" s="21"/>
      <c r="E1666" s="21"/>
      <c r="F1666" s="21"/>
      <c r="G1666" s="18"/>
      <c r="H1666" s="21"/>
      <c r="I1666" s="26"/>
      <c r="J1666" s="15"/>
      <c r="K1666" s="27"/>
      <c r="L1666" s="25" t="str">
        <f aca="false">IF(B1666="","",B1666&amp;"|"&amp;J1666)</f>
        <v/>
      </c>
    </row>
    <row r="1667" customFormat="false" ht="15" hidden="false" customHeight="false" outlineLevel="0" collapsed="false">
      <c r="A1667" s="15"/>
      <c r="B1667" s="21"/>
      <c r="C1667" s="21" t="str">
        <f aca="false">IF(B1667="","",IFERROR(INDEX(代理店一覧!$B$5:$B$204,MATCH(B1667,代理店一覧!$A$5:$A$204,0)),"※未登録のID"))</f>
        <v/>
      </c>
      <c r="D1667" s="21"/>
      <c r="E1667" s="21"/>
      <c r="F1667" s="21"/>
      <c r="G1667" s="18"/>
      <c r="H1667" s="21"/>
      <c r="I1667" s="26"/>
      <c r="J1667" s="15"/>
      <c r="K1667" s="27"/>
      <c r="L1667" s="25" t="str">
        <f aca="false">IF(B1667="","",B1667&amp;"|"&amp;J1667)</f>
        <v/>
      </c>
    </row>
    <row r="1668" customFormat="false" ht="15" hidden="false" customHeight="false" outlineLevel="0" collapsed="false">
      <c r="A1668" s="15"/>
      <c r="B1668" s="21"/>
      <c r="C1668" s="21" t="str">
        <f aca="false">IF(B1668="","",IFERROR(INDEX(代理店一覧!$B$5:$B$204,MATCH(B1668,代理店一覧!$A$5:$A$204,0)),"※未登録のID"))</f>
        <v/>
      </c>
      <c r="D1668" s="21"/>
      <c r="E1668" s="21"/>
      <c r="F1668" s="21"/>
      <c r="G1668" s="18"/>
      <c r="H1668" s="21"/>
      <c r="I1668" s="26"/>
      <c r="J1668" s="15"/>
      <c r="K1668" s="27"/>
      <c r="L1668" s="25" t="str">
        <f aca="false">IF(B1668="","",B1668&amp;"|"&amp;J1668)</f>
        <v/>
      </c>
    </row>
    <row r="1669" customFormat="false" ht="15" hidden="false" customHeight="false" outlineLevel="0" collapsed="false">
      <c r="A1669" s="15"/>
      <c r="B1669" s="21"/>
      <c r="C1669" s="21" t="str">
        <f aca="false">IF(B1669="","",IFERROR(INDEX(代理店一覧!$B$5:$B$204,MATCH(B1669,代理店一覧!$A$5:$A$204,0)),"※未登録のID"))</f>
        <v/>
      </c>
      <c r="D1669" s="21"/>
      <c r="E1669" s="21"/>
      <c r="F1669" s="21"/>
      <c r="G1669" s="18"/>
      <c r="H1669" s="21"/>
      <c r="I1669" s="26"/>
      <c r="J1669" s="15"/>
      <c r="K1669" s="27"/>
      <c r="L1669" s="25" t="str">
        <f aca="false">IF(B1669="","",B1669&amp;"|"&amp;J1669)</f>
        <v/>
      </c>
    </row>
    <row r="1670" customFormat="false" ht="15" hidden="false" customHeight="false" outlineLevel="0" collapsed="false">
      <c r="A1670" s="15"/>
      <c r="B1670" s="21"/>
      <c r="C1670" s="21" t="str">
        <f aca="false">IF(B1670="","",IFERROR(INDEX(代理店一覧!$B$5:$B$204,MATCH(B1670,代理店一覧!$A$5:$A$204,0)),"※未登録のID"))</f>
        <v/>
      </c>
      <c r="D1670" s="21"/>
      <c r="E1670" s="21"/>
      <c r="F1670" s="21"/>
      <c r="G1670" s="18"/>
      <c r="H1670" s="21"/>
      <c r="I1670" s="26"/>
      <c r="J1670" s="15"/>
      <c r="K1670" s="27"/>
      <c r="L1670" s="25" t="str">
        <f aca="false">IF(B1670="","",B1670&amp;"|"&amp;J1670)</f>
        <v/>
      </c>
    </row>
    <row r="1671" customFormat="false" ht="15" hidden="false" customHeight="false" outlineLevel="0" collapsed="false">
      <c r="A1671" s="15"/>
      <c r="B1671" s="21"/>
      <c r="C1671" s="21" t="str">
        <f aca="false">IF(B1671="","",IFERROR(INDEX(代理店一覧!$B$5:$B$204,MATCH(B1671,代理店一覧!$A$5:$A$204,0)),"※未登録のID"))</f>
        <v/>
      </c>
      <c r="D1671" s="21"/>
      <c r="E1671" s="21"/>
      <c r="F1671" s="21"/>
      <c r="G1671" s="18"/>
      <c r="H1671" s="21"/>
      <c r="I1671" s="26"/>
      <c r="J1671" s="15"/>
      <c r="K1671" s="27"/>
      <c r="L1671" s="25" t="str">
        <f aca="false">IF(B1671="","",B1671&amp;"|"&amp;J1671)</f>
        <v/>
      </c>
    </row>
    <row r="1672" customFormat="false" ht="15" hidden="false" customHeight="false" outlineLevel="0" collapsed="false">
      <c r="A1672" s="15"/>
      <c r="B1672" s="21"/>
      <c r="C1672" s="21" t="str">
        <f aca="false">IF(B1672="","",IFERROR(INDEX(代理店一覧!$B$5:$B$204,MATCH(B1672,代理店一覧!$A$5:$A$204,0)),"※未登録のID"))</f>
        <v/>
      </c>
      <c r="D1672" s="21"/>
      <c r="E1672" s="21"/>
      <c r="F1672" s="21"/>
      <c r="G1672" s="18"/>
      <c r="H1672" s="21"/>
      <c r="I1672" s="26"/>
      <c r="J1672" s="15"/>
      <c r="K1672" s="27"/>
      <c r="L1672" s="25" t="str">
        <f aca="false">IF(B1672="","",B1672&amp;"|"&amp;J1672)</f>
        <v/>
      </c>
    </row>
    <row r="1673" customFormat="false" ht="15" hidden="false" customHeight="false" outlineLevel="0" collapsed="false">
      <c r="A1673" s="15"/>
      <c r="B1673" s="21"/>
      <c r="C1673" s="21" t="str">
        <f aca="false">IF(B1673="","",IFERROR(INDEX(代理店一覧!$B$5:$B$204,MATCH(B1673,代理店一覧!$A$5:$A$204,0)),"※未登録のID"))</f>
        <v/>
      </c>
      <c r="D1673" s="21"/>
      <c r="E1673" s="21"/>
      <c r="F1673" s="21"/>
      <c r="G1673" s="18"/>
      <c r="H1673" s="21"/>
      <c r="I1673" s="26"/>
      <c r="J1673" s="15"/>
      <c r="K1673" s="27"/>
      <c r="L1673" s="25" t="str">
        <f aca="false">IF(B1673="","",B1673&amp;"|"&amp;J1673)</f>
        <v/>
      </c>
    </row>
    <row r="1674" customFormat="false" ht="15" hidden="false" customHeight="false" outlineLevel="0" collapsed="false">
      <c r="A1674" s="15"/>
      <c r="B1674" s="21"/>
      <c r="C1674" s="21" t="str">
        <f aca="false">IF(B1674="","",IFERROR(INDEX(代理店一覧!$B$5:$B$204,MATCH(B1674,代理店一覧!$A$5:$A$204,0)),"※未登録のID"))</f>
        <v/>
      </c>
      <c r="D1674" s="21"/>
      <c r="E1674" s="21"/>
      <c r="F1674" s="21"/>
      <c r="G1674" s="18"/>
      <c r="H1674" s="21"/>
      <c r="I1674" s="26"/>
      <c r="J1674" s="15"/>
      <c r="K1674" s="27"/>
      <c r="L1674" s="25" t="str">
        <f aca="false">IF(B1674="","",B1674&amp;"|"&amp;J1674)</f>
        <v/>
      </c>
    </row>
    <row r="1675" customFormat="false" ht="15" hidden="false" customHeight="false" outlineLevel="0" collapsed="false">
      <c r="A1675" s="15"/>
      <c r="B1675" s="21"/>
      <c r="C1675" s="21" t="str">
        <f aca="false">IF(B1675="","",IFERROR(INDEX(代理店一覧!$B$5:$B$204,MATCH(B1675,代理店一覧!$A$5:$A$204,0)),"※未登録のID"))</f>
        <v/>
      </c>
      <c r="D1675" s="21"/>
      <c r="E1675" s="21"/>
      <c r="F1675" s="21"/>
      <c r="G1675" s="18"/>
      <c r="H1675" s="21"/>
      <c r="I1675" s="26"/>
      <c r="J1675" s="15"/>
      <c r="K1675" s="27"/>
      <c r="L1675" s="25" t="str">
        <f aca="false">IF(B1675="","",B1675&amp;"|"&amp;J1675)</f>
        <v/>
      </c>
    </row>
    <row r="1676" customFormat="false" ht="15" hidden="false" customHeight="false" outlineLevel="0" collapsed="false">
      <c r="A1676" s="15"/>
      <c r="B1676" s="21"/>
      <c r="C1676" s="21" t="str">
        <f aca="false">IF(B1676="","",IFERROR(INDEX(代理店一覧!$B$5:$B$204,MATCH(B1676,代理店一覧!$A$5:$A$204,0)),"※未登録のID"))</f>
        <v/>
      </c>
      <c r="D1676" s="21"/>
      <c r="E1676" s="21"/>
      <c r="F1676" s="21"/>
      <c r="G1676" s="18"/>
      <c r="H1676" s="21"/>
      <c r="I1676" s="26"/>
      <c r="J1676" s="15"/>
      <c r="K1676" s="27"/>
      <c r="L1676" s="25" t="str">
        <f aca="false">IF(B1676="","",B1676&amp;"|"&amp;J1676)</f>
        <v/>
      </c>
    </row>
    <row r="1677" customFormat="false" ht="15" hidden="false" customHeight="false" outlineLevel="0" collapsed="false">
      <c r="A1677" s="15"/>
      <c r="B1677" s="21"/>
      <c r="C1677" s="21" t="str">
        <f aca="false">IF(B1677="","",IFERROR(INDEX(代理店一覧!$B$5:$B$204,MATCH(B1677,代理店一覧!$A$5:$A$204,0)),"※未登録のID"))</f>
        <v/>
      </c>
      <c r="D1677" s="21"/>
      <c r="E1677" s="21"/>
      <c r="F1677" s="21"/>
      <c r="G1677" s="18"/>
      <c r="H1677" s="21"/>
      <c r="I1677" s="26"/>
      <c r="J1677" s="15"/>
      <c r="K1677" s="27"/>
      <c r="L1677" s="25" t="str">
        <f aca="false">IF(B1677="","",B1677&amp;"|"&amp;J1677)</f>
        <v/>
      </c>
    </row>
    <row r="1678" customFormat="false" ht="15" hidden="false" customHeight="false" outlineLevel="0" collapsed="false">
      <c r="A1678" s="15"/>
      <c r="B1678" s="21"/>
      <c r="C1678" s="21" t="str">
        <f aca="false">IF(B1678="","",IFERROR(INDEX(代理店一覧!$B$5:$B$204,MATCH(B1678,代理店一覧!$A$5:$A$204,0)),"※未登録のID"))</f>
        <v/>
      </c>
      <c r="D1678" s="21"/>
      <c r="E1678" s="21"/>
      <c r="F1678" s="21"/>
      <c r="G1678" s="18"/>
      <c r="H1678" s="21"/>
      <c r="I1678" s="26"/>
      <c r="J1678" s="15"/>
      <c r="K1678" s="27"/>
      <c r="L1678" s="25" t="str">
        <f aca="false">IF(B1678="","",B1678&amp;"|"&amp;J1678)</f>
        <v/>
      </c>
    </row>
    <row r="1679" customFormat="false" ht="15" hidden="false" customHeight="false" outlineLevel="0" collapsed="false">
      <c r="A1679" s="15"/>
      <c r="B1679" s="21"/>
      <c r="C1679" s="21" t="str">
        <f aca="false">IF(B1679="","",IFERROR(INDEX(代理店一覧!$B$5:$B$204,MATCH(B1679,代理店一覧!$A$5:$A$204,0)),"※未登録のID"))</f>
        <v/>
      </c>
      <c r="D1679" s="21"/>
      <c r="E1679" s="21"/>
      <c r="F1679" s="21"/>
      <c r="G1679" s="18"/>
      <c r="H1679" s="21"/>
      <c r="I1679" s="26"/>
      <c r="J1679" s="15"/>
      <c r="K1679" s="27"/>
      <c r="L1679" s="25" t="str">
        <f aca="false">IF(B1679="","",B1679&amp;"|"&amp;J1679)</f>
        <v/>
      </c>
    </row>
    <row r="1680" customFormat="false" ht="15" hidden="false" customHeight="false" outlineLevel="0" collapsed="false">
      <c r="A1680" s="15"/>
      <c r="B1680" s="21"/>
      <c r="C1680" s="21" t="str">
        <f aca="false">IF(B1680="","",IFERROR(INDEX(代理店一覧!$B$5:$B$204,MATCH(B1680,代理店一覧!$A$5:$A$204,0)),"※未登録のID"))</f>
        <v/>
      </c>
      <c r="D1680" s="21"/>
      <c r="E1680" s="21"/>
      <c r="F1680" s="21"/>
      <c r="G1680" s="18"/>
      <c r="H1680" s="21"/>
      <c r="I1680" s="26"/>
      <c r="J1680" s="15"/>
      <c r="K1680" s="27"/>
      <c r="L1680" s="25" t="str">
        <f aca="false">IF(B1680="","",B1680&amp;"|"&amp;J1680)</f>
        <v/>
      </c>
    </row>
    <row r="1681" customFormat="false" ht="15" hidden="false" customHeight="false" outlineLevel="0" collapsed="false">
      <c r="A1681" s="15"/>
      <c r="B1681" s="21"/>
      <c r="C1681" s="21" t="str">
        <f aca="false">IF(B1681="","",IFERROR(INDEX(代理店一覧!$B$5:$B$204,MATCH(B1681,代理店一覧!$A$5:$A$204,0)),"※未登録のID"))</f>
        <v/>
      </c>
      <c r="D1681" s="21"/>
      <c r="E1681" s="21"/>
      <c r="F1681" s="21"/>
      <c r="G1681" s="18"/>
      <c r="H1681" s="21"/>
      <c r="I1681" s="26"/>
      <c r="J1681" s="15"/>
      <c r="K1681" s="27"/>
      <c r="L1681" s="25" t="str">
        <f aca="false">IF(B1681="","",B1681&amp;"|"&amp;J1681)</f>
        <v/>
      </c>
    </row>
    <row r="1682" customFormat="false" ht="15" hidden="false" customHeight="false" outlineLevel="0" collapsed="false">
      <c r="A1682" s="15"/>
      <c r="B1682" s="21"/>
      <c r="C1682" s="21" t="str">
        <f aca="false">IF(B1682="","",IFERROR(INDEX(代理店一覧!$B$5:$B$204,MATCH(B1682,代理店一覧!$A$5:$A$204,0)),"※未登録のID"))</f>
        <v/>
      </c>
      <c r="D1682" s="21"/>
      <c r="E1682" s="21"/>
      <c r="F1682" s="21"/>
      <c r="G1682" s="18"/>
      <c r="H1682" s="21"/>
      <c r="I1682" s="26"/>
      <c r="J1682" s="15"/>
      <c r="K1682" s="27"/>
      <c r="L1682" s="25" t="str">
        <f aca="false">IF(B1682="","",B1682&amp;"|"&amp;J1682)</f>
        <v/>
      </c>
    </row>
    <row r="1683" customFormat="false" ht="15" hidden="false" customHeight="false" outlineLevel="0" collapsed="false">
      <c r="A1683" s="15"/>
      <c r="B1683" s="21"/>
      <c r="C1683" s="21" t="str">
        <f aca="false">IF(B1683="","",IFERROR(INDEX(代理店一覧!$B$5:$B$204,MATCH(B1683,代理店一覧!$A$5:$A$204,0)),"※未登録のID"))</f>
        <v/>
      </c>
      <c r="D1683" s="21"/>
      <c r="E1683" s="21"/>
      <c r="F1683" s="21"/>
      <c r="G1683" s="18"/>
      <c r="H1683" s="21"/>
      <c r="I1683" s="26"/>
      <c r="J1683" s="15"/>
      <c r="K1683" s="27"/>
      <c r="L1683" s="25" t="str">
        <f aca="false">IF(B1683="","",B1683&amp;"|"&amp;J1683)</f>
        <v/>
      </c>
    </row>
    <row r="1684" customFormat="false" ht="15" hidden="false" customHeight="false" outlineLevel="0" collapsed="false">
      <c r="A1684" s="15"/>
      <c r="B1684" s="21"/>
      <c r="C1684" s="21" t="str">
        <f aca="false">IF(B1684="","",IFERROR(INDEX(代理店一覧!$B$5:$B$204,MATCH(B1684,代理店一覧!$A$5:$A$204,0)),"※未登録のID"))</f>
        <v/>
      </c>
      <c r="D1684" s="21"/>
      <c r="E1684" s="21"/>
      <c r="F1684" s="21"/>
      <c r="G1684" s="18"/>
      <c r="H1684" s="21"/>
      <c r="I1684" s="26"/>
      <c r="J1684" s="15"/>
      <c r="K1684" s="27"/>
      <c r="L1684" s="25" t="str">
        <f aca="false">IF(B1684="","",B1684&amp;"|"&amp;J1684)</f>
        <v/>
      </c>
    </row>
    <row r="1685" customFormat="false" ht="15" hidden="false" customHeight="false" outlineLevel="0" collapsed="false">
      <c r="A1685" s="15"/>
      <c r="B1685" s="21"/>
      <c r="C1685" s="21" t="str">
        <f aca="false">IF(B1685="","",IFERROR(INDEX(代理店一覧!$B$5:$B$204,MATCH(B1685,代理店一覧!$A$5:$A$204,0)),"※未登録のID"))</f>
        <v/>
      </c>
      <c r="D1685" s="21"/>
      <c r="E1685" s="21"/>
      <c r="F1685" s="21"/>
      <c r="G1685" s="18"/>
      <c r="H1685" s="21"/>
      <c r="I1685" s="26"/>
      <c r="J1685" s="15"/>
      <c r="K1685" s="27"/>
      <c r="L1685" s="25" t="str">
        <f aca="false">IF(B1685="","",B1685&amp;"|"&amp;J1685)</f>
        <v/>
      </c>
    </row>
    <row r="1686" customFormat="false" ht="15" hidden="false" customHeight="false" outlineLevel="0" collapsed="false">
      <c r="A1686" s="15"/>
      <c r="B1686" s="21"/>
      <c r="C1686" s="21" t="str">
        <f aca="false">IF(B1686="","",IFERROR(INDEX(代理店一覧!$B$5:$B$204,MATCH(B1686,代理店一覧!$A$5:$A$204,0)),"※未登録のID"))</f>
        <v/>
      </c>
      <c r="D1686" s="21"/>
      <c r="E1686" s="21"/>
      <c r="F1686" s="21"/>
      <c r="G1686" s="18"/>
      <c r="H1686" s="21"/>
      <c r="I1686" s="26"/>
      <c r="J1686" s="15"/>
      <c r="K1686" s="27"/>
      <c r="L1686" s="25" t="str">
        <f aca="false">IF(B1686="","",B1686&amp;"|"&amp;J1686)</f>
        <v/>
      </c>
    </row>
    <row r="1687" customFormat="false" ht="15" hidden="false" customHeight="false" outlineLevel="0" collapsed="false">
      <c r="A1687" s="15"/>
      <c r="B1687" s="21"/>
      <c r="C1687" s="21" t="str">
        <f aca="false">IF(B1687="","",IFERROR(INDEX(代理店一覧!$B$5:$B$204,MATCH(B1687,代理店一覧!$A$5:$A$204,0)),"※未登録のID"))</f>
        <v/>
      </c>
      <c r="D1687" s="21"/>
      <c r="E1687" s="21"/>
      <c r="F1687" s="21"/>
      <c r="G1687" s="18"/>
      <c r="H1687" s="21"/>
      <c r="I1687" s="26"/>
      <c r="J1687" s="15"/>
      <c r="K1687" s="27"/>
      <c r="L1687" s="25" t="str">
        <f aca="false">IF(B1687="","",B1687&amp;"|"&amp;J1687)</f>
        <v/>
      </c>
    </row>
    <row r="1688" customFormat="false" ht="15" hidden="false" customHeight="false" outlineLevel="0" collapsed="false">
      <c r="A1688" s="15"/>
      <c r="B1688" s="21"/>
      <c r="C1688" s="21" t="str">
        <f aca="false">IF(B1688="","",IFERROR(INDEX(代理店一覧!$B$5:$B$204,MATCH(B1688,代理店一覧!$A$5:$A$204,0)),"※未登録のID"))</f>
        <v/>
      </c>
      <c r="D1688" s="21"/>
      <c r="E1688" s="21"/>
      <c r="F1688" s="21"/>
      <c r="G1688" s="18"/>
      <c r="H1688" s="21"/>
      <c r="I1688" s="26"/>
      <c r="J1688" s="15"/>
      <c r="K1688" s="27"/>
      <c r="L1688" s="25" t="str">
        <f aca="false">IF(B1688="","",B1688&amp;"|"&amp;J1688)</f>
        <v/>
      </c>
    </row>
    <row r="1689" customFormat="false" ht="15" hidden="false" customHeight="false" outlineLevel="0" collapsed="false">
      <c r="A1689" s="15"/>
      <c r="B1689" s="21"/>
      <c r="C1689" s="21" t="str">
        <f aca="false">IF(B1689="","",IFERROR(INDEX(代理店一覧!$B$5:$B$204,MATCH(B1689,代理店一覧!$A$5:$A$204,0)),"※未登録のID"))</f>
        <v/>
      </c>
      <c r="D1689" s="21"/>
      <c r="E1689" s="21"/>
      <c r="F1689" s="21"/>
      <c r="G1689" s="18"/>
      <c r="H1689" s="21"/>
      <c r="I1689" s="26"/>
      <c r="J1689" s="15"/>
      <c r="K1689" s="27"/>
      <c r="L1689" s="25" t="str">
        <f aca="false">IF(B1689="","",B1689&amp;"|"&amp;J1689)</f>
        <v/>
      </c>
    </row>
    <row r="1690" customFormat="false" ht="15" hidden="false" customHeight="false" outlineLevel="0" collapsed="false">
      <c r="A1690" s="15"/>
      <c r="B1690" s="21"/>
      <c r="C1690" s="21" t="str">
        <f aca="false">IF(B1690="","",IFERROR(INDEX(代理店一覧!$B$5:$B$204,MATCH(B1690,代理店一覧!$A$5:$A$204,0)),"※未登録のID"))</f>
        <v/>
      </c>
      <c r="D1690" s="21"/>
      <c r="E1690" s="21"/>
      <c r="F1690" s="21"/>
      <c r="G1690" s="18"/>
      <c r="H1690" s="21"/>
      <c r="I1690" s="26"/>
      <c r="J1690" s="15"/>
      <c r="K1690" s="27"/>
      <c r="L1690" s="25" t="str">
        <f aca="false">IF(B1690="","",B1690&amp;"|"&amp;J1690)</f>
        <v/>
      </c>
    </row>
    <row r="1691" customFormat="false" ht="15" hidden="false" customHeight="false" outlineLevel="0" collapsed="false">
      <c r="A1691" s="15"/>
      <c r="B1691" s="21"/>
      <c r="C1691" s="21" t="str">
        <f aca="false">IF(B1691="","",IFERROR(INDEX(代理店一覧!$B$5:$B$204,MATCH(B1691,代理店一覧!$A$5:$A$204,0)),"※未登録のID"))</f>
        <v/>
      </c>
      <c r="D1691" s="21"/>
      <c r="E1691" s="21"/>
      <c r="F1691" s="21"/>
      <c r="G1691" s="18"/>
      <c r="H1691" s="21"/>
      <c r="I1691" s="26"/>
      <c r="J1691" s="15"/>
      <c r="K1691" s="27"/>
      <c r="L1691" s="25" t="str">
        <f aca="false">IF(B1691="","",B1691&amp;"|"&amp;J1691)</f>
        <v/>
      </c>
    </row>
    <row r="1692" customFormat="false" ht="15" hidden="false" customHeight="false" outlineLevel="0" collapsed="false">
      <c r="A1692" s="15"/>
      <c r="B1692" s="21"/>
      <c r="C1692" s="21" t="str">
        <f aca="false">IF(B1692="","",IFERROR(INDEX(代理店一覧!$B$5:$B$204,MATCH(B1692,代理店一覧!$A$5:$A$204,0)),"※未登録のID"))</f>
        <v/>
      </c>
      <c r="D1692" s="21"/>
      <c r="E1692" s="21"/>
      <c r="F1692" s="21"/>
      <c r="G1692" s="18"/>
      <c r="H1692" s="21"/>
      <c r="I1692" s="26"/>
      <c r="J1692" s="15"/>
      <c r="K1692" s="27"/>
      <c r="L1692" s="25" t="str">
        <f aca="false">IF(B1692="","",B1692&amp;"|"&amp;J1692)</f>
        <v/>
      </c>
    </row>
    <row r="1693" customFormat="false" ht="15" hidden="false" customHeight="false" outlineLevel="0" collapsed="false">
      <c r="A1693" s="15"/>
      <c r="B1693" s="21"/>
      <c r="C1693" s="21" t="str">
        <f aca="false">IF(B1693="","",IFERROR(INDEX(代理店一覧!$B$5:$B$204,MATCH(B1693,代理店一覧!$A$5:$A$204,0)),"※未登録のID"))</f>
        <v/>
      </c>
      <c r="D1693" s="21"/>
      <c r="E1693" s="21"/>
      <c r="F1693" s="21"/>
      <c r="G1693" s="18"/>
      <c r="H1693" s="21"/>
      <c r="I1693" s="26"/>
      <c r="J1693" s="15"/>
      <c r="K1693" s="27"/>
      <c r="L1693" s="25" t="str">
        <f aca="false">IF(B1693="","",B1693&amp;"|"&amp;J1693)</f>
        <v/>
      </c>
    </row>
    <row r="1694" customFormat="false" ht="15" hidden="false" customHeight="false" outlineLevel="0" collapsed="false">
      <c r="A1694" s="15"/>
      <c r="B1694" s="21"/>
      <c r="C1694" s="21" t="str">
        <f aca="false">IF(B1694="","",IFERROR(INDEX(代理店一覧!$B$5:$B$204,MATCH(B1694,代理店一覧!$A$5:$A$204,0)),"※未登録のID"))</f>
        <v/>
      </c>
      <c r="D1694" s="21"/>
      <c r="E1694" s="21"/>
      <c r="F1694" s="21"/>
      <c r="G1694" s="18"/>
      <c r="H1694" s="21"/>
      <c r="I1694" s="26"/>
      <c r="J1694" s="15"/>
      <c r="K1694" s="27"/>
      <c r="L1694" s="25" t="str">
        <f aca="false">IF(B1694="","",B1694&amp;"|"&amp;J1694)</f>
        <v/>
      </c>
    </row>
    <row r="1695" customFormat="false" ht="15" hidden="false" customHeight="false" outlineLevel="0" collapsed="false">
      <c r="A1695" s="15"/>
      <c r="B1695" s="21"/>
      <c r="C1695" s="21" t="str">
        <f aca="false">IF(B1695="","",IFERROR(INDEX(代理店一覧!$B$5:$B$204,MATCH(B1695,代理店一覧!$A$5:$A$204,0)),"※未登録のID"))</f>
        <v/>
      </c>
      <c r="D1695" s="21"/>
      <c r="E1695" s="21"/>
      <c r="F1695" s="21"/>
      <c r="G1695" s="18"/>
      <c r="H1695" s="21"/>
      <c r="I1695" s="26"/>
      <c r="J1695" s="15"/>
      <c r="K1695" s="27"/>
      <c r="L1695" s="25" t="str">
        <f aca="false">IF(B1695="","",B1695&amp;"|"&amp;J1695)</f>
        <v/>
      </c>
    </row>
    <row r="1696" customFormat="false" ht="15" hidden="false" customHeight="false" outlineLevel="0" collapsed="false">
      <c r="A1696" s="15"/>
      <c r="B1696" s="21"/>
      <c r="C1696" s="21" t="str">
        <f aca="false">IF(B1696="","",IFERROR(INDEX(代理店一覧!$B$5:$B$204,MATCH(B1696,代理店一覧!$A$5:$A$204,0)),"※未登録のID"))</f>
        <v/>
      </c>
      <c r="D1696" s="21"/>
      <c r="E1696" s="21"/>
      <c r="F1696" s="21"/>
      <c r="G1696" s="18"/>
      <c r="H1696" s="21"/>
      <c r="I1696" s="26"/>
      <c r="J1696" s="15"/>
      <c r="K1696" s="27"/>
      <c r="L1696" s="25" t="str">
        <f aca="false">IF(B1696="","",B1696&amp;"|"&amp;J1696)</f>
        <v/>
      </c>
    </row>
    <row r="1697" customFormat="false" ht="15" hidden="false" customHeight="false" outlineLevel="0" collapsed="false">
      <c r="A1697" s="15"/>
      <c r="B1697" s="21"/>
      <c r="C1697" s="21" t="str">
        <f aca="false">IF(B1697="","",IFERROR(INDEX(代理店一覧!$B$5:$B$204,MATCH(B1697,代理店一覧!$A$5:$A$204,0)),"※未登録のID"))</f>
        <v/>
      </c>
      <c r="D1697" s="21"/>
      <c r="E1697" s="21"/>
      <c r="F1697" s="21"/>
      <c r="G1697" s="18"/>
      <c r="H1697" s="21"/>
      <c r="I1697" s="26"/>
      <c r="J1697" s="15"/>
      <c r="K1697" s="27"/>
      <c r="L1697" s="25" t="str">
        <f aca="false">IF(B1697="","",B1697&amp;"|"&amp;J1697)</f>
        <v/>
      </c>
    </row>
    <row r="1698" customFormat="false" ht="15" hidden="false" customHeight="false" outlineLevel="0" collapsed="false">
      <c r="A1698" s="15"/>
      <c r="B1698" s="21"/>
      <c r="C1698" s="21" t="str">
        <f aca="false">IF(B1698="","",IFERROR(INDEX(代理店一覧!$B$5:$B$204,MATCH(B1698,代理店一覧!$A$5:$A$204,0)),"※未登録のID"))</f>
        <v/>
      </c>
      <c r="D1698" s="21"/>
      <c r="E1698" s="21"/>
      <c r="F1698" s="21"/>
      <c r="G1698" s="18"/>
      <c r="H1698" s="21"/>
      <c r="I1698" s="26"/>
      <c r="J1698" s="15"/>
      <c r="K1698" s="27"/>
      <c r="L1698" s="25" t="str">
        <f aca="false">IF(B1698="","",B1698&amp;"|"&amp;J1698)</f>
        <v/>
      </c>
    </row>
    <row r="1699" customFormat="false" ht="15" hidden="false" customHeight="false" outlineLevel="0" collapsed="false">
      <c r="A1699" s="15"/>
      <c r="B1699" s="21"/>
      <c r="C1699" s="21" t="str">
        <f aca="false">IF(B1699="","",IFERROR(INDEX(代理店一覧!$B$5:$B$204,MATCH(B1699,代理店一覧!$A$5:$A$204,0)),"※未登録のID"))</f>
        <v/>
      </c>
      <c r="D1699" s="21"/>
      <c r="E1699" s="21"/>
      <c r="F1699" s="21"/>
      <c r="G1699" s="18"/>
      <c r="H1699" s="21"/>
      <c r="I1699" s="26"/>
      <c r="J1699" s="15"/>
      <c r="K1699" s="27"/>
      <c r="L1699" s="25" t="str">
        <f aca="false">IF(B1699="","",B1699&amp;"|"&amp;J1699)</f>
        <v/>
      </c>
    </row>
    <row r="1700" customFormat="false" ht="15" hidden="false" customHeight="false" outlineLevel="0" collapsed="false">
      <c r="A1700" s="15"/>
      <c r="B1700" s="21"/>
      <c r="C1700" s="21" t="str">
        <f aca="false">IF(B1700="","",IFERROR(INDEX(代理店一覧!$B$5:$B$204,MATCH(B1700,代理店一覧!$A$5:$A$204,0)),"※未登録のID"))</f>
        <v/>
      </c>
      <c r="D1700" s="21"/>
      <c r="E1700" s="21"/>
      <c r="F1700" s="21"/>
      <c r="G1700" s="18"/>
      <c r="H1700" s="21"/>
      <c r="I1700" s="26"/>
      <c r="J1700" s="15"/>
      <c r="K1700" s="27"/>
      <c r="L1700" s="25" t="str">
        <f aca="false">IF(B1700="","",B1700&amp;"|"&amp;J1700)</f>
        <v/>
      </c>
    </row>
    <row r="1701" customFormat="false" ht="15" hidden="false" customHeight="false" outlineLevel="0" collapsed="false">
      <c r="A1701" s="15"/>
      <c r="B1701" s="21"/>
      <c r="C1701" s="21" t="str">
        <f aca="false">IF(B1701="","",IFERROR(INDEX(代理店一覧!$B$5:$B$204,MATCH(B1701,代理店一覧!$A$5:$A$204,0)),"※未登録のID"))</f>
        <v/>
      </c>
      <c r="D1701" s="21"/>
      <c r="E1701" s="21"/>
      <c r="F1701" s="21"/>
      <c r="G1701" s="18"/>
      <c r="H1701" s="21"/>
      <c r="I1701" s="26"/>
      <c r="J1701" s="15"/>
      <c r="K1701" s="27"/>
      <c r="L1701" s="25" t="str">
        <f aca="false">IF(B1701="","",B1701&amp;"|"&amp;J1701)</f>
        <v/>
      </c>
    </row>
    <row r="1702" customFormat="false" ht="15" hidden="false" customHeight="false" outlineLevel="0" collapsed="false">
      <c r="A1702" s="15"/>
      <c r="B1702" s="21"/>
      <c r="C1702" s="21" t="str">
        <f aca="false">IF(B1702="","",IFERROR(INDEX(代理店一覧!$B$5:$B$204,MATCH(B1702,代理店一覧!$A$5:$A$204,0)),"※未登録のID"))</f>
        <v/>
      </c>
      <c r="D1702" s="21"/>
      <c r="E1702" s="21"/>
      <c r="F1702" s="21"/>
      <c r="G1702" s="18"/>
      <c r="H1702" s="21"/>
      <c r="I1702" s="26"/>
      <c r="J1702" s="15"/>
      <c r="K1702" s="27"/>
      <c r="L1702" s="25" t="str">
        <f aca="false">IF(B1702="","",B1702&amp;"|"&amp;J1702)</f>
        <v/>
      </c>
    </row>
    <row r="1703" customFormat="false" ht="15" hidden="false" customHeight="false" outlineLevel="0" collapsed="false">
      <c r="A1703" s="15"/>
      <c r="B1703" s="21"/>
      <c r="C1703" s="21" t="str">
        <f aca="false">IF(B1703="","",IFERROR(INDEX(代理店一覧!$B$5:$B$204,MATCH(B1703,代理店一覧!$A$5:$A$204,0)),"※未登録のID"))</f>
        <v/>
      </c>
      <c r="D1703" s="21"/>
      <c r="E1703" s="21"/>
      <c r="F1703" s="21"/>
      <c r="G1703" s="18"/>
      <c r="H1703" s="21"/>
      <c r="I1703" s="26"/>
      <c r="J1703" s="15"/>
      <c r="K1703" s="27"/>
      <c r="L1703" s="25" t="str">
        <f aca="false">IF(B1703="","",B1703&amp;"|"&amp;J1703)</f>
        <v/>
      </c>
    </row>
    <row r="1704" customFormat="false" ht="15" hidden="false" customHeight="false" outlineLevel="0" collapsed="false">
      <c r="A1704" s="15"/>
      <c r="B1704" s="21"/>
      <c r="C1704" s="21" t="str">
        <f aca="false">IF(B1704="","",IFERROR(INDEX(代理店一覧!$B$5:$B$204,MATCH(B1704,代理店一覧!$A$5:$A$204,0)),"※未登録のID"))</f>
        <v/>
      </c>
      <c r="D1704" s="21"/>
      <c r="E1704" s="21"/>
      <c r="F1704" s="21"/>
      <c r="G1704" s="18"/>
      <c r="H1704" s="21"/>
      <c r="I1704" s="26"/>
      <c r="J1704" s="15"/>
      <c r="K1704" s="27"/>
      <c r="L1704" s="25" t="str">
        <f aca="false">IF(B1704="","",B1704&amp;"|"&amp;J1704)</f>
        <v/>
      </c>
    </row>
    <row r="1705" customFormat="false" ht="15" hidden="false" customHeight="false" outlineLevel="0" collapsed="false">
      <c r="A1705" s="15"/>
      <c r="B1705" s="21"/>
      <c r="C1705" s="21" t="str">
        <f aca="false">IF(B1705="","",IFERROR(INDEX(代理店一覧!$B$5:$B$204,MATCH(B1705,代理店一覧!$A$5:$A$204,0)),"※未登録のID"))</f>
        <v/>
      </c>
      <c r="D1705" s="21"/>
      <c r="E1705" s="21"/>
      <c r="F1705" s="21"/>
      <c r="G1705" s="18"/>
      <c r="H1705" s="21"/>
      <c r="I1705" s="26"/>
      <c r="J1705" s="15"/>
      <c r="K1705" s="27"/>
      <c r="L1705" s="25" t="str">
        <f aca="false">IF(B1705="","",B1705&amp;"|"&amp;J1705)</f>
        <v/>
      </c>
    </row>
    <row r="1706" customFormat="false" ht="15" hidden="false" customHeight="false" outlineLevel="0" collapsed="false">
      <c r="A1706" s="15"/>
      <c r="B1706" s="21"/>
      <c r="C1706" s="21" t="str">
        <f aca="false">IF(B1706="","",IFERROR(INDEX(代理店一覧!$B$5:$B$204,MATCH(B1706,代理店一覧!$A$5:$A$204,0)),"※未登録のID"))</f>
        <v/>
      </c>
      <c r="D1706" s="21"/>
      <c r="E1706" s="21"/>
      <c r="F1706" s="21"/>
      <c r="G1706" s="18"/>
      <c r="H1706" s="21"/>
      <c r="I1706" s="26"/>
      <c r="J1706" s="15"/>
      <c r="K1706" s="27"/>
      <c r="L1706" s="25" t="str">
        <f aca="false">IF(B1706="","",B1706&amp;"|"&amp;J1706)</f>
        <v/>
      </c>
    </row>
    <row r="1707" customFormat="false" ht="15" hidden="false" customHeight="false" outlineLevel="0" collapsed="false">
      <c r="A1707" s="15"/>
      <c r="B1707" s="21"/>
      <c r="C1707" s="21" t="str">
        <f aca="false">IF(B1707="","",IFERROR(INDEX(代理店一覧!$B$5:$B$204,MATCH(B1707,代理店一覧!$A$5:$A$204,0)),"※未登録のID"))</f>
        <v/>
      </c>
      <c r="D1707" s="21"/>
      <c r="E1707" s="21"/>
      <c r="F1707" s="21"/>
      <c r="G1707" s="18"/>
      <c r="H1707" s="21"/>
      <c r="I1707" s="26"/>
      <c r="J1707" s="15"/>
      <c r="K1707" s="27"/>
      <c r="L1707" s="25" t="str">
        <f aca="false">IF(B1707="","",B1707&amp;"|"&amp;J1707)</f>
        <v/>
      </c>
    </row>
    <row r="1708" customFormat="false" ht="15" hidden="false" customHeight="false" outlineLevel="0" collapsed="false">
      <c r="A1708" s="15"/>
      <c r="B1708" s="21"/>
      <c r="C1708" s="21" t="str">
        <f aca="false">IF(B1708="","",IFERROR(INDEX(代理店一覧!$B$5:$B$204,MATCH(B1708,代理店一覧!$A$5:$A$204,0)),"※未登録のID"))</f>
        <v/>
      </c>
      <c r="D1708" s="21"/>
      <c r="E1708" s="21"/>
      <c r="F1708" s="21"/>
      <c r="G1708" s="18"/>
      <c r="H1708" s="21"/>
      <c r="I1708" s="26"/>
      <c r="J1708" s="15"/>
      <c r="K1708" s="27"/>
      <c r="L1708" s="25" t="str">
        <f aca="false">IF(B1708="","",B1708&amp;"|"&amp;J1708)</f>
        <v/>
      </c>
    </row>
    <row r="1709" customFormat="false" ht="15" hidden="false" customHeight="false" outlineLevel="0" collapsed="false">
      <c r="A1709" s="15"/>
      <c r="B1709" s="21"/>
      <c r="C1709" s="21" t="str">
        <f aca="false">IF(B1709="","",IFERROR(INDEX(代理店一覧!$B$5:$B$204,MATCH(B1709,代理店一覧!$A$5:$A$204,0)),"※未登録のID"))</f>
        <v/>
      </c>
      <c r="D1709" s="21"/>
      <c r="E1709" s="21"/>
      <c r="F1709" s="21"/>
      <c r="G1709" s="18"/>
      <c r="H1709" s="21"/>
      <c r="I1709" s="26"/>
      <c r="J1709" s="15"/>
      <c r="K1709" s="27"/>
      <c r="L1709" s="25" t="str">
        <f aca="false">IF(B1709="","",B1709&amp;"|"&amp;J1709)</f>
        <v/>
      </c>
    </row>
    <row r="1710" customFormat="false" ht="15" hidden="false" customHeight="false" outlineLevel="0" collapsed="false">
      <c r="A1710" s="15"/>
      <c r="B1710" s="21"/>
      <c r="C1710" s="21" t="str">
        <f aca="false">IF(B1710="","",IFERROR(INDEX(代理店一覧!$B$5:$B$204,MATCH(B1710,代理店一覧!$A$5:$A$204,0)),"※未登録のID"))</f>
        <v/>
      </c>
      <c r="D1710" s="21"/>
      <c r="E1710" s="21"/>
      <c r="F1710" s="21"/>
      <c r="G1710" s="18"/>
      <c r="H1710" s="21"/>
      <c r="I1710" s="26"/>
      <c r="J1710" s="15"/>
      <c r="K1710" s="27"/>
      <c r="L1710" s="25" t="str">
        <f aca="false">IF(B1710="","",B1710&amp;"|"&amp;J1710)</f>
        <v/>
      </c>
    </row>
    <row r="1711" customFormat="false" ht="15" hidden="false" customHeight="false" outlineLevel="0" collapsed="false">
      <c r="A1711" s="15"/>
      <c r="B1711" s="21"/>
      <c r="C1711" s="21" t="str">
        <f aca="false">IF(B1711="","",IFERROR(INDEX(代理店一覧!$B$5:$B$204,MATCH(B1711,代理店一覧!$A$5:$A$204,0)),"※未登録のID"))</f>
        <v/>
      </c>
      <c r="D1711" s="21"/>
      <c r="E1711" s="21"/>
      <c r="F1711" s="21"/>
      <c r="G1711" s="18"/>
      <c r="H1711" s="21"/>
      <c r="I1711" s="26"/>
      <c r="J1711" s="15"/>
      <c r="K1711" s="27"/>
      <c r="L1711" s="25" t="str">
        <f aca="false">IF(B1711="","",B1711&amp;"|"&amp;J1711)</f>
        <v/>
      </c>
    </row>
    <row r="1712" customFormat="false" ht="15" hidden="false" customHeight="false" outlineLevel="0" collapsed="false">
      <c r="A1712" s="15"/>
      <c r="B1712" s="21"/>
      <c r="C1712" s="21" t="str">
        <f aca="false">IF(B1712="","",IFERROR(INDEX(代理店一覧!$B$5:$B$204,MATCH(B1712,代理店一覧!$A$5:$A$204,0)),"※未登録のID"))</f>
        <v/>
      </c>
      <c r="D1712" s="21"/>
      <c r="E1712" s="21"/>
      <c r="F1712" s="21"/>
      <c r="G1712" s="18"/>
      <c r="H1712" s="21"/>
      <c r="I1712" s="26"/>
      <c r="J1712" s="15"/>
      <c r="K1712" s="27"/>
      <c r="L1712" s="25" t="str">
        <f aca="false">IF(B1712="","",B1712&amp;"|"&amp;J1712)</f>
        <v/>
      </c>
    </row>
    <row r="1713" customFormat="false" ht="15" hidden="false" customHeight="false" outlineLevel="0" collapsed="false">
      <c r="A1713" s="15"/>
      <c r="B1713" s="21"/>
      <c r="C1713" s="21" t="str">
        <f aca="false">IF(B1713="","",IFERROR(INDEX(代理店一覧!$B$5:$B$204,MATCH(B1713,代理店一覧!$A$5:$A$204,0)),"※未登録のID"))</f>
        <v/>
      </c>
      <c r="D1713" s="21"/>
      <c r="E1713" s="21"/>
      <c r="F1713" s="21"/>
      <c r="G1713" s="18"/>
      <c r="H1713" s="21"/>
      <c r="I1713" s="26"/>
      <c r="J1713" s="15"/>
      <c r="K1713" s="27"/>
      <c r="L1713" s="25" t="str">
        <f aca="false">IF(B1713="","",B1713&amp;"|"&amp;J1713)</f>
        <v/>
      </c>
    </row>
    <row r="1714" customFormat="false" ht="15" hidden="false" customHeight="false" outlineLevel="0" collapsed="false">
      <c r="A1714" s="15"/>
      <c r="B1714" s="21"/>
      <c r="C1714" s="21" t="str">
        <f aca="false">IF(B1714="","",IFERROR(INDEX(代理店一覧!$B$5:$B$204,MATCH(B1714,代理店一覧!$A$5:$A$204,0)),"※未登録のID"))</f>
        <v/>
      </c>
      <c r="D1714" s="21"/>
      <c r="E1714" s="21"/>
      <c r="F1714" s="21"/>
      <c r="G1714" s="18"/>
      <c r="H1714" s="21"/>
      <c r="I1714" s="26"/>
      <c r="J1714" s="15"/>
      <c r="K1714" s="27"/>
      <c r="L1714" s="25" t="str">
        <f aca="false">IF(B1714="","",B1714&amp;"|"&amp;J1714)</f>
        <v/>
      </c>
    </row>
    <row r="1715" customFormat="false" ht="15" hidden="false" customHeight="false" outlineLevel="0" collapsed="false">
      <c r="A1715" s="15"/>
      <c r="B1715" s="21"/>
      <c r="C1715" s="21" t="str">
        <f aca="false">IF(B1715="","",IFERROR(INDEX(代理店一覧!$B$5:$B$204,MATCH(B1715,代理店一覧!$A$5:$A$204,0)),"※未登録のID"))</f>
        <v/>
      </c>
      <c r="D1715" s="21"/>
      <c r="E1715" s="21"/>
      <c r="F1715" s="21"/>
      <c r="G1715" s="18"/>
      <c r="H1715" s="21"/>
      <c r="I1715" s="26"/>
      <c r="J1715" s="15"/>
      <c r="K1715" s="27"/>
      <c r="L1715" s="25" t="str">
        <f aca="false">IF(B1715="","",B1715&amp;"|"&amp;J1715)</f>
        <v/>
      </c>
    </row>
    <row r="1716" customFormat="false" ht="15" hidden="false" customHeight="false" outlineLevel="0" collapsed="false">
      <c r="A1716" s="15"/>
      <c r="B1716" s="21"/>
      <c r="C1716" s="21" t="str">
        <f aca="false">IF(B1716="","",IFERROR(INDEX(代理店一覧!$B$5:$B$204,MATCH(B1716,代理店一覧!$A$5:$A$204,0)),"※未登録のID"))</f>
        <v/>
      </c>
      <c r="D1716" s="21"/>
      <c r="E1716" s="21"/>
      <c r="F1716" s="21"/>
      <c r="G1716" s="18"/>
      <c r="H1716" s="21"/>
      <c r="I1716" s="26"/>
      <c r="J1716" s="15"/>
      <c r="K1716" s="27"/>
      <c r="L1716" s="25" t="str">
        <f aca="false">IF(B1716="","",B1716&amp;"|"&amp;J1716)</f>
        <v/>
      </c>
    </row>
    <row r="1717" customFormat="false" ht="15" hidden="false" customHeight="false" outlineLevel="0" collapsed="false">
      <c r="A1717" s="15"/>
      <c r="B1717" s="21"/>
      <c r="C1717" s="21" t="str">
        <f aca="false">IF(B1717="","",IFERROR(INDEX(代理店一覧!$B$5:$B$204,MATCH(B1717,代理店一覧!$A$5:$A$204,0)),"※未登録のID"))</f>
        <v/>
      </c>
      <c r="D1717" s="21"/>
      <c r="E1717" s="21"/>
      <c r="F1717" s="21"/>
      <c r="G1717" s="18"/>
      <c r="H1717" s="21"/>
      <c r="I1717" s="26"/>
      <c r="J1717" s="15"/>
      <c r="K1717" s="27"/>
      <c r="L1717" s="25" t="str">
        <f aca="false">IF(B1717="","",B1717&amp;"|"&amp;J1717)</f>
        <v/>
      </c>
    </row>
    <row r="1718" customFormat="false" ht="15" hidden="false" customHeight="false" outlineLevel="0" collapsed="false">
      <c r="A1718" s="15"/>
      <c r="B1718" s="21"/>
      <c r="C1718" s="21" t="str">
        <f aca="false">IF(B1718="","",IFERROR(INDEX(代理店一覧!$B$5:$B$204,MATCH(B1718,代理店一覧!$A$5:$A$204,0)),"※未登録のID"))</f>
        <v/>
      </c>
      <c r="D1718" s="21"/>
      <c r="E1718" s="21"/>
      <c r="F1718" s="21"/>
      <c r="G1718" s="18"/>
      <c r="H1718" s="21"/>
      <c r="I1718" s="26"/>
      <c r="J1718" s="15"/>
      <c r="K1718" s="27"/>
      <c r="L1718" s="25" t="str">
        <f aca="false">IF(B1718="","",B1718&amp;"|"&amp;J1718)</f>
        <v/>
      </c>
    </row>
    <row r="1719" customFormat="false" ht="15" hidden="false" customHeight="false" outlineLevel="0" collapsed="false">
      <c r="A1719" s="15"/>
      <c r="B1719" s="21"/>
      <c r="C1719" s="21" t="str">
        <f aca="false">IF(B1719="","",IFERROR(INDEX(代理店一覧!$B$5:$B$204,MATCH(B1719,代理店一覧!$A$5:$A$204,0)),"※未登録のID"))</f>
        <v/>
      </c>
      <c r="D1719" s="21"/>
      <c r="E1719" s="21"/>
      <c r="F1719" s="21"/>
      <c r="G1719" s="18"/>
      <c r="H1719" s="21"/>
      <c r="I1719" s="26"/>
      <c r="J1719" s="15"/>
      <c r="K1719" s="27"/>
      <c r="L1719" s="25" t="str">
        <f aca="false">IF(B1719="","",B1719&amp;"|"&amp;J1719)</f>
        <v/>
      </c>
    </row>
    <row r="1720" customFormat="false" ht="15" hidden="false" customHeight="false" outlineLevel="0" collapsed="false">
      <c r="A1720" s="15"/>
      <c r="B1720" s="21"/>
      <c r="C1720" s="21" t="str">
        <f aca="false">IF(B1720="","",IFERROR(INDEX(代理店一覧!$B$5:$B$204,MATCH(B1720,代理店一覧!$A$5:$A$204,0)),"※未登録のID"))</f>
        <v/>
      </c>
      <c r="D1720" s="21"/>
      <c r="E1720" s="21"/>
      <c r="F1720" s="21"/>
      <c r="G1720" s="18"/>
      <c r="H1720" s="21"/>
      <c r="I1720" s="26"/>
      <c r="J1720" s="15"/>
      <c r="K1720" s="27"/>
      <c r="L1720" s="25" t="str">
        <f aca="false">IF(B1720="","",B1720&amp;"|"&amp;J1720)</f>
        <v/>
      </c>
    </row>
    <row r="1721" customFormat="false" ht="15" hidden="false" customHeight="false" outlineLevel="0" collapsed="false">
      <c r="A1721" s="15"/>
      <c r="B1721" s="21"/>
      <c r="C1721" s="21" t="str">
        <f aca="false">IF(B1721="","",IFERROR(INDEX(代理店一覧!$B$5:$B$204,MATCH(B1721,代理店一覧!$A$5:$A$204,0)),"※未登録のID"))</f>
        <v/>
      </c>
      <c r="D1721" s="21"/>
      <c r="E1721" s="21"/>
      <c r="F1721" s="21"/>
      <c r="G1721" s="18"/>
      <c r="H1721" s="21"/>
      <c r="I1721" s="26"/>
      <c r="J1721" s="15"/>
      <c r="K1721" s="27"/>
      <c r="L1721" s="25" t="str">
        <f aca="false">IF(B1721="","",B1721&amp;"|"&amp;J1721)</f>
        <v/>
      </c>
    </row>
    <row r="1722" customFormat="false" ht="15" hidden="false" customHeight="false" outlineLevel="0" collapsed="false">
      <c r="A1722" s="15"/>
      <c r="B1722" s="21"/>
      <c r="C1722" s="21" t="str">
        <f aca="false">IF(B1722="","",IFERROR(INDEX(代理店一覧!$B$5:$B$204,MATCH(B1722,代理店一覧!$A$5:$A$204,0)),"※未登録のID"))</f>
        <v/>
      </c>
      <c r="D1722" s="21"/>
      <c r="E1722" s="21"/>
      <c r="F1722" s="21"/>
      <c r="G1722" s="18"/>
      <c r="H1722" s="21"/>
      <c r="I1722" s="26"/>
      <c r="J1722" s="15"/>
      <c r="K1722" s="27"/>
      <c r="L1722" s="25" t="str">
        <f aca="false">IF(B1722="","",B1722&amp;"|"&amp;J1722)</f>
        <v/>
      </c>
    </row>
    <row r="1723" customFormat="false" ht="15" hidden="false" customHeight="false" outlineLevel="0" collapsed="false">
      <c r="A1723" s="15"/>
      <c r="B1723" s="21"/>
      <c r="C1723" s="21" t="str">
        <f aca="false">IF(B1723="","",IFERROR(INDEX(代理店一覧!$B$5:$B$204,MATCH(B1723,代理店一覧!$A$5:$A$204,0)),"※未登録のID"))</f>
        <v/>
      </c>
      <c r="D1723" s="21"/>
      <c r="E1723" s="21"/>
      <c r="F1723" s="21"/>
      <c r="G1723" s="18"/>
      <c r="H1723" s="21"/>
      <c r="I1723" s="26"/>
      <c r="J1723" s="15"/>
      <c r="K1723" s="27"/>
      <c r="L1723" s="25" t="str">
        <f aca="false">IF(B1723="","",B1723&amp;"|"&amp;J1723)</f>
        <v/>
      </c>
    </row>
    <row r="1724" customFormat="false" ht="15" hidden="false" customHeight="false" outlineLevel="0" collapsed="false">
      <c r="A1724" s="15"/>
      <c r="B1724" s="21"/>
      <c r="C1724" s="21" t="str">
        <f aca="false">IF(B1724="","",IFERROR(INDEX(代理店一覧!$B$5:$B$204,MATCH(B1724,代理店一覧!$A$5:$A$204,0)),"※未登録のID"))</f>
        <v/>
      </c>
      <c r="D1724" s="21"/>
      <c r="E1724" s="21"/>
      <c r="F1724" s="21"/>
      <c r="G1724" s="18"/>
      <c r="H1724" s="21"/>
      <c r="I1724" s="26"/>
      <c r="J1724" s="15"/>
      <c r="K1724" s="27"/>
      <c r="L1724" s="25" t="str">
        <f aca="false">IF(B1724="","",B1724&amp;"|"&amp;J1724)</f>
        <v/>
      </c>
    </row>
    <row r="1725" customFormat="false" ht="15" hidden="false" customHeight="false" outlineLevel="0" collapsed="false">
      <c r="A1725" s="15"/>
      <c r="B1725" s="21"/>
      <c r="C1725" s="21" t="str">
        <f aca="false">IF(B1725="","",IFERROR(INDEX(代理店一覧!$B$5:$B$204,MATCH(B1725,代理店一覧!$A$5:$A$204,0)),"※未登録のID"))</f>
        <v/>
      </c>
      <c r="D1725" s="21"/>
      <c r="E1725" s="21"/>
      <c r="F1725" s="21"/>
      <c r="G1725" s="18"/>
      <c r="H1725" s="21"/>
      <c r="I1725" s="26"/>
      <c r="J1725" s="15"/>
      <c r="K1725" s="27"/>
      <c r="L1725" s="25" t="str">
        <f aca="false">IF(B1725="","",B1725&amp;"|"&amp;J1725)</f>
        <v/>
      </c>
    </row>
    <row r="1726" customFormat="false" ht="15" hidden="false" customHeight="false" outlineLevel="0" collapsed="false">
      <c r="A1726" s="15"/>
      <c r="B1726" s="21"/>
      <c r="C1726" s="21" t="str">
        <f aca="false">IF(B1726="","",IFERROR(INDEX(代理店一覧!$B$5:$B$204,MATCH(B1726,代理店一覧!$A$5:$A$204,0)),"※未登録のID"))</f>
        <v/>
      </c>
      <c r="D1726" s="21"/>
      <c r="E1726" s="21"/>
      <c r="F1726" s="21"/>
      <c r="G1726" s="18"/>
      <c r="H1726" s="21"/>
      <c r="I1726" s="26"/>
      <c r="J1726" s="15"/>
      <c r="K1726" s="27"/>
      <c r="L1726" s="25" t="str">
        <f aca="false">IF(B1726="","",B1726&amp;"|"&amp;J1726)</f>
        <v/>
      </c>
    </row>
    <row r="1727" customFormat="false" ht="15" hidden="false" customHeight="false" outlineLevel="0" collapsed="false">
      <c r="A1727" s="15"/>
      <c r="B1727" s="21"/>
      <c r="C1727" s="21" t="str">
        <f aca="false">IF(B1727="","",IFERROR(INDEX(代理店一覧!$B$5:$B$204,MATCH(B1727,代理店一覧!$A$5:$A$204,0)),"※未登録のID"))</f>
        <v/>
      </c>
      <c r="D1727" s="21"/>
      <c r="E1727" s="21"/>
      <c r="F1727" s="21"/>
      <c r="G1727" s="18"/>
      <c r="H1727" s="21"/>
      <c r="I1727" s="26"/>
      <c r="J1727" s="15"/>
      <c r="K1727" s="27"/>
      <c r="L1727" s="25" t="str">
        <f aca="false">IF(B1727="","",B1727&amp;"|"&amp;J1727)</f>
        <v/>
      </c>
    </row>
    <row r="1728" customFormat="false" ht="15" hidden="false" customHeight="false" outlineLevel="0" collapsed="false">
      <c r="A1728" s="15"/>
      <c r="B1728" s="21"/>
      <c r="C1728" s="21" t="str">
        <f aca="false">IF(B1728="","",IFERROR(INDEX(代理店一覧!$B$5:$B$204,MATCH(B1728,代理店一覧!$A$5:$A$204,0)),"※未登録のID"))</f>
        <v/>
      </c>
      <c r="D1728" s="21"/>
      <c r="E1728" s="21"/>
      <c r="F1728" s="21"/>
      <c r="G1728" s="18"/>
      <c r="H1728" s="21"/>
      <c r="I1728" s="26"/>
      <c r="J1728" s="15"/>
      <c r="K1728" s="27"/>
      <c r="L1728" s="25" t="str">
        <f aca="false">IF(B1728="","",B1728&amp;"|"&amp;J1728)</f>
        <v/>
      </c>
    </row>
    <row r="1729" customFormat="false" ht="15" hidden="false" customHeight="false" outlineLevel="0" collapsed="false">
      <c r="A1729" s="15"/>
      <c r="B1729" s="21"/>
      <c r="C1729" s="21" t="str">
        <f aca="false">IF(B1729="","",IFERROR(INDEX(代理店一覧!$B$5:$B$204,MATCH(B1729,代理店一覧!$A$5:$A$204,0)),"※未登録のID"))</f>
        <v/>
      </c>
      <c r="D1729" s="21"/>
      <c r="E1729" s="21"/>
      <c r="F1729" s="21"/>
      <c r="G1729" s="18"/>
      <c r="H1729" s="21"/>
      <c r="I1729" s="26"/>
      <c r="J1729" s="15"/>
      <c r="K1729" s="27"/>
      <c r="L1729" s="25" t="str">
        <f aca="false">IF(B1729="","",B1729&amp;"|"&amp;J1729)</f>
        <v/>
      </c>
    </row>
    <row r="1730" customFormat="false" ht="15" hidden="false" customHeight="false" outlineLevel="0" collapsed="false">
      <c r="A1730" s="15"/>
      <c r="B1730" s="21"/>
      <c r="C1730" s="21" t="str">
        <f aca="false">IF(B1730="","",IFERROR(INDEX(代理店一覧!$B$5:$B$204,MATCH(B1730,代理店一覧!$A$5:$A$204,0)),"※未登録のID"))</f>
        <v/>
      </c>
      <c r="D1730" s="21"/>
      <c r="E1730" s="21"/>
      <c r="F1730" s="21"/>
      <c r="G1730" s="18"/>
      <c r="H1730" s="21"/>
      <c r="I1730" s="26"/>
      <c r="J1730" s="15"/>
      <c r="K1730" s="27"/>
      <c r="L1730" s="25" t="str">
        <f aca="false">IF(B1730="","",B1730&amp;"|"&amp;J1730)</f>
        <v/>
      </c>
    </row>
    <row r="1731" customFormat="false" ht="15" hidden="false" customHeight="false" outlineLevel="0" collapsed="false">
      <c r="A1731" s="15"/>
      <c r="B1731" s="21"/>
      <c r="C1731" s="21" t="str">
        <f aca="false">IF(B1731="","",IFERROR(INDEX(代理店一覧!$B$5:$B$204,MATCH(B1731,代理店一覧!$A$5:$A$204,0)),"※未登録のID"))</f>
        <v/>
      </c>
      <c r="D1731" s="21"/>
      <c r="E1731" s="21"/>
      <c r="F1731" s="21"/>
      <c r="G1731" s="18"/>
      <c r="H1731" s="21"/>
      <c r="I1731" s="26"/>
      <c r="J1731" s="15"/>
      <c r="K1731" s="27"/>
      <c r="L1731" s="25" t="str">
        <f aca="false">IF(B1731="","",B1731&amp;"|"&amp;J1731)</f>
        <v/>
      </c>
    </row>
    <row r="1732" customFormat="false" ht="15" hidden="false" customHeight="false" outlineLevel="0" collapsed="false">
      <c r="A1732" s="15"/>
      <c r="B1732" s="21"/>
      <c r="C1732" s="21" t="str">
        <f aca="false">IF(B1732="","",IFERROR(INDEX(代理店一覧!$B$5:$B$204,MATCH(B1732,代理店一覧!$A$5:$A$204,0)),"※未登録のID"))</f>
        <v/>
      </c>
      <c r="D1732" s="21"/>
      <c r="E1732" s="21"/>
      <c r="F1732" s="21"/>
      <c r="G1732" s="18"/>
      <c r="H1732" s="21"/>
      <c r="I1732" s="26"/>
      <c r="J1732" s="15"/>
      <c r="K1732" s="27"/>
      <c r="L1732" s="25" t="str">
        <f aca="false">IF(B1732="","",B1732&amp;"|"&amp;J1732)</f>
        <v/>
      </c>
    </row>
    <row r="1733" customFormat="false" ht="15" hidden="false" customHeight="false" outlineLevel="0" collapsed="false">
      <c r="A1733" s="15"/>
      <c r="B1733" s="21"/>
      <c r="C1733" s="21" t="str">
        <f aca="false">IF(B1733="","",IFERROR(INDEX(代理店一覧!$B$5:$B$204,MATCH(B1733,代理店一覧!$A$5:$A$204,0)),"※未登録のID"))</f>
        <v/>
      </c>
      <c r="D1733" s="21"/>
      <c r="E1733" s="21"/>
      <c r="F1733" s="21"/>
      <c r="G1733" s="18"/>
      <c r="H1733" s="21"/>
      <c r="I1733" s="26"/>
      <c r="J1733" s="15"/>
      <c r="K1733" s="27"/>
      <c r="L1733" s="25" t="str">
        <f aca="false">IF(B1733="","",B1733&amp;"|"&amp;J1733)</f>
        <v/>
      </c>
    </row>
    <row r="1734" customFormat="false" ht="15" hidden="false" customHeight="false" outlineLevel="0" collapsed="false">
      <c r="A1734" s="15"/>
      <c r="B1734" s="21"/>
      <c r="C1734" s="21" t="str">
        <f aca="false">IF(B1734="","",IFERROR(INDEX(代理店一覧!$B$5:$B$204,MATCH(B1734,代理店一覧!$A$5:$A$204,0)),"※未登録のID"))</f>
        <v/>
      </c>
      <c r="D1734" s="21"/>
      <c r="E1734" s="21"/>
      <c r="F1734" s="21"/>
      <c r="G1734" s="18"/>
      <c r="H1734" s="21"/>
      <c r="I1734" s="26"/>
      <c r="J1734" s="15"/>
      <c r="K1734" s="27"/>
      <c r="L1734" s="25" t="str">
        <f aca="false">IF(B1734="","",B1734&amp;"|"&amp;J1734)</f>
        <v/>
      </c>
    </row>
    <row r="1735" customFormat="false" ht="15" hidden="false" customHeight="false" outlineLevel="0" collapsed="false">
      <c r="A1735" s="15"/>
      <c r="B1735" s="21"/>
      <c r="C1735" s="21" t="str">
        <f aca="false">IF(B1735="","",IFERROR(INDEX(代理店一覧!$B$5:$B$204,MATCH(B1735,代理店一覧!$A$5:$A$204,0)),"※未登録のID"))</f>
        <v/>
      </c>
      <c r="D1735" s="21"/>
      <c r="E1735" s="21"/>
      <c r="F1735" s="21"/>
      <c r="G1735" s="18"/>
      <c r="H1735" s="21"/>
      <c r="I1735" s="26"/>
      <c r="J1735" s="15"/>
      <c r="K1735" s="27"/>
      <c r="L1735" s="25" t="str">
        <f aca="false">IF(B1735="","",B1735&amp;"|"&amp;J1735)</f>
        <v/>
      </c>
    </row>
    <row r="1736" customFormat="false" ht="15" hidden="false" customHeight="false" outlineLevel="0" collapsed="false">
      <c r="A1736" s="15"/>
      <c r="B1736" s="21"/>
      <c r="C1736" s="21" t="str">
        <f aca="false">IF(B1736="","",IFERROR(INDEX(代理店一覧!$B$5:$B$204,MATCH(B1736,代理店一覧!$A$5:$A$204,0)),"※未登録のID"))</f>
        <v/>
      </c>
      <c r="D1736" s="21"/>
      <c r="E1736" s="21"/>
      <c r="F1736" s="21"/>
      <c r="G1736" s="18"/>
      <c r="H1736" s="21"/>
      <c r="I1736" s="26"/>
      <c r="J1736" s="15"/>
      <c r="K1736" s="27"/>
      <c r="L1736" s="25" t="str">
        <f aca="false">IF(B1736="","",B1736&amp;"|"&amp;J1736)</f>
        <v/>
      </c>
    </row>
    <row r="1737" customFormat="false" ht="15" hidden="false" customHeight="false" outlineLevel="0" collapsed="false">
      <c r="A1737" s="15"/>
      <c r="B1737" s="21"/>
      <c r="C1737" s="21" t="str">
        <f aca="false">IF(B1737="","",IFERROR(INDEX(代理店一覧!$B$5:$B$204,MATCH(B1737,代理店一覧!$A$5:$A$204,0)),"※未登録のID"))</f>
        <v/>
      </c>
      <c r="D1737" s="21"/>
      <c r="E1737" s="21"/>
      <c r="F1737" s="21"/>
      <c r="G1737" s="18"/>
      <c r="H1737" s="21"/>
      <c r="I1737" s="26"/>
      <c r="J1737" s="15"/>
      <c r="K1737" s="27"/>
      <c r="L1737" s="25" t="str">
        <f aca="false">IF(B1737="","",B1737&amp;"|"&amp;J1737)</f>
        <v/>
      </c>
    </row>
    <row r="1738" customFormat="false" ht="15" hidden="false" customHeight="false" outlineLevel="0" collapsed="false">
      <c r="A1738" s="15"/>
      <c r="B1738" s="21"/>
      <c r="C1738" s="21" t="str">
        <f aca="false">IF(B1738="","",IFERROR(INDEX(代理店一覧!$B$5:$B$204,MATCH(B1738,代理店一覧!$A$5:$A$204,0)),"※未登録のID"))</f>
        <v/>
      </c>
      <c r="D1738" s="21"/>
      <c r="E1738" s="21"/>
      <c r="F1738" s="21"/>
      <c r="G1738" s="18"/>
      <c r="H1738" s="21"/>
      <c r="I1738" s="26"/>
      <c r="J1738" s="15"/>
      <c r="K1738" s="27"/>
      <c r="L1738" s="25" t="str">
        <f aca="false">IF(B1738="","",B1738&amp;"|"&amp;J1738)</f>
        <v/>
      </c>
    </row>
    <row r="1739" customFormat="false" ht="15" hidden="false" customHeight="false" outlineLevel="0" collapsed="false">
      <c r="A1739" s="15"/>
      <c r="B1739" s="21"/>
      <c r="C1739" s="21" t="str">
        <f aca="false">IF(B1739="","",IFERROR(INDEX(代理店一覧!$B$5:$B$204,MATCH(B1739,代理店一覧!$A$5:$A$204,0)),"※未登録のID"))</f>
        <v/>
      </c>
      <c r="D1739" s="21"/>
      <c r="E1739" s="21"/>
      <c r="F1739" s="21"/>
      <c r="G1739" s="18"/>
      <c r="H1739" s="21"/>
      <c r="I1739" s="26"/>
      <c r="J1739" s="15"/>
      <c r="K1739" s="27"/>
      <c r="L1739" s="25" t="str">
        <f aca="false">IF(B1739="","",B1739&amp;"|"&amp;J1739)</f>
        <v/>
      </c>
    </row>
    <row r="1740" customFormat="false" ht="15" hidden="false" customHeight="false" outlineLevel="0" collapsed="false">
      <c r="A1740" s="15"/>
      <c r="B1740" s="21"/>
      <c r="C1740" s="21" t="str">
        <f aca="false">IF(B1740="","",IFERROR(INDEX(代理店一覧!$B$5:$B$204,MATCH(B1740,代理店一覧!$A$5:$A$204,0)),"※未登録のID"))</f>
        <v/>
      </c>
      <c r="D1740" s="21"/>
      <c r="E1740" s="21"/>
      <c r="F1740" s="21"/>
      <c r="G1740" s="18"/>
      <c r="H1740" s="21"/>
      <c r="I1740" s="26"/>
      <c r="J1740" s="15"/>
      <c r="K1740" s="27"/>
      <c r="L1740" s="25" t="str">
        <f aca="false">IF(B1740="","",B1740&amp;"|"&amp;J1740)</f>
        <v/>
      </c>
    </row>
    <row r="1741" customFormat="false" ht="15" hidden="false" customHeight="false" outlineLevel="0" collapsed="false">
      <c r="A1741" s="15"/>
      <c r="B1741" s="21"/>
      <c r="C1741" s="21" t="str">
        <f aca="false">IF(B1741="","",IFERROR(INDEX(代理店一覧!$B$5:$B$204,MATCH(B1741,代理店一覧!$A$5:$A$204,0)),"※未登録のID"))</f>
        <v/>
      </c>
      <c r="D1741" s="21"/>
      <c r="E1741" s="21"/>
      <c r="F1741" s="21"/>
      <c r="G1741" s="18"/>
      <c r="H1741" s="21"/>
      <c r="I1741" s="26"/>
      <c r="J1741" s="15"/>
      <c r="K1741" s="27"/>
      <c r="L1741" s="25" t="str">
        <f aca="false">IF(B1741="","",B1741&amp;"|"&amp;J1741)</f>
        <v/>
      </c>
    </row>
    <row r="1742" customFormat="false" ht="15" hidden="false" customHeight="false" outlineLevel="0" collapsed="false">
      <c r="A1742" s="15"/>
      <c r="B1742" s="21"/>
      <c r="C1742" s="21" t="str">
        <f aca="false">IF(B1742="","",IFERROR(INDEX(代理店一覧!$B$5:$B$204,MATCH(B1742,代理店一覧!$A$5:$A$204,0)),"※未登録のID"))</f>
        <v/>
      </c>
      <c r="D1742" s="21"/>
      <c r="E1742" s="21"/>
      <c r="F1742" s="21"/>
      <c r="G1742" s="18"/>
      <c r="H1742" s="21"/>
      <c r="I1742" s="26"/>
      <c r="J1742" s="15"/>
      <c r="K1742" s="27"/>
      <c r="L1742" s="25" t="str">
        <f aca="false">IF(B1742="","",B1742&amp;"|"&amp;J1742)</f>
        <v/>
      </c>
    </row>
    <row r="1743" customFormat="false" ht="15" hidden="false" customHeight="false" outlineLevel="0" collapsed="false">
      <c r="A1743" s="15"/>
      <c r="B1743" s="21"/>
      <c r="C1743" s="21" t="str">
        <f aca="false">IF(B1743="","",IFERROR(INDEX(代理店一覧!$B$5:$B$204,MATCH(B1743,代理店一覧!$A$5:$A$204,0)),"※未登録のID"))</f>
        <v/>
      </c>
      <c r="D1743" s="21"/>
      <c r="E1743" s="21"/>
      <c r="F1743" s="21"/>
      <c r="G1743" s="18"/>
      <c r="H1743" s="21"/>
      <c r="I1743" s="26"/>
      <c r="J1743" s="15"/>
      <c r="K1743" s="27"/>
      <c r="L1743" s="25" t="str">
        <f aca="false">IF(B1743="","",B1743&amp;"|"&amp;J1743)</f>
        <v/>
      </c>
    </row>
    <row r="1744" customFormat="false" ht="15" hidden="false" customHeight="false" outlineLevel="0" collapsed="false">
      <c r="A1744" s="15"/>
      <c r="B1744" s="21"/>
      <c r="C1744" s="21" t="str">
        <f aca="false">IF(B1744="","",IFERROR(INDEX(代理店一覧!$B$5:$B$204,MATCH(B1744,代理店一覧!$A$5:$A$204,0)),"※未登録のID"))</f>
        <v/>
      </c>
      <c r="D1744" s="21"/>
      <c r="E1744" s="21"/>
      <c r="F1744" s="21"/>
      <c r="G1744" s="18"/>
      <c r="H1744" s="21"/>
      <c r="I1744" s="26"/>
      <c r="J1744" s="15"/>
      <c r="K1744" s="27"/>
      <c r="L1744" s="25" t="str">
        <f aca="false">IF(B1744="","",B1744&amp;"|"&amp;J1744)</f>
        <v/>
      </c>
    </row>
    <row r="1745" customFormat="false" ht="15" hidden="false" customHeight="false" outlineLevel="0" collapsed="false">
      <c r="A1745" s="15"/>
      <c r="B1745" s="21"/>
      <c r="C1745" s="21" t="str">
        <f aca="false">IF(B1745="","",IFERROR(INDEX(代理店一覧!$B$5:$B$204,MATCH(B1745,代理店一覧!$A$5:$A$204,0)),"※未登録のID"))</f>
        <v/>
      </c>
      <c r="D1745" s="21"/>
      <c r="E1745" s="21"/>
      <c r="F1745" s="21"/>
      <c r="G1745" s="18"/>
      <c r="H1745" s="21"/>
      <c r="I1745" s="26"/>
      <c r="J1745" s="15"/>
      <c r="K1745" s="27"/>
      <c r="L1745" s="25" t="str">
        <f aca="false">IF(B1745="","",B1745&amp;"|"&amp;J1745)</f>
        <v/>
      </c>
    </row>
    <row r="1746" customFormat="false" ht="15" hidden="false" customHeight="false" outlineLevel="0" collapsed="false">
      <c r="A1746" s="15"/>
      <c r="B1746" s="21"/>
      <c r="C1746" s="21" t="str">
        <f aca="false">IF(B1746="","",IFERROR(INDEX(代理店一覧!$B$5:$B$204,MATCH(B1746,代理店一覧!$A$5:$A$204,0)),"※未登録のID"))</f>
        <v/>
      </c>
      <c r="D1746" s="21"/>
      <c r="E1746" s="21"/>
      <c r="F1746" s="21"/>
      <c r="G1746" s="18"/>
      <c r="H1746" s="21"/>
      <c r="I1746" s="26"/>
      <c r="J1746" s="15"/>
      <c r="K1746" s="27"/>
      <c r="L1746" s="25" t="str">
        <f aca="false">IF(B1746="","",B1746&amp;"|"&amp;J1746)</f>
        <v/>
      </c>
    </row>
    <row r="1747" customFormat="false" ht="15" hidden="false" customHeight="false" outlineLevel="0" collapsed="false">
      <c r="A1747" s="15"/>
      <c r="B1747" s="21"/>
      <c r="C1747" s="21" t="str">
        <f aca="false">IF(B1747="","",IFERROR(INDEX(代理店一覧!$B$5:$B$204,MATCH(B1747,代理店一覧!$A$5:$A$204,0)),"※未登録のID"))</f>
        <v/>
      </c>
      <c r="D1747" s="21"/>
      <c r="E1747" s="21"/>
      <c r="F1747" s="21"/>
      <c r="G1747" s="18"/>
      <c r="H1747" s="21"/>
      <c r="I1747" s="26"/>
      <c r="J1747" s="15"/>
      <c r="K1747" s="27"/>
      <c r="L1747" s="25" t="str">
        <f aca="false">IF(B1747="","",B1747&amp;"|"&amp;J1747)</f>
        <v/>
      </c>
    </row>
    <row r="1748" customFormat="false" ht="15" hidden="false" customHeight="false" outlineLevel="0" collapsed="false">
      <c r="A1748" s="15"/>
      <c r="B1748" s="21"/>
      <c r="C1748" s="21" t="str">
        <f aca="false">IF(B1748="","",IFERROR(INDEX(代理店一覧!$B$5:$B$204,MATCH(B1748,代理店一覧!$A$5:$A$204,0)),"※未登録のID"))</f>
        <v/>
      </c>
      <c r="D1748" s="21"/>
      <c r="E1748" s="21"/>
      <c r="F1748" s="21"/>
      <c r="G1748" s="18"/>
      <c r="H1748" s="21"/>
      <c r="I1748" s="26"/>
      <c r="J1748" s="15"/>
      <c r="K1748" s="27"/>
      <c r="L1748" s="25" t="str">
        <f aca="false">IF(B1748="","",B1748&amp;"|"&amp;J1748)</f>
        <v/>
      </c>
    </row>
    <row r="1749" customFormat="false" ht="15" hidden="false" customHeight="false" outlineLevel="0" collapsed="false">
      <c r="A1749" s="15"/>
      <c r="B1749" s="21"/>
      <c r="C1749" s="21" t="str">
        <f aca="false">IF(B1749="","",IFERROR(INDEX(代理店一覧!$B$5:$B$204,MATCH(B1749,代理店一覧!$A$5:$A$204,0)),"※未登録のID"))</f>
        <v/>
      </c>
      <c r="D1749" s="21"/>
      <c r="E1749" s="21"/>
      <c r="F1749" s="21"/>
      <c r="G1749" s="18"/>
      <c r="H1749" s="21"/>
      <c r="I1749" s="26"/>
      <c r="J1749" s="15"/>
      <c r="K1749" s="27"/>
      <c r="L1749" s="25" t="str">
        <f aca="false">IF(B1749="","",B1749&amp;"|"&amp;J1749)</f>
        <v/>
      </c>
    </row>
    <row r="1750" customFormat="false" ht="15" hidden="false" customHeight="false" outlineLevel="0" collapsed="false">
      <c r="A1750" s="15"/>
      <c r="B1750" s="21"/>
      <c r="C1750" s="21" t="str">
        <f aca="false">IF(B1750="","",IFERROR(INDEX(代理店一覧!$B$5:$B$204,MATCH(B1750,代理店一覧!$A$5:$A$204,0)),"※未登録のID"))</f>
        <v/>
      </c>
      <c r="D1750" s="21"/>
      <c r="E1750" s="21"/>
      <c r="F1750" s="21"/>
      <c r="G1750" s="18"/>
      <c r="H1750" s="21"/>
      <c r="I1750" s="26"/>
      <c r="J1750" s="15"/>
      <c r="K1750" s="27"/>
      <c r="L1750" s="25" t="str">
        <f aca="false">IF(B1750="","",B1750&amp;"|"&amp;J1750)</f>
        <v/>
      </c>
    </row>
    <row r="1751" customFormat="false" ht="15" hidden="false" customHeight="false" outlineLevel="0" collapsed="false">
      <c r="A1751" s="15"/>
      <c r="B1751" s="21"/>
      <c r="C1751" s="21" t="str">
        <f aca="false">IF(B1751="","",IFERROR(INDEX(代理店一覧!$B$5:$B$204,MATCH(B1751,代理店一覧!$A$5:$A$204,0)),"※未登録のID"))</f>
        <v/>
      </c>
      <c r="D1751" s="21"/>
      <c r="E1751" s="21"/>
      <c r="F1751" s="21"/>
      <c r="G1751" s="18"/>
      <c r="H1751" s="21"/>
      <c r="I1751" s="26"/>
      <c r="J1751" s="15"/>
      <c r="K1751" s="27"/>
      <c r="L1751" s="25" t="str">
        <f aca="false">IF(B1751="","",B1751&amp;"|"&amp;J1751)</f>
        <v/>
      </c>
    </row>
    <row r="1752" customFormat="false" ht="15" hidden="false" customHeight="false" outlineLevel="0" collapsed="false">
      <c r="A1752" s="15"/>
      <c r="B1752" s="21"/>
      <c r="C1752" s="21" t="str">
        <f aca="false">IF(B1752="","",IFERROR(INDEX(代理店一覧!$B$5:$B$204,MATCH(B1752,代理店一覧!$A$5:$A$204,0)),"※未登録のID"))</f>
        <v/>
      </c>
      <c r="D1752" s="21"/>
      <c r="E1752" s="21"/>
      <c r="F1752" s="21"/>
      <c r="G1752" s="18"/>
      <c r="H1752" s="21"/>
      <c r="I1752" s="26"/>
      <c r="J1752" s="15"/>
      <c r="K1752" s="27"/>
      <c r="L1752" s="25" t="str">
        <f aca="false">IF(B1752="","",B1752&amp;"|"&amp;J1752)</f>
        <v/>
      </c>
    </row>
    <row r="1753" customFormat="false" ht="15" hidden="false" customHeight="false" outlineLevel="0" collapsed="false">
      <c r="A1753" s="15"/>
      <c r="B1753" s="21"/>
      <c r="C1753" s="21" t="str">
        <f aca="false">IF(B1753="","",IFERROR(INDEX(代理店一覧!$B$5:$B$204,MATCH(B1753,代理店一覧!$A$5:$A$204,0)),"※未登録のID"))</f>
        <v/>
      </c>
      <c r="D1753" s="21"/>
      <c r="E1753" s="21"/>
      <c r="F1753" s="21"/>
      <c r="G1753" s="18"/>
      <c r="H1753" s="21"/>
      <c r="I1753" s="26"/>
      <c r="J1753" s="15"/>
      <c r="K1753" s="27"/>
      <c r="L1753" s="25" t="str">
        <f aca="false">IF(B1753="","",B1753&amp;"|"&amp;J1753)</f>
        <v/>
      </c>
    </row>
    <row r="1754" customFormat="false" ht="15" hidden="false" customHeight="false" outlineLevel="0" collapsed="false">
      <c r="A1754" s="15"/>
      <c r="B1754" s="21"/>
      <c r="C1754" s="21" t="str">
        <f aca="false">IF(B1754="","",IFERROR(INDEX(代理店一覧!$B$5:$B$204,MATCH(B1754,代理店一覧!$A$5:$A$204,0)),"※未登録のID"))</f>
        <v/>
      </c>
      <c r="D1754" s="21"/>
      <c r="E1754" s="21"/>
      <c r="F1754" s="21"/>
      <c r="G1754" s="18"/>
      <c r="H1754" s="21"/>
      <c r="I1754" s="26"/>
      <c r="J1754" s="15"/>
      <c r="K1754" s="27"/>
      <c r="L1754" s="25" t="str">
        <f aca="false">IF(B1754="","",B1754&amp;"|"&amp;J1754)</f>
        <v/>
      </c>
    </row>
    <row r="1755" customFormat="false" ht="15" hidden="false" customHeight="false" outlineLevel="0" collapsed="false">
      <c r="A1755" s="15"/>
      <c r="B1755" s="21"/>
      <c r="C1755" s="21" t="str">
        <f aca="false">IF(B1755="","",IFERROR(INDEX(代理店一覧!$B$5:$B$204,MATCH(B1755,代理店一覧!$A$5:$A$204,0)),"※未登録のID"))</f>
        <v/>
      </c>
      <c r="D1755" s="21"/>
      <c r="E1755" s="21"/>
      <c r="F1755" s="21"/>
      <c r="G1755" s="18"/>
      <c r="H1755" s="21"/>
      <c r="I1755" s="26"/>
      <c r="J1755" s="15"/>
      <c r="K1755" s="27"/>
      <c r="L1755" s="25" t="str">
        <f aca="false">IF(B1755="","",B1755&amp;"|"&amp;J1755)</f>
        <v/>
      </c>
    </row>
    <row r="1756" customFormat="false" ht="15" hidden="false" customHeight="false" outlineLevel="0" collapsed="false">
      <c r="A1756" s="15"/>
      <c r="B1756" s="21"/>
      <c r="C1756" s="21" t="str">
        <f aca="false">IF(B1756="","",IFERROR(INDEX(代理店一覧!$B$5:$B$204,MATCH(B1756,代理店一覧!$A$5:$A$204,0)),"※未登録のID"))</f>
        <v/>
      </c>
      <c r="D1756" s="21"/>
      <c r="E1756" s="21"/>
      <c r="F1756" s="21"/>
      <c r="G1756" s="18"/>
      <c r="H1756" s="21"/>
      <c r="I1756" s="26"/>
      <c r="J1756" s="15"/>
      <c r="K1756" s="27"/>
      <c r="L1756" s="25" t="str">
        <f aca="false">IF(B1756="","",B1756&amp;"|"&amp;J1756)</f>
        <v/>
      </c>
    </row>
    <row r="1757" customFormat="false" ht="15" hidden="false" customHeight="false" outlineLevel="0" collapsed="false">
      <c r="A1757" s="15"/>
      <c r="B1757" s="21"/>
      <c r="C1757" s="21" t="str">
        <f aca="false">IF(B1757="","",IFERROR(INDEX(代理店一覧!$B$5:$B$204,MATCH(B1757,代理店一覧!$A$5:$A$204,0)),"※未登録のID"))</f>
        <v/>
      </c>
      <c r="D1757" s="21"/>
      <c r="E1757" s="21"/>
      <c r="F1757" s="21"/>
      <c r="G1757" s="18"/>
      <c r="H1757" s="21"/>
      <c r="I1757" s="26"/>
      <c r="J1757" s="15"/>
      <c r="K1757" s="27"/>
      <c r="L1757" s="25" t="str">
        <f aca="false">IF(B1757="","",B1757&amp;"|"&amp;J1757)</f>
        <v/>
      </c>
    </row>
    <row r="1758" customFormat="false" ht="15" hidden="false" customHeight="false" outlineLevel="0" collapsed="false">
      <c r="A1758" s="15"/>
      <c r="B1758" s="21"/>
      <c r="C1758" s="21" t="str">
        <f aca="false">IF(B1758="","",IFERROR(INDEX(代理店一覧!$B$5:$B$204,MATCH(B1758,代理店一覧!$A$5:$A$204,0)),"※未登録のID"))</f>
        <v/>
      </c>
      <c r="D1758" s="21"/>
      <c r="E1758" s="21"/>
      <c r="F1758" s="21"/>
      <c r="G1758" s="18"/>
      <c r="H1758" s="21"/>
      <c r="I1758" s="26"/>
      <c r="J1758" s="15"/>
      <c r="K1758" s="27"/>
      <c r="L1758" s="25" t="str">
        <f aca="false">IF(B1758="","",B1758&amp;"|"&amp;J1758)</f>
        <v/>
      </c>
    </row>
    <row r="1759" customFormat="false" ht="15" hidden="false" customHeight="false" outlineLevel="0" collapsed="false">
      <c r="A1759" s="15"/>
      <c r="B1759" s="21"/>
      <c r="C1759" s="21" t="str">
        <f aca="false">IF(B1759="","",IFERROR(INDEX(代理店一覧!$B$5:$B$204,MATCH(B1759,代理店一覧!$A$5:$A$204,0)),"※未登録のID"))</f>
        <v/>
      </c>
      <c r="D1759" s="21"/>
      <c r="E1759" s="21"/>
      <c r="F1759" s="21"/>
      <c r="G1759" s="18"/>
      <c r="H1759" s="21"/>
      <c r="I1759" s="26"/>
      <c r="J1759" s="15"/>
      <c r="K1759" s="27"/>
      <c r="L1759" s="25" t="str">
        <f aca="false">IF(B1759="","",B1759&amp;"|"&amp;J1759)</f>
        <v/>
      </c>
    </row>
    <row r="1760" customFormat="false" ht="15" hidden="false" customHeight="false" outlineLevel="0" collapsed="false">
      <c r="A1760" s="15"/>
      <c r="B1760" s="21"/>
      <c r="C1760" s="21" t="str">
        <f aca="false">IF(B1760="","",IFERROR(INDEX(代理店一覧!$B$5:$B$204,MATCH(B1760,代理店一覧!$A$5:$A$204,0)),"※未登録のID"))</f>
        <v/>
      </c>
      <c r="D1760" s="21"/>
      <c r="E1760" s="21"/>
      <c r="F1760" s="21"/>
      <c r="G1760" s="18"/>
      <c r="H1760" s="21"/>
      <c r="I1760" s="26"/>
      <c r="J1760" s="15"/>
      <c r="K1760" s="27"/>
      <c r="L1760" s="25" t="str">
        <f aca="false">IF(B1760="","",B1760&amp;"|"&amp;J1760)</f>
        <v/>
      </c>
    </row>
    <row r="1761" customFormat="false" ht="15" hidden="false" customHeight="false" outlineLevel="0" collapsed="false">
      <c r="A1761" s="15"/>
      <c r="B1761" s="21"/>
      <c r="C1761" s="21" t="str">
        <f aca="false">IF(B1761="","",IFERROR(INDEX(代理店一覧!$B$5:$B$204,MATCH(B1761,代理店一覧!$A$5:$A$204,0)),"※未登録のID"))</f>
        <v/>
      </c>
      <c r="D1761" s="21"/>
      <c r="E1761" s="21"/>
      <c r="F1761" s="21"/>
      <c r="G1761" s="18"/>
      <c r="H1761" s="21"/>
      <c r="I1761" s="26"/>
      <c r="J1761" s="15"/>
      <c r="K1761" s="27"/>
      <c r="L1761" s="25" t="str">
        <f aca="false">IF(B1761="","",B1761&amp;"|"&amp;J1761)</f>
        <v/>
      </c>
    </row>
    <row r="1762" customFormat="false" ht="15" hidden="false" customHeight="false" outlineLevel="0" collapsed="false">
      <c r="A1762" s="15"/>
      <c r="B1762" s="21"/>
      <c r="C1762" s="21" t="str">
        <f aca="false">IF(B1762="","",IFERROR(INDEX(代理店一覧!$B$5:$B$204,MATCH(B1762,代理店一覧!$A$5:$A$204,0)),"※未登録のID"))</f>
        <v/>
      </c>
      <c r="D1762" s="21"/>
      <c r="E1762" s="21"/>
      <c r="F1762" s="21"/>
      <c r="G1762" s="18"/>
      <c r="H1762" s="21"/>
      <c r="I1762" s="26"/>
      <c r="J1762" s="15"/>
      <c r="K1762" s="27"/>
      <c r="L1762" s="25" t="str">
        <f aca="false">IF(B1762="","",B1762&amp;"|"&amp;J1762)</f>
        <v/>
      </c>
    </row>
    <row r="1763" customFormat="false" ht="15" hidden="false" customHeight="false" outlineLevel="0" collapsed="false">
      <c r="A1763" s="15"/>
      <c r="B1763" s="21"/>
      <c r="C1763" s="21" t="str">
        <f aca="false">IF(B1763="","",IFERROR(INDEX(代理店一覧!$B$5:$B$204,MATCH(B1763,代理店一覧!$A$5:$A$204,0)),"※未登録のID"))</f>
        <v/>
      </c>
      <c r="D1763" s="21"/>
      <c r="E1763" s="21"/>
      <c r="F1763" s="21"/>
      <c r="G1763" s="18"/>
      <c r="H1763" s="21"/>
      <c r="I1763" s="26"/>
      <c r="J1763" s="15"/>
      <c r="K1763" s="27"/>
      <c r="L1763" s="25" t="str">
        <f aca="false">IF(B1763="","",B1763&amp;"|"&amp;J1763)</f>
        <v/>
      </c>
    </row>
    <row r="1764" customFormat="false" ht="15" hidden="false" customHeight="false" outlineLevel="0" collapsed="false">
      <c r="A1764" s="15"/>
      <c r="B1764" s="21"/>
      <c r="C1764" s="21" t="str">
        <f aca="false">IF(B1764="","",IFERROR(INDEX(代理店一覧!$B$5:$B$204,MATCH(B1764,代理店一覧!$A$5:$A$204,0)),"※未登録のID"))</f>
        <v/>
      </c>
      <c r="D1764" s="21"/>
      <c r="E1764" s="21"/>
      <c r="F1764" s="21"/>
      <c r="G1764" s="18"/>
      <c r="H1764" s="21"/>
      <c r="I1764" s="26"/>
      <c r="J1764" s="15"/>
      <c r="K1764" s="27"/>
      <c r="L1764" s="25" t="str">
        <f aca="false">IF(B1764="","",B1764&amp;"|"&amp;J1764)</f>
        <v/>
      </c>
    </row>
    <row r="1765" customFormat="false" ht="15" hidden="false" customHeight="false" outlineLevel="0" collapsed="false">
      <c r="A1765" s="15"/>
      <c r="B1765" s="21"/>
      <c r="C1765" s="21" t="str">
        <f aca="false">IF(B1765="","",IFERROR(INDEX(代理店一覧!$B$5:$B$204,MATCH(B1765,代理店一覧!$A$5:$A$204,0)),"※未登録のID"))</f>
        <v/>
      </c>
      <c r="D1765" s="21"/>
      <c r="E1765" s="21"/>
      <c r="F1765" s="21"/>
      <c r="G1765" s="18"/>
      <c r="H1765" s="21"/>
      <c r="I1765" s="26"/>
      <c r="J1765" s="15"/>
      <c r="K1765" s="27"/>
      <c r="L1765" s="25" t="str">
        <f aca="false">IF(B1765="","",B1765&amp;"|"&amp;J1765)</f>
        <v/>
      </c>
    </row>
    <row r="1766" customFormat="false" ht="15" hidden="false" customHeight="false" outlineLevel="0" collapsed="false">
      <c r="A1766" s="15"/>
      <c r="B1766" s="21"/>
      <c r="C1766" s="21" t="str">
        <f aca="false">IF(B1766="","",IFERROR(INDEX(代理店一覧!$B$5:$B$204,MATCH(B1766,代理店一覧!$A$5:$A$204,0)),"※未登録のID"))</f>
        <v/>
      </c>
      <c r="D1766" s="21"/>
      <c r="E1766" s="21"/>
      <c r="F1766" s="21"/>
      <c r="G1766" s="18"/>
      <c r="H1766" s="21"/>
      <c r="I1766" s="26"/>
      <c r="J1766" s="15"/>
      <c r="K1766" s="27"/>
      <c r="L1766" s="25" t="str">
        <f aca="false">IF(B1766="","",B1766&amp;"|"&amp;J1766)</f>
        <v/>
      </c>
    </row>
    <row r="1767" customFormat="false" ht="15" hidden="false" customHeight="false" outlineLevel="0" collapsed="false">
      <c r="A1767" s="15"/>
      <c r="B1767" s="21"/>
      <c r="C1767" s="21" t="str">
        <f aca="false">IF(B1767="","",IFERROR(INDEX(代理店一覧!$B$5:$B$204,MATCH(B1767,代理店一覧!$A$5:$A$204,0)),"※未登録のID"))</f>
        <v/>
      </c>
      <c r="D1767" s="21"/>
      <c r="E1767" s="21"/>
      <c r="F1767" s="21"/>
      <c r="G1767" s="18"/>
      <c r="H1767" s="21"/>
      <c r="I1767" s="26"/>
      <c r="J1767" s="15"/>
      <c r="K1767" s="27"/>
      <c r="L1767" s="25" t="str">
        <f aca="false">IF(B1767="","",B1767&amp;"|"&amp;J1767)</f>
        <v/>
      </c>
    </row>
    <row r="1768" customFormat="false" ht="15" hidden="false" customHeight="false" outlineLevel="0" collapsed="false">
      <c r="A1768" s="15"/>
      <c r="B1768" s="21"/>
      <c r="C1768" s="21" t="str">
        <f aca="false">IF(B1768="","",IFERROR(INDEX(代理店一覧!$B$5:$B$204,MATCH(B1768,代理店一覧!$A$5:$A$204,0)),"※未登録のID"))</f>
        <v/>
      </c>
      <c r="D1768" s="21"/>
      <c r="E1768" s="21"/>
      <c r="F1768" s="21"/>
      <c r="G1768" s="18"/>
      <c r="H1768" s="21"/>
      <c r="I1768" s="26"/>
      <c r="J1768" s="15"/>
      <c r="K1768" s="27"/>
      <c r="L1768" s="25" t="str">
        <f aca="false">IF(B1768="","",B1768&amp;"|"&amp;J1768)</f>
        <v/>
      </c>
    </row>
    <row r="1769" customFormat="false" ht="15" hidden="false" customHeight="false" outlineLevel="0" collapsed="false">
      <c r="A1769" s="15"/>
      <c r="B1769" s="21"/>
      <c r="C1769" s="21" t="str">
        <f aca="false">IF(B1769="","",IFERROR(INDEX(代理店一覧!$B$5:$B$204,MATCH(B1769,代理店一覧!$A$5:$A$204,0)),"※未登録のID"))</f>
        <v/>
      </c>
      <c r="D1769" s="21"/>
      <c r="E1769" s="21"/>
      <c r="F1769" s="21"/>
      <c r="G1769" s="18"/>
      <c r="H1769" s="21"/>
      <c r="I1769" s="26"/>
      <c r="J1769" s="15"/>
      <c r="K1769" s="27"/>
      <c r="L1769" s="25" t="str">
        <f aca="false">IF(B1769="","",B1769&amp;"|"&amp;J1769)</f>
        <v/>
      </c>
    </row>
    <row r="1770" customFormat="false" ht="15" hidden="false" customHeight="false" outlineLevel="0" collapsed="false">
      <c r="A1770" s="15"/>
      <c r="B1770" s="21"/>
      <c r="C1770" s="21" t="str">
        <f aca="false">IF(B1770="","",IFERROR(INDEX(代理店一覧!$B$5:$B$204,MATCH(B1770,代理店一覧!$A$5:$A$204,0)),"※未登録のID"))</f>
        <v/>
      </c>
      <c r="D1770" s="21"/>
      <c r="E1770" s="21"/>
      <c r="F1770" s="21"/>
      <c r="G1770" s="18"/>
      <c r="H1770" s="21"/>
      <c r="I1770" s="26"/>
      <c r="J1770" s="15"/>
      <c r="K1770" s="27"/>
      <c r="L1770" s="25" t="str">
        <f aca="false">IF(B1770="","",B1770&amp;"|"&amp;J1770)</f>
        <v/>
      </c>
    </row>
    <row r="1771" customFormat="false" ht="15" hidden="false" customHeight="false" outlineLevel="0" collapsed="false">
      <c r="A1771" s="15"/>
      <c r="B1771" s="21"/>
      <c r="C1771" s="21" t="str">
        <f aca="false">IF(B1771="","",IFERROR(INDEX(代理店一覧!$B$5:$B$204,MATCH(B1771,代理店一覧!$A$5:$A$204,0)),"※未登録のID"))</f>
        <v/>
      </c>
      <c r="D1771" s="21"/>
      <c r="E1771" s="21"/>
      <c r="F1771" s="21"/>
      <c r="G1771" s="18"/>
      <c r="H1771" s="21"/>
      <c r="I1771" s="26"/>
      <c r="J1771" s="15"/>
      <c r="K1771" s="27"/>
      <c r="L1771" s="25" t="str">
        <f aca="false">IF(B1771="","",B1771&amp;"|"&amp;J1771)</f>
        <v/>
      </c>
    </row>
    <row r="1772" customFormat="false" ht="15" hidden="false" customHeight="false" outlineLevel="0" collapsed="false">
      <c r="A1772" s="15"/>
      <c r="B1772" s="21"/>
      <c r="C1772" s="21" t="str">
        <f aca="false">IF(B1772="","",IFERROR(INDEX(代理店一覧!$B$5:$B$204,MATCH(B1772,代理店一覧!$A$5:$A$204,0)),"※未登録のID"))</f>
        <v/>
      </c>
      <c r="D1772" s="21"/>
      <c r="E1772" s="21"/>
      <c r="F1772" s="21"/>
      <c r="G1772" s="18"/>
      <c r="H1772" s="21"/>
      <c r="I1772" s="26"/>
      <c r="J1772" s="15"/>
      <c r="K1772" s="27"/>
      <c r="L1772" s="25" t="str">
        <f aca="false">IF(B1772="","",B1772&amp;"|"&amp;J1772)</f>
        <v/>
      </c>
    </row>
    <row r="1773" customFormat="false" ht="15" hidden="false" customHeight="false" outlineLevel="0" collapsed="false">
      <c r="A1773" s="15"/>
      <c r="B1773" s="21"/>
      <c r="C1773" s="21" t="str">
        <f aca="false">IF(B1773="","",IFERROR(INDEX(代理店一覧!$B$5:$B$204,MATCH(B1773,代理店一覧!$A$5:$A$204,0)),"※未登録のID"))</f>
        <v/>
      </c>
      <c r="D1773" s="21"/>
      <c r="E1773" s="21"/>
      <c r="F1773" s="21"/>
      <c r="G1773" s="18"/>
      <c r="H1773" s="21"/>
      <c r="I1773" s="26"/>
      <c r="J1773" s="15"/>
      <c r="K1773" s="27"/>
      <c r="L1773" s="25" t="str">
        <f aca="false">IF(B1773="","",B1773&amp;"|"&amp;J1773)</f>
        <v/>
      </c>
    </row>
    <row r="1774" customFormat="false" ht="15" hidden="false" customHeight="false" outlineLevel="0" collapsed="false">
      <c r="A1774" s="15"/>
      <c r="B1774" s="21"/>
      <c r="C1774" s="21" t="str">
        <f aca="false">IF(B1774="","",IFERROR(INDEX(代理店一覧!$B$5:$B$204,MATCH(B1774,代理店一覧!$A$5:$A$204,0)),"※未登録のID"))</f>
        <v/>
      </c>
      <c r="D1774" s="21"/>
      <c r="E1774" s="21"/>
      <c r="F1774" s="21"/>
      <c r="G1774" s="18"/>
      <c r="H1774" s="21"/>
      <c r="I1774" s="26"/>
      <c r="J1774" s="15"/>
      <c r="K1774" s="27"/>
      <c r="L1774" s="25" t="str">
        <f aca="false">IF(B1774="","",B1774&amp;"|"&amp;J1774)</f>
        <v/>
      </c>
    </row>
    <row r="1775" customFormat="false" ht="15" hidden="false" customHeight="false" outlineLevel="0" collapsed="false">
      <c r="A1775" s="15"/>
      <c r="B1775" s="21"/>
      <c r="C1775" s="21" t="str">
        <f aca="false">IF(B1775="","",IFERROR(INDEX(代理店一覧!$B$5:$B$204,MATCH(B1775,代理店一覧!$A$5:$A$204,0)),"※未登録のID"))</f>
        <v/>
      </c>
      <c r="D1775" s="21"/>
      <c r="E1775" s="21"/>
      <c r="F1775" s="21"/>
      <c r="G1775" s="18"/>
      <c r="H1775" s="21"/>
      <c r="I1775" s="26"/>
      <c r="J1775" s="15"/>
      <c r="K1775" s="27"/>
      <c r="L1775" s="25" t="str">
        <f aca="false">IF(B1775="","",B1775&amp;"|"&amp;J1775)</f>
        <v/>
      </c>
    </row>
    <row r="1776" customFormat="false" ht="15" hidden="false" customHeight="false" outlineLevel="0" collapsed="false">
      <c r="A1776" s="15"/>
      <c r="B1776" s="21"/>
      <c r="C1776" s="21" t="str">
        <f aca="false">IF(B1776="","",IFERROR(INDEX(代理店一覧!$B$5:$B$204,MATCH(B1776,代理店一覧!$A$5:$A$204,0)),"※未登録のID"))</f>
        <v/>
      </c>
      <c r="D1776" s="21"/>
      <c r="E1776" s="21"/>
      <c r="F1776" s="21"/>
      <c r="G1776" s="18"/>
      <c r="H1776" s="21"/>
      <c r="I1776" s="26"/>
      <c r="J1776" s="15"/>
      <c r="K1776" s="27"/>
      <c r="L1776" s="25" t="str">
        <f aca="false">IF(B1776="","",B1776&amp;"|"&amp;J1776)</f>
        <v/>
      </c>
    </row>
    <row r="1777" customFormat="false" ht="15" hidden="false" customHeight="false" outlineLevel="0" collapsed="false">
      <c r="A1777" s="15"/>
      <c r="B1777" s="21"/>
      <c r="C1777" s="21" t="str">
        <f aca="false">IF(B1777="","",IFERROR(INDEX(代理店一覧!$B$5:$B$204,MATCH(B1777,代理店一覧!$A$5:$A$204,0)),"※未登録のID"))</f>
        <v/>
      </c>
      <c r="D1777" s="21"/>
      <c r="E1777" s="21"/>
      <c r="F1777" s="21"/>
      <c r="G1777" s="18"/>
      <c r="H1777" s="21"/>
      <c r="I1777" s="26"/>
      <c r="J1777" s="15"/>
      <c r="K1777" s="27"/>
      <c r="L1777" s="25" t="str">
        <f aca="false">IF(B1777="","",B1777&amp;"|"&amp;J1777)</f>
        <v/>
      </c>
    </row>
    <row r="1778" customFormat="false" ht="15" hidden="false" customHeight="false" outlineLevel="0" collapsed="false">
      <c r="A1778" s="15"/>
      <c r="B1778" s="21"/>
      <c r="C1778" s="21" t="str">
        <f aca="false">IF(B1778="","",IFERROR(INDEX(代理店一覧!$B$5:$B$204,MATCH(B1778,代理店一覧!$A$5:$A$204,0)),"※未登録のID"))</f>
        <v/>
      </c>
      <c r="D1778" s="21"/>
      <c r="E1778" s="21"/>
      <c r="F1778" s="21"/>
      <c r="G1778" s="18"/>
      <c r="H1778" s="21"/>
      <c r="I1778" s="26"/>
      <c r="J1778" s="15"/>
      <c r="K1778" s="27"/>
      <c r="L1778" s="25" t="str">
        <f aca="false">IF(B1778="","",B1778&amp;"|"&amp;J1778)</f>
        <v/>
      </c>
    </row>
    <row r="1779" customFormat="false" ht="15" hidden="false" customHeight="false" outlineLevel="0" collapsed="false">
      <c r="A1779" s="15"/>
      <c r="B1779" s="21"/>
      <c r="C1779" s="21" t="str">
        <f aca="false">IF(B1779="","",IFERROR(INDEX(代理店一覧!$B$5:$B$204,MATCH(B1779,代理店一覧!$A$5:$A$204,0)),"※未登録のID"))</f>
        <v/>
      </c>
      <c r="D1779" s="21"/>
      <c r="E1779" s="21"/>
      <c r="F1779" s="21"/>
      <c r="G1779" s="18"/>
      <c r="H1779" s="21"/>
      <c r="I1779" s="26"/>
      <c r="J1779" s="15"/>
      <c r="K1779" s="27"/>
      <c r="L1779" s="25" t="str">
        <f aca="false">IF(B1779="","",B1779&amp;"|"&amp;J1779)</f>
        <v/>
      </c>
    </row>
    <row r="1780" customFormat="false" ht="15" hidden="false" customHeight="false" outlineLevel="0" collapsed="false">
      <c r="A1780" s="15"/>
      <c r="B1780" s="21"/>
      <c r="C1780" s="21" t="str">
        <f aca="false">IF(B1780="","",IFERROR(INDEX(代理店一覧!$B$5:$B$204,MATCH(B1780,代理店一覧!$A$5:$A$204,0)),"※未登録のID"))</f>
        <v/>
      </c>
      <c r="D1780" s="21"/>
      <c r="E1780" s="21"/>
      <c r="F1780" s="21"/>
      <c r="G1780" s="18"/>
      <c r="H1780" s="21"/>
      <c r="I1780" s="26"/>
      <c r="J1780" s="15"/>
      <c r="K1780" s="27"/>
      <c r="L1780" s="25" t="str">
        <f aca="false">IF(B1780="","",B1780&amp;"|"&amp;J1780)</f>
        <v/>
      </c>
    </row>
    <row r="1781" customFormat="false" ht="15" hidden="false" customHeight="false" outlineLevel="0" collapsed="false">
      <c r="A1781" s="15"/>
      <c r="B1781" s="21"/>
      <c r="C1781" s="21" t="str">
        <f aca="false">IF(B1781="","",IFERROR(INDEX(代理店一覧!$B$5:$B$204,MATCH(B1781,代理店一覧!$A$5:$A$204,0)),"※未登録のID"))</f>
        <v/>
      </c>
      <c r="D1781" s="21"/>
      <c r="E1781" s="21"/>
      <c r="F1781" s="21"/>
      <c r="G1781" s="18"/>
      <c r="H1781" s="21"/>
      <c r="I1781" s="26"/>
      <c r="J1781" s="15"/>
      <c r="K1781" s="27"/>
      <c r="L1781" s="25" t="str">
        <f aca="false">IF(B1781="","",B1781&amp;"|"&amp;J1781)</f>
        <v/>
      </c>
    </row>
    <row r="1782" customFormat="false" ht="15" hidden="false" customHeight="false" outlineLevel="0" collapsed="false">
      <c r="A1782" s="15"/>
      <c r="B1782" s="21"/>
      <c r="C1782" s="21" t="str">
        <f aca="false">IF(B1782="","",IFERROR(INDEX(代理店一覧!$B$5:$B$204,MATCH(B1782,代理店一覧!$A$5:$A$204,0)),"※未登録のID"))</f>
        <v/>
      </c>
      <c r="D1782" s="21"/>
      <c r="E1782" s="21"/>
      <c r="F1782" s="21"/>
      <c r="G1782" s="18"/>
      <c r="H1782" s="21"/>
      <c r="I1782" s="26"/>
      <c r="J1782" s="15"/>
      <c r="K1782" s="27"/>
      <c r="L1782" s="25" t="str">
        <f aca="false">IF(B1782="","",B1782&amp;"|"&amp;J1782)</f>
        <v/>
      </c>
    </row>
    <row r="1783" customFormat="false" ht="15" hidden="false" customHeight="false" outlineLevel="0" collapsed="false">
      <c r="A1783" s="15"/>
      <c r="B1783" s="21"/>
      <c r="C1783" s="21" t="str">
        <f aca="false">IF(B1783="","",IFERROR(INDEX(代理店一覧!$B$5:$B$204,MATCH(B1783,代理店一覧!$A$5:$A$204,0)),"※未登録のID"))</f>
        <v/>
      </c>
      <c r="D1783" s="21"/>
      <c r="E1783" s="21"/>
      <c r="F1783" s="21"/>
      <c r="G1783" s="18"/>
      <c r="H1783" s="21"/>
      <c r="I1783" s="26"/>
      <c r="J1783" s="15"/>
      <c r="K1783" s="27"/>
      <c r="L1783" s="25" t="str">
        <f aca="false">IF(B1783="","",B1783&amp;"|"&amp;J1783)</f>
        <v/>
      </c>
    </row>
    <row r="1784" customFormat="false" ht="15" hidden="false" customHeight="false" outlineLevel="0" collapsed="false">
      <c r="A1784" s="15"/>
      <c r="B1784" s="21"/>
      <c r="C1784" s="21" t="str">
        <f aca="false">IF(B1784="","",IFERROR(INDEX(代理店一覧!$B$5:$B$204,MATCH(B1784,代理店一覧!$A$5:$A$204,0)),"※未登録のID"))</f>
        <v/>
      </c>
      <c r="D1784" s="21"/>
      <c r="E1784" s="21"/>
      <c r="F1784" s="21"/>
      <c r="G1784" s="18"/>
      <c r="H1784" s="21"/>
      <c r="I1784" s="26"/>
      <c r="J1784" s="15"/>
      <c r="K1784" s="27"/>
      <c r="L1784" s="25" t="str">
        <f aca="false">IF(B1784="","",B1784&amp;"|"&amp;J1784)</f>
        <v/>
      </c>
    </row>
    <row r="1785" customFormat="false" ht="15" hidden="false" customHeight="false" outlineLevel="0" collapsed="false">
      <c r="A1785" s="15"/>
      <c r="B1785" s="21"/>
      <c r="C1785" s="21" t="str">
        <f aca="false">IF(B1785="","",IFERROR(INDEX(代理店一覧!$B$5:$B$204,MATCH(B1785,代理店一覧!$A$5:$A$204,0)),"※未登録のID"))</f>
        <v/>
      </c>
      <c r="D1785" s="21"/>
      <c r="E1785" s="21"/>
      <c r="F1785" s="21"/>
      <c r="G1785" s="18"/>
      <c r="H1785" s="21"/>
      <c r="I1785" s="26"/>
      <c r="J1785" s="15"/>
      <c r="K1785" s="27"/>
      <c r="L1785" s="25" t="str">
        <f aca="false">IF(B1785="","",B1785&amp;"|"&amp;J1785)</f>
        <v/>
      </c>
    </row>
    <row r="1786" customFormat="false" ht="15" hidden="false" customHeight="false" outlineLevel="0" collapsed="false">
      <c r="A1786" s="15"/>
      <c r="B1786" s="21"/>
      <c r="C1786" s="21" t="str">
        <f aca="false">IF(B1786="","",IFERROR(INDEX(代理店一覧!$B$5:$B$204,MATCH(B1786,代理店一覧!$A$5:$A$204,0)),"※未登録のID"))</f>
        <v/>
      </c>
      <c r="D1786" s="21"/>
      <c r="E1786" s="21"/>
      <c r="F1786" s="21"/>
      <c r="G1786" s="18"/>
      <c r="H1786" s="21"/>
      <c r="I1786" s="26"/>
      <c r="J1786" s="15"/>
      <c r="K1786" s="27"/>
      <c r="L1786" s="25" t="str">
        <f aca="false">IF(B1786="","",B1786&amp;"|"&amp;J1786)</f>
        <v/>
      </c>
    </row>
    <row r="1787" customFormat="false" ht="15" hidden="false" customHeight="false" outlineLevel="0" collapsed="false">
      <c r="A1787" s="15"/>
      <c r="B1787" s="21"/>
      <c r="C1787" s="21" t="str">
        <f aca="false">IF(B1787="","",IFERROR(INDEX(代理店一覧!$B$5:$B$204,MATCH(B1787,代理店一覧!$A$5:$A$204,0)),"※未登録のID"))</f>
        <v/>
      </c>
      <c r="D1787" s="21"/>
      <c r="E1787" s="21"/>
      <c r="F1787" s="21"/>
      <c r="G1787" s="18"/>
      <c r="H1787" s="21"/>
      <c r="I1787" s="26"/>
      <c r="J1787" s="15"/>
      <c r="K1787" s="27"/>
      <c r="L1787" s="25" t="str">
        <f aca="false">IF(B1787="","",B1787&amp;"|"&amp;J1787)</f>
        <v/>
      </c>
    </row>
    <row r="1788" customFormat="false" ht="15" hidden="false" customHeight="false" outlineLevel="0" collapsed="false">
      <c r="A1788" s="15"/>
      <c r="B1788" s="21"/>
      <c r="C1788" s="21" t="str">
        <f aca="false">IF(B1788="","",IFERROR(INDEX(代理店一覧!$B$5:$B$204,MATCH(B1788,代理店一覧!$A$5:$A$204,0)),"※未登録のID"))</f>
        <v/>
      </c>
      <c r="D1788" s="21"/>
      <c r="E1788" s="21"/>
      <c r="F1788" s="21"/>
      <c r="G1788" s="18"/>
      <c r="H1788" s="21"/>
      <c r="I1788" s="26"/>
      <c r="J1788" s="15"/>
      <c r="K1788" s="27"/>
      <c r="L1788" s="25" t="str">
        <f aca="false">IF(B1788="","",B1788&amp;"|"&amp;J1788)</f>
        <v/>
      </c>
    </row>
    <row r="1789" customFormat="false" ht="15" hidden="false" customHeight="false" outlineLevel="0" collapsed="false">
      <c r="A1789" s="15"/>
      <c r="B1789" s="21"/>
      <c r="C1789" s="21" t="str">
        <f aca="false">IF(B1789="","",IFERROR(INDEX(代理店一覧!$B$5:$B$204,MATCH(B1789,代理店一覧!$A$5:$A$204,0)),"※未登録のID"))</f>
        <v/>
      </c>
      <c r="D1789" s="21"/>
      <c r="E1789" s="21"/>
      <c r="F1789" s="21"/>
      <c r="G1789" s="18"/>
      <c r="H1789" s="21"/>
      <c r="I1789" s="26"/>
      <c r="J1789" s="15"/>
      <c r="K1789" s="27"/>
      <c r="L1789" s="25" t="str">
        <f aca="false">IF(B1789="","",B1789&amp;"|"&amp;J1789)</f>
        <v/>
      </c>
    </row>
    <row r="1790" customFormat="false" ht="15" hidden="false" customHeight="false" outlineLevel="0" collapsed="false">
      <c r="A1790" s="15"/>
      <c r="B1790" s="21"/>
      <c r="C1790" s="21" t="str">
        <f aca="false">IF(B1790="","",IFERROR(INDEX(代理店一覧!$B$5:$B$204,MATCH(B1790,代理店一覧!$A$5:$A$204,0)),"※未登録のID"))</f>
        <v/>
      </c>
      <c r="D1790" s="21"/>
      <c r="E1790" s="21"/>
      <c r="F1790" s="21"/>
      <c r="G1790" s="18"/>
      <c r="H1790" s="21"/>
      <c r="I1790" s="26"/>
      <c r="J1790" s="15"/>
      <c r="K1790" s="27"/>
      <c r="L1790" s="25" t="str">
        <f aca="false">IF(B1790="","",B1790&amp;"|"&amp;J1790)</f>
        <v/>
      </c>
    </row>
    <row r="1791" customFormat="false" ht="15" hidden="false" customHeight="false" outlineLevel="0" collapsed="false">
      <c r="A1791" s="15"/>
      <c r="B1791" s="21"/>
      <c r="C1791" s="21" t="str">
        <f aca="false">IF(B1791="","",IFERROR(INDEX(代理店一覧!$B$5:$B$204,MATCH(B1791,代理店一覧!$A$5:$A$204,0)),"※未登録のID"))</f>
        <v/>
      </c>
      <c r="D1791" s="21"/>
      <c r="E1791" s="21"/>
      <c r="F1791" s="21"/>
      <c r="G1791" s="18"/>
      <c r="H1791" s="21"/>
      <c r="I1791" s="26"/>
      <c r="J1791" s="15"/>
      <c r="K1791" s="27"/>
      <c r="L1791" s="25" t="str">
        <f aca="false">IF(B1791="","",B1791&amp;"|"&amp;J1791)</f>
        <v/>
      </c>
    </row>
    <row r="1792" customFormat="false" ht="15" hidden="false" customHeight="false" outlineLevel="0" collapsed="false">
      <c r="A1792" s="15"/>
      <c r="B1792" s="21"/>
      <c r="C1792" s="21" t="str">
        <f aca="false">IF(B1792="","",IFERROR(INDEX(代理店一覧!$B$5:$B$204,MATCH(B1792,代理店一覧!$A$5:$A$204,0)),"※未登録のID"))</f>
        <v/>
      </c>
      <c r="D1792" s="21"/>
      <c r="E1792" s="21"/>
      <c r="F1792" s="21"/>
      <c r="G1792" s="18"/>
      <c r="H1792" s="21"/>
      <c r="I1792" s="26"/>
      <c r="J1792" s="15"/>
      <c r="K1792" s="27"/>
      <c r="L1792" s="25" t="str">
        <f aca="false">IF(B1792="","",B1792&amp;"|"&amp;J1792)</f>
        <v/>
      </c>
    </row>
    <row r="1793" customFormat="false" ht="15" hidden="false" customHeight="false" outlineLevel="0" collapsed="false">
      <c r="A1793" s="15"/>
      <c r="B1793" s="21"/>
      <c r="C1793" s="21" t="str">
        <f aca="false">IF(B1793="","",IFERROR(INDEX(代理店一覧!$B$5:$B$204,MATCH(B1793,代理店一覧!$A$5:$A$204,0)),"※未登録のID"))</f>
        <v/>
      </c>
      <c r="D1793" s="21"/>
      <c r="E1793" s="21"/>
      <c r="F1793" s="21"/>
      <c r="G1793" s="18"/>
      <c r="H1793" s="21"/>
      <c r="I1793" s="26"/>
      <c r="J1793" s="15"/>
      <c r="K1793" s="27"/>
      <c r="L1793" s="25" t="str">
        <f aca="false">IF(B1793="","",B1793&amp;"|"&amp;J1793)</f>
        <v/>
      </c>
    </row>
    <row r="1794" customFormat="false" ht="15" hidden="false" customHeight="false" outlineLevel="0" collapsed="false">
      <c r="A1794" s="15"/>
      <c r="B1794" s="21"/>
      <c r="C1794" s="21" t="str">
        <f aca="false">IF(B1794="","",IFERROR(INDEX(代理店一覧!$B$5:$B$204,MATCH(B1794,代理店一覧!$A$5:$A$204,0)),"※未登録のID"))</f>
        <v/>
      </c>
      <c r="D1794" s="21"/>
      <c r="E1794" s="21"/>
      <c r="F1794" s="21"/>
      <c r="G1794" s="18"/>
      <c r="H1794" s="21"/>
      <c r="I1794" s="26"/>
      <c r="J1794" s="15"/>
      <c r="K1794" s="27"/>
      <c r="L1794" s="25" t="str">
        <f aca="false">IF(B1794="","",B1794&amp;"|"&amp;J1794)</f>
        <v/>
      </c>
    </row>
    <row r="1795" customFormat="false" ht="15" hidden="false" customHeight="false" outlineLevel="0" collapsed="false">
      <c r="A1795" s="15"/>
      <c r="B1795" s="21"/>
      <c r="C1795" s="21" t="str">
        <f aca="false">IF(B1795="","",IFERROR(INDEX(代理店一覧!$B$5:$B$204,MATCH(B1795,代理店一覧!$A$5:$A$204,0)),"※未登録のID"))</f>
        <v/>
      </c>
      <c r="D1795" s="21"/>
      <c r="E1795" s="21"/>
      <c r="F1795" s="21"/>
      <c r="G1795" s="18"/>
      <c r="H1795" s="21"/>
      <c r="I1795" s="26"/>
      <c r="J1795" s="15"/>
      <c r="K1795" s="27"/>
      <c r="L1795" s="25" t="str">
        <f aca="false">IF(B1795="","",B1795&amp;"|"&amp;J1795)</f>
        <v/>
      </c>
    </row>
    <row r="1796" customFormat="false" ht="15" hidden="false" customHeight="false" outlineLevel="0" collapsed="false">
      <c r="A1796" s="15"/>
      <c r="B1796" s="21"/>
      <c r="C1796" s="21" t="str">
        <f aca="false">IF(B1796="","",IFERROR(INDEX(代理店一覧!$B$5:$B$204,MATCH(B1796,代理店一覧!$A$5:$A$204,0)),"※未登録のID"))</f>
        <v/>
      </c>
      <c r="D1796" s="21"/>
      <c r="E1796" s="21"/>
      <c r="F1796" s="21"/>
      <c r="G1796" s="18"/>
      <c r="H1796" s="21"/>
      <c r="I1796" s="26"/>
      <c r="J1796" s="15"/>
      <c r="K1796" s="27"/>
      <c r="L1796" s="25" t="str">
        <f aca="false">IF(B1796="","",B1796&amp;"|"&amp;J1796)</f>
        <v/>
      </c>
    </row>
    <row r="1797" customFormat="false" ht="15" hidden="false" customHeight="false" outlineLevel="0" collapsed="false">
      <c r="A1797" s="15"/>
      <c r="B1797" s="21"/>
      <c r="C1797" s="21" t="str">
        <f aca="false">IF(B1797="","",IFERROR(INDEX(代理店一覧!$B$5:$B$204,MATCH(B1797,代理店一覧!$A$5:$A$204,0)),"※未登録のID"))</f>
        <v/>
      </c>
      <c r="D1797" s="21"/>
      <c r="E1797" s="21"/>
      <c r="F1797" s="21"/>
      <c r="G1797" s="18"/>
      <c r="H1797" s="21"/>
      <c r="I1797" s="26"/>
      <c r="J1797" s="15"/>
      <c r="K1797" s="27"/>
      <c r="L1797" s="25" t="str">
        <f aca="false">IF(B1797="","",B1797&amp;"|"&amp;J1797)</f>
        <v/>
      </c>
    </row>
    <row r="1798" customFormat="false" ht="15" hidden="false" customHeight="false" outlineLevel="0" collapsed="false">
      <c r="A1798" s="15"/>
      <c r="B1798" s="21"/>
      <c r="C1798" s="21" t="str">
        <f aca="false">IF(B1798="","",IFERROR(INDEX(代理店一覧!$B$5:$B$204,MATCH(B1798,代理店一覧!$A$5:$A$204,0)),"※未登録のID"))</f>
        <v/>
      </c>
      <c r="D1798" s="21"/>
      <c r="E1798" s="21"/>
      <c r="F1798" s="21"/>
      <c r="G1798" s="18"/>
      <c r="H1798" s="21"/>
      <c r="I1798" s="26"/>
      <c r="J1798" s="15"/>
      <c r="K1798" s="27"/>
      <c r="L1798" s="25" t="str">
        <f aca="false">IF(B1798="","",B1798&amp;"|"&amp;J1798)</f>
        <v/>
      </c>
    </row>
    <row r="1799" customFormat="false" ht="15" hidden="false" customHeight="false" outlineLevel="0" collapsed="false">
      <c r="A1799" s="15"/>
      <c r="B1799" s="21"/>
      <c r="C1799" s="21" t="str">
        <f aca="false">IF(B1799="","",IFERROR(INDEX(代理店一覧!$B$5:$B$204,MATCH(B1799,代理店一覧!$A$5:$A$204,0)),"※未登録のID"))</f>
        <v/>
      </c>
      <c r="D1799" s="21"/>
      <c r="E1799" s="21"/>
      <c r="F1799" s="21"/>
      <c r="G1799" s="18"/>
      <c r="H1799" s="21"/>
      <c r="I1799" s="26"/>
      <c r="J1799" s="15"/>
      <c r="K1799" s="27"/>
      <c r="L1799" s="25" t="str">
        <f aca="false">IF(B1799="","",B1799&amp;"|"&amp;J1799)</f>
        <v/>
      </c>
    </row>
    <row r="1800" customFormat="false" ht="15" hidden="false" customHeight="false" outlineLevel="0" collapsed="false">
      <c r="A1800" s="15"/>
      <c r="B1800" s="21"/>
      <c r="C1800" s="21" t="str">
        <f aca="false">IF(B1800="","",IFERROR(INDEX(代理店一覧!$B$5:$B$204,MATCH(B1800,代理店一覧!$A$5:$A$204,0)),"※未登録のID"))</f>
        <v/>
      </c>
      <c r="D1800" s="21"/>
      <c r="E1800" s="21"/>
      <c r="F1800" s="21"/>
      <c r="G1800" s="18"/>
      <c r="H1800" s="21"/>
      <c r="I1800" s="26"/>
      <c r="J1800" s="15"/>
      <c r="K1800" s="27"/>
      <c r="L1800" s="25" t="str">
        <f aca="false">IF(B1800="","",B1800&amp;"|"&amp;J1800)</f>
        <v/>
      </c>
    </row>
    <row r="1801" customFormat="false" ht="15" hidden="false" customHeight="false" outlineLevel="0" collapsed="false">
      <c r="A1801" s="15"/>
      <c r="B1801" s="21"/>
      <c r="C1801" s="21" t="str">
        <f aca="false">IF(B1801="","",IFERROR(INDEX(代理店一覧!$B$5:$B$204,MATCH(B1801,代理店一覧!$A$5:$A$204,0)),"※未登録のID"))</f>
        <v/>
      </c>
      <c r="D1801" s="21"/>
      <c r="E1801" s="21"/>
      <c r="F1801" s="21"/>
      <c r="G1801" s="18"/>
      <c r="H1801" s="21"/>
      <c r="I1801" s="26"/>
      <c r="J1801" s="15"/>
      <c r="K1801" s="27"/>
      <c r="L1801" s="25" t="str">
        <f aca="false">IF(B1801="","",B1801&amp;"|"&amp;J1801)</f>
        <v/>
      </c>
    </row>
    <row r="1802" customFormat="false" ht="15" hidden="false" customHeight="false" outlineLevel="0" collapsed="false">
      <c r="A1802" s="15"/>
      <c r="B1802" s="21"/>
      <c r="C1802" s="21" t="str">
        <f aca="false">IF(B1802="","",IFERROR(INDEX(代理店一覧!$B$5:$B$204,MATCH(B1802,代理店一覧!$A$5:$A$204,0)),"※未登録のID"))</f>
        <v/>
      </c>
      <c r="D1802" s="21"/>
      <c r="E1802" s="21"/>
      <c r="F1802" s="21"/>
      <c r="G1802" s="18"/>
      <c r="H1802" s="21"/>
      <c r="I1802" s="26"/>
      <c r="J1802" s="15"/>
      <c r="K1802" s="27"/>
      <c r="L1802" s="25" t="str">
        <f aca="false">IF(B1802="","",B1802&amp;"|"&amp;J1802)</f>
        <v/>
      </c>
    </row>
    <row r="1803" customFormat="false" ht="15" hidden="false" customHeight="false" outlineLevel="0" collapsed="false">
      <c r="A1803" s="15"/>
      <c r="B1803" s="21"/>
      <c r="C1803" s="21" t="str">
        <f aca="false">IF(B1803="","",IFERROR(INDEX(代理店一覧!$B$5:$B$204,MATCH(B1803,代理店一覧!$A$5:$A$204,0)),"※未登録のID"))</f>
        <v/>
      </c>
      <c r="D1803" s="21"/>
      <c r="E1803" s="21"/>
      <c r="F1803" s="21"/>
      <c r="G1803" s="18"/>
      <c r="H1803" s="21"/>
      <c r="I1803" s="26"/>
      <c r="J1803" s="15"/>
      <c r="K1803" s="27"/>
      <c r="L1803" s="25" t="str">
        <f aca="false">IF(B1803="","",B1803&amp;"|"&amp;J1803)</f>
        <v/>
      </c>
    </row>
    <row r="1804" customFormat="false" ht="15" hidden="false" customHeight="false" outlineLevel="0" collapsed="false">
      <c r="A1804" s="15"/>
      <c r="B1804" s="21"/>
      <c r="C1804" s="21" t="str">
        <f aca="false">IF(B1804="","",IFERROR(INDEX(代理店一覧!$B$5:$B$204,MATCH(B1804,代理店一覧!$A$5:$A$204,0)),"※未登録のID"))</f>
        <v/>
      </c>
      <c r="D1804" s="21"/>
      <c r="E1804" s="21"/>
      <c r="F1804" s="21"/>
      <c r="G1804" s="18"/>
      <c r="H1804" s="21"/>
      <c r="I1804" s="26"/>
      <c r="J1804" s="15"/>
      <c r="K1804" s="27"/>
      <c r="L1804" s="25" t="str">
        <f aca="false">IF(B1804="","",B1804&amp;"|"&amp;J1804)</f>
        <v/>
      </c>
    </row>
    <row r="1805" customFormat="false" ht="15" hidden="false" customHeight="false" outlineLevel="0" collapsed="false">
      <c r="A1805" s="15"/>
      <c r="B1805" s="21"/>
      <c r="C1805" s="21" t="str">
        <f aca="false">IF(B1805="","",IFERROR(INDEX(代理店一覧!$B$5:$B$204,MATCH(B1805,代理店一覧!$A$5:$A$204,0)),"※未登録のID"))</f>
        <v/>
      </c>
      <c r="D1805" s="21"/>
      <c r="E1805" s="21"/>
      <c r="F1805" s="21"/>
      <c r="G1805" s="18"/>
      <c r="H1805" s="21"/>
      <c r="I1805" s="26"/>
      <c r="J1805" s="15"/>
      <c r="K1805" s="27"/>
      <c r="L1805" s="25" t="str">
        <f aca="false">IF(B1805="","",B1805&amp;"|"&amp;J1805)</f>
        <v/>
      </c>
    </row>
    <row r="1806" customFormat="false" ht="15" hidden="false" customHeight="false" outlineLevel="0" collapsed="false">
      <c r="A1806" s="15"/>
      <c r="B1806" s="21"/>
      <c r="C1806" s="21" t="str">
        <f aca="false">IF(B1806="","",IFERROR(INDEX(代理店一覧!$B$5:$B$204,MATCH(B1806,代理店一覧!$A$5:$A$204,0)),"※未登録のID"))</f>
        <v/>
      </c>
      <c r="D1806" s="21"/>
      <c r="E1806" s="21"/>
      <c r="F1806" s="21"/>
      <c r="G1806" s="18"/>
      <c r="H1806" s="21"/>
      <c r="I1806" s="26"/>
      <c r="J1806" s="15"/>
      <c r="K1806" s="27"/>
      <c r="L1806" s="25" t="str">
        <f aca="false">IF(B1806="","",B1806&amp;"|"&amp;J1806)</f>
        <v/>
      </c>
    </row>
    <row r="1807" customFormat="false" ht="15" hidden="false" customHeight="false" outlineLevel="0" collapsed="false">
      <c r="A1807" s="15"/>
      <c r="B1807" s="21"/>
      <c r="C1807" s="21" t="str">
        <f aca="false">IF(B1807="","",IFERROR(INDEX(代理店一覧!$B$5:$B$204,MATCH(B1807,代理店一覧!$A$5:$A$204,0)),"※未登録のID"))</f>
        <v/>
      </c>
      <c r="D1807" s="21"/>
      <c r="E1807" s="21"/>
      <c r="F1807" s="21"/>
      <c r="G1807" s="18"/>
      <c r="H1807" s="21"/>
      <c r="I1807" s="26"/>
      <c r="J1807" s="15"/>
      <c r="K1807" s="27"/>
      <c r="L1807" s="25" t="str">
        <f aca="false">IF(B1807="","",B1807&amp;"|"&amp;J1807)</f>
        <v/>
      </c>
    </row>
    <row r="1808" customFormat="false" ht="15" hidden="false" customHeight="false" outlineLevel="0" collapsed="false">
      <c r="A1808" s="15"/>
      <c r="B1808" s="21"/>
      <c r="C1808" s="21" t="str">
        <f aca="false">IF(B1808="","",IFERROR(INDEX(代理店一覧!$B$5:$B$204,MATCH(B1808,代理店一覧!$A$5:$A$204,0)),"※未登録のID"))</f>
        <v/>
      </c>
      <c r="D1808" s="21"/>
      <c r="E1808" s="21"/>
      <c r="F1808" s="21"/>
      <c r="G1808" s="18"/>
      <c r="H1808" s="21"/>
      <c r="I1808" s="26"/>
      <c r="J1808" s="15"/>
      <c r="K1808" s="27"/>
      <c r="L1808" s="25" t="str">
        <f aca="false">IF(B1808="","",B1808&amp;"|"&amp;J1808)</f>
        <v/>
      </c>
    </row>
    <row r="1809" customFormat="false" ht="15" hidden="false" customHeight="false" outlineLevel="0" collapsed="false">
      <c r="A1809" s="15"/>
      <c r="B1809" s="21"/>
      <c r="C1809" s="21" t="str">
        <f aca="false">IF(B1809="","",IFERROR(INDEX(代理店一覧!$B$5:$B$204,MATCH(B1809,代理店一覧!$A$5:$A$204,0)),"※未登録のID"))</f>
        <v/>
      </c>
      <c r="D1809" s="21"/>
      <c r="E1809" s="21"/>
      <c r="F1809" s="21"/>
      <c r="G1809" s="18"/>
      <c r="H1809" s="21"/>
      <c r="I1809" s="26"/>
      <c r="J1809" s="15"/>
      <c r="K1809" s="27"/>
      <c r="L1809" s="25" t="str">
        <f aca="false">IF(B1809="","",B1809&amp;"|"&amp;J1809)</f>
        <v/>
      </c>
    </row>
    <row r="1810" customFormat="false" ht="15" hidden="false" customHeight="false" outlineLevel="0" collapsed="false">
      <c r="A1810" s="15"/>
      <c r="B1810" s="21"/>
      <c r="C1810" s="21" t="str">
        <f aca="false">IF(B1810="","",IFERROR(INDEX(代理店一覧!$B$5:$B$204,MATCH(B1810,代理店一覧!$A$5:$A$204,0)),"※未登録のID"))</f>
        <v/>
      </c>
      <c r="D1810" s="21"/>
      <c r="E1810" s="21"/>
      <c r="F1810" s="21"/>
      <c r="G1810" s="18"/>
      <c r="H1810" s="21"/>
      <c r="I1810" s="26"/>
      <c r="J1810" s="15"/>
      <c r="K1810" s="27"/>
      <c r="L1810" s="25" t="str">
        <f aca="false">IF(B1810="","",B1810&amp;"|"&amp;J1810)</f>
        <v/>
      </c>
    </row>
    <row r="1811" customFormat="false" ht="15" hidden="false" customHeight="false" outlineLevel="0" collapsed="false">
      <c r="A1811" s="15"/>
      <c r="B1811" s="21"/>
      <c r="C1811" s="21" t="str">
        <f aca="false">IF(B1811="","",IFERROR(INDEX(代理店一覧!$B$5:$B$204,MATCH(B1811,代理店一覧!$A$5:$A$204,0)),"※未登録のID"))</f>
        <v/>
      </c>
      <c r="D1811" s="21"/>
      <c r="E1811" s="21"/>
      <c r="F1811" s="21"/>
      <c r="G1811" s="18"/>
      <c r="H1811" s="21"/>
      <c r="I1811" s="26"/>
      <c r="J1811" s="15"/>
      <c r="K1811" s="27"/>
      <c r="L1811" s="25" t="str">
        <f aca="false">IF(B1811="","",B1811&amp;"|"&amp;J1811)</f>
        <v/>
      </c>
    </row>
    <row r="1812" customFormat="false" ht="15" hidden="false" customHeight="false" outlineLevel="0" collapsed="false">
      <c r="A1812" s="15"/>
      <c r="B1812" s="21"/>
      <c r="C1812" s="21" t="str">
        <f aca="false">IF(B1812="","",IFERROR(INDEX(代理店一覧!$B$5:$B$204,MATCH(B1812,代理店一覧!$A$5:$A$204,0)),"※未登録のID"))</f>
        <v/>
      </c>
      <c r="D1812" s="21"/>
      <c r="E1812" s="21"/>
      <c r="F1812" s="21"/>
      <c r="G1812" s="18"/>
      <c r="H1812" s="21"/>
      <c r="I1812" s="26"/>
      <c r="J1812" s="15"/>
      <c r="K1812" s="27"/>
      <c r="L1812" s="25" t="str">
        <f aca="false">IF(B1812="","",B1812&amp;"|"&amp;J1812)</f>
        <v/>
      </c>
    </row>
    <row r="1813" customFormat="false" ht="15" hidden="false" customHeight="false" outlineLevel="0" collapsed="false">
      <c r="A1813" s="15"/>
      <c r="B1813" s="21"/>
      <c r="C1813" s="21" t="str">
        <f aca="false">IF(B1813="","",IFERROR(INDEX(代理店一覧!$B$5:$B$204,MATCH(B1813,代理店一覧!$A$5:$A$204,0)),"※未登録のID"))</f>
        <v/>
      </c>
      <c r="D1813" s="21"/>
      <c r="E1813" s="21"/>
      <c r="F1813" s="21"/>
      <c r="G1813" s="18"/>
      <c r="H1813" s="21"/>
      <c r="I1813" s="26"/>
      <c r="J1813" s="15"/>
      <c r="K1813" s="27"/>
      <c r="L1813" s="25" t="str">
        <f aca="false">IF(B1813="","",B1813&amp;"|"&amp;J1813)</f>
        <v/>
      </c>
    </row>
    <row r="1814" customFormat="false" ht="15" hidden="false" customHeight="false" outlineLevel="0" collapsed="false">
      <c r="A1814" s="15"/>
      <c r="B1814" s="21"/>
      <c r="C1814" s="21" t="str">
        <f aca="false">IF(B1814="","",IFERROR(INDEX(代理店一覧!$B$5:$B$204,MATCH(B1814,代理店一覧!$A$5:$A$204,0)),"※未登録のID"))</f>
        <v/>
      </c>
      <c r="D1814" s="21"/>
      <c r="E1814" s="21"/>
      <c r="F1814" s="21"/>
      <c r="G1814" s="18"/>
      <c r="H1814" s="21"/>
      <c r="I1814" s="26"/>
      <c r="J1814" s="15"/>
      <c r="K1814" s="27"/>
      <c r="L1814" s="25" t="str">
        <f aca="false">IF(B1814="","",B1814&amp;"|"&amp;J1814)</f>
        <v/>
      </c>
    </row>
    <row r="1815" customFormat="false" ht="15" hidden="false" customHeight="false" outlineLevel="0" collapsed="false">
      <c r="A1815" s="15"/>
      <c r="B1815" s="21"/>
      <c r="C1815" s="21" t="str">
        <f aca="false">IF(B1815="","",IFERROR(INDEX(代理店一覧!$B$5:$B$204,MATCH(B1815,代理店一覧!$A$5:$A$204,0)),"※未登録のID"))</f>
        <v/>
      </c>
      <c r="D1815" s="21"/>
      <c r="E1815" s="21"/>
      <c r="F1815" s="21"/>
      <c r="G1815" s="18"/>
      <c r="H1815" s="21"/>
      <c r="I1815" s="26"/>
      <c r="J1815" s="15"/>
      <c r="K1815" s="27"/>
      <c r="L1815" s="25" t="str">
        <f aca="false">IF(B1815="","",B1815&amp;"|"&amp;J1815)</f>
        <v/>
      </c>
    </row>
    <row r="1816" customFormat="false" ht="15" hidden="false" customHeight="false" outlineLevel="0" collapsed="false">
      <c r="A1816" s="15"/>
      <c r="B1816" s="21"/>
      <c r="C1816" s="21" t="str">
        <f aca="false">IF(B1816="","",IFERROR(INDEX(代理店一覧!$B$5:$B$204,MATCH(B1816,代理店一覧!$A$5:$A$204,0)),"※未登録のID"))</f>
        <v/>
      </c>
      <c r="D1816" s="21"/>
      <c r="E1816" s="21"/>
      <c r="F1816" s="21"/>
      <c r="G1816" s="18"/>
      <c r="H1816" s="21"/>
      <c r="I1816" s="26"/>
      <c r="J1816" s="15"/>
      <c r="K1816" s="27"/>
      <c r="L1816" s="25" t="str">
        <f aca="false">IF(B1816="","",B1816&amp;"|"&amp;J1816)</f>
        <v/>
      </c>
    </row>
    <row r="1817" customFormat="false" ht="15" hidden="false" customHeight="false" outlineLevel="0" collapsed="false">
      <c r="A1817" s="15"/>
      <c r="B1817" s="21"/>
      <c r="C1817" s="21" t="str">
        <f aca="false">IF(B1817="","",IFERROR(INDEX(代理店一覧!$B$5:$B$204,MATCH(B1817,代理店一覧!$A$5:$A$204,0)),"※未登録のID"))</f>
        <v/>
      </c>
      <c r="D1817" s="21"/>
      <c r="E1817" s="21"/>
      <c r="F1817" s="21"/>
      <c r="G1817" s="18"/>
      <c r="H1817" s="21"/>
      <c r="I1817" s="26"/>
      <c r="J1817" s="15"/>
      <c r="K1817" s="27"/>
      <c r="L1817" s="25" t="str">
        <f aca="false">IF(B1817="","",B1817&amp;"|"&amp;J1817)</f>
        <v/>
      </c>
    </row>
    <row r="1818" customFormat="false" ht="15" hidden="false" customHeight="false" outlineLevel="0" collapsed="false">
      <c r="A1818" s="15"/>
      <c r="B1818" s="21"/>
      <c r="C1818" s="21" t="str">
        <f aca="false">IF(B1818="","",IFERROR(INDEX(代理店一覧!$B$5:$B$204,MATCH(B1818,代理店一覧!$A$5:$A$204,0)),"※未登録のID"))</f>
        <v/>
      </c>
      <c r="D1818" s="21"/>
      <c r="E1818" s="21"/>
      <c r="F1818" s="21"/>
      <c r="G1818" s="18"/>
      <c r="H1818" s="21"/>
      <c r="I1818" s="26"/>
      <c r="J1818" s="15"/>
      <c r="K1818" s="27"/>
      <c r="L1818" s="25" t="str">
        <f aca="false">IF(B1818="","",B1818&amp;"|"&amp;J1818)</f>
        <v/>
      </c>
    </row>
    <row r="1819" customFormat="false" ht="15" hidden="false" customHeight="false" outlineLevel="0" collapsed="false">
      <c r="A1819" s="15"/>
      <c r="B1819" s="21"/>
      <c r="C1819" s="21" t="str">
        <f aca="false">IF(B1819="","",IFERROR(INDEX(代理店一覧!$B$5:$B$204,MATCH(B1819,代理店一覧!$A$5:$A$204,0)),"※未登録のID"))</f>
        <v/>
      </c>
      <c r="D1819" s="21"/>
      <c r="E1819" s="21"/>
      <c r="F1819" s="21"/>
      <c r="G1819" s="18"/>
      <c r="H1819" s="21"/>
      <c r="I1819" s="26"/>
      <c r="J1819" s="15"/>
      <c r="K1819" s="27"/>
      <c r="L1819" s="25" t="str">
        <f aca="false">IF(B1819="","",B1819&amp;"|"&amp;J1819)</f>
        <v/>
      </c>
    </row>
    <row r="1820" customFormat="false" ht="15" hidden="false" customHeight="false" outlineLevel="0" collapsed="false">
      <c r="A1820" s="15"/>
      <c r="B1820" s="21"/>
      <c r="C1820" s="21" t="str">
        <f aca="false">IF(B1820="","",IFERROR(INDEX(代理店一覧!$B$5:$B$204,MATCH(B1820,代理店一覧!$A$5:$A$204,0)),"※未登録のID"))</f>
        <v/>
      </c>
      <c r="D1820" s="21"/>
      <c r="E1820" s="21"/>
      <c r="F1820" s="21"/>
      <c r="G1820" s="18"/>
      <c r="H1820" s="21"/>
      <c r="I1820" s="26"/>
      <c r="J1820" s="15"/>
      <c r="K1820" s="27"/>
      <c r="L1820" s="25" t="str">
        <f aca="false">IF(B1820="","",B1820&amp;"|"&amp;J1820)</f>
        <v/>
      </c>
    </row>
    <row r="1821" customFormat="false" ht="15" hidden="false" customHeight="false" outlineLevel="0" collapsed="false">
      <c r="A1821" s="15"/>
      <c r="B1821" s="21"/>
      <c r="C1821" s="21" t="str">
        <f aca="false">IF(B1821="","",IFERROR(INDEX(代理店一覧!$B$5:$B$204,MATCH(B1821,代理店一覧!$A$5:$A$204,0)),"※未登録のID"))</f>
        <v/>
      </c>
      <c r="D1821" s="21"/>
      <c r="E1821" s="21"/>
      <c r="F1821" s="21"/>
      <c r="G1821" s="18"/>
      <c r="H1821" s="21"/>
      <c r="I1821" s="26"/>
      <c r="J1821" s="15"/>
      <c r="K1821" s="27"/>
      <c r="L1821" s="25" t="str">
        <f aca="false">IF(B1821="","",B1821&amp;"|"&amp;J1821)</f>
        <v/>
      </c>
    </row>
    <row r="1822" customFormat="false" ht="15" hidden="false" customHeight="false" outlineLevel="0" collapsed="false">
      <c r="A1822" s="15"/>
      <c r="B1822" s="21"/>
      <c r="C1822" s="21" t="str">
        <f aca="false">IF(B1822="","",IFERROR(INDEX(代理店一覧!$B$5:$B$204,MATCH(B1822,代理店一覧!$A$5:$A$204,0)),"※未登録のID"))</f>
        <v/>
      </c>
      <c r="D1822" s="21"/>
      <c r="E1822" s="21"/>
      <c r="F1822" s="21"/>
      <c r="G1822" s="18"/>
      <c r="H1822" s="21"/>
      <c r="I1822" s="26"/>
      <c r="J1822" s="15"/>
      <c r="K1822" s="27"/>
      <c r="L1822" s="25" t="str">
        <f aca="false">IF(B1822="","",B1822&amp;"|"&amp;J1822)</f>
        <v/>
      </c>
    </row>
    <row r="1823" customFormat="false" ht="15" hidden="false" customHeight="false" outlineLevel="0" collapsed="false">
      <c r="A1823" s="15"/>
      <c r="B1823" s="21"/>
      <c r="C1823" s="21" t="str">
        <f aca="false">IF(B1823="","",IFERROR(INDEX(代理店一覧!$B$5:$B$204,MATCH(B1823,代理店一覧!$A$5:$A$204,0)),"※未登録のID"))</f>
        <v/>
      </c>
      <c r="D1823" s="21"/>
      <c r="E1823" s="21"/>
      <c r="F1823" s="21"/>
      <c r="G1823" s="18"/>
      <c r="H1823" s="21"/>
      <c r="I1823" s="26"/>
      <c r="J1823" s="15"/>
      <c r="K1823" s="27"/>
      <c r="L1823" s="25" t="str">
        <f aca="false">IF(B1823="","",B1823&amp;"|"&amp;J1823)</f>
        <v/>
      </c>
    </row>
    <row r="1824" customFormat="false" ht="15" hidden="false" customHeight="false" outlineLevel="0" collapsed="false">
      <c r="A1824" s="15"/>
      <c r="B1824" s="21"/>
      <c r="C1824" s="21" t="str">
        <f aca="false">IF(B1824="","",IFERROR(INDEX(代理店一覧!$B$5:$B$204,MATCH(B1824,代理店一覧!$A$5:$A$204,0)),"※未登録のID"))</f>
        <v/>
      </c>
      <c r="D1824" s="21"/>
      <c r="E1824" s="21"/>
      <c r="F1824" s="21"/>
      <c r="G1824" s="18"/>
      <c r="H1824" s="21"/>
      <c r="I1824" s="26"/>
      <c r="J1824" s="15"/>
      <c r="K1824" s="27"/>
      <c r="L1824" s="25" t="str">
        <f aca="false">IF(B1824="","",B1824&amp;"|"&amp;J1824)</f>
        <v/>
      </c>
    </row>
    <row r="1825" customFormat="false" ht="15" hidden="false" customHeight="false" outlineLevel="0" collapsed="false">
      <c r="A1825" s="15"/>
      <c r="B1825" s="21"/>
      <c r="C1825" s="21" t="str">
        <f aca="false">IF(B1825="","",IFERROR(INDEX(代理店一覧!$B$5:$B$204,MATCH(B1825,代理店一覧!$A$5:$A$204,0)),"※未登録のID"))</f>
        <v/>
      </c>
      <c r="D1825" s="21"/>
      <c r="E1825" s="21"/>
      <c r="F1825" s="21"/>
      <c r="G1825" s="18"/>
      <c r="H1825" s="21"/>
      <c r="I1825" s="26"/>
      <c r="J1825" s="15"/>
      <c r="K1825" s="27"/>
      <c r="L1825" s="25" t="str">
        <f aca="false">IF(B1825="","",B1825&amp;"|"&amp;J1825)</f>
        <v/>
      </c>
    </row>
    <row r="1826" customFormat="false" ht="15" hidden="false" customHeight="false" outlineLevel="0" collapsed="false">
      <c r="A1826" s="15"/>
      <c r="B1826" s="21"/>
      <c r="C1826" s="21" t="str">
        <f aca="false">IF(B1826="","",IFERROR(INDEX(代理店一覧!$B$5:$B$204,MATCH(B1826,代理店一覧!$A$5:$A$204,0)),"※未登録のID"))</f>
        <v/>
      </c>
      <c r="D1826" s="21"/>
      <c r="E1826" s="21"/>
      <c r="F1826" s="21"/>
      <c r="G1826" s="18"/>
      <c r="H1826" s="21"/>
      <c r="I1826" s="26"/>
      <c r="J1826" s="15"/>
      <c r="K1826" s="27"/>
      <c r="L1826" s="25" t="str">
        <f aca="false">IF(B1826="","",B1826&amp;"|"&amp;J1826)</f>
        <v/>
      </c>
    </row>
    <row r="1827" customFormat="false" ht="15" hidden="false" customHeight="false" outlineLevel="0" collapsed="false">
      <c r="A1827" s="15"/>
      <c r="B1827" s="21"/>
      <c r="C1827" s="21" t="str">
        <f aca="false">IF(B1827="","",IFERROR(INDEX(代理店一覧!$B$5:$B$204,MATCH(B1827,代理店一覧!$A$5:$A$204,0)),"※未登録のID"))</f>
        <v/>
      </c>
      <c r="D1827" s="21"/>
      <c r="E1827" s="21"/>
      <c r="F1827" s="21"/>
      <c r="G1827" s="18"/>
      <c r="H1827" s="21"/>
      <c r="I1827" s="26"/>
      <c r="J1827" s="15"/>
      <c r="K1827" s="27"/>
      <c r="L1827" s="25" t="str">
        <f aca="false">IF(B1827="","",B1827&amp;"|"&amp;J1827)</f>
        <v/>
      </c>
    </row>
    <row r="1828" customFormat="false" ht="15" hidden="false" customHeight="false" outlineLevel="0" collapsed="false">
      <c r="A1828" s="15"/>
      <c r="B1828" s="21"/>
      <c r="C1828" s="21" t="str">
        <f aca="false">IF(B1828="","",IFERROR(INDEX(代理店一覧!$B$5:$B$204,MATCH(B1828,代理店一覧!$A$5:$A$204,0)),"※未登録のID"))</f>
        <v/>
      </c>
      <c r="D1828" s="21"/>
      <c r="E1828" s="21"/>
      <c r="F1828" s="21"/>
      <c r="G1828" s="18"/>
      <c r="H1828" s="21"/>
      <c r="I1828" s="26"/>
      <c r="J1828" s="15"/>
      <c r="K1828" s="27"/>
      <c r="L1828" s="25" t="str">
        <f aca="false">IF(B1828="","",B1828&amp;"|"&amp;J1828)</f>
        <v/>
      </c>
    </row>
    <row r="1829" customFormat="false" ht="15" hidden="false" customHeight="false" outlineLevel="0" collapsed="false">
      <c r="A1829" s="15"/>
      <c r="B1829" s="21"/>
      <c r="C1829" s="21" t="str">
        <f aca="false">IF(B1829="","",IFERROR(INDEX(代理店一覧!$B$5:$B$204,MATCH(B1829,代理店一覧!$A$5:$A$204,0)),"※未登録のID"))</f>
        <v/>
      </c>
      <c r="D1829" s="21"/>
      <c r="E1829" s="21"/>
      <c r="F1829" s="21"/>
      <c r="G1829" s="18"/>
      <c r="H1829" s="21"/>
      <c r="I1829" s="26"/>
      <c r="J1829" s="15"/>
      <c r="K1829" s="27"/>
      <c r="L1829" s="25" t="str">
        <f aca="false">IF(B1829="","",B1829&amp;"|"&amp;J1829)</f>
        <v/>
      </c>
    </row>
    <row r="1830" customFormat="false" ht="15" hidden="false" customHeight="false" outlineLevel="0" collapsed="false">
      <c r="A1830" s="15"/>
      <c r="B1830" s="21"/>
      <c r="C1830" s="21" t="str">
        <f aca="false">IF(B1830="","",IFERROR(INDEX(代理店一覧!$B$5:$B$204,MATCH(B1830,代理店一覧!$A$5:$A$204,0)),"※未登録のID"))</f>
        <v/>
      </c>
      <c r="D1830" s="21"/>
      <c r="E1830" s="21"/>
      <c r="F1830" s="21"/>
      <c r="G1830" s="18"/>
      <c r="H1830" s="21"/>
      <c r="I1830" s="26"/>
      <c r="J1830" s="15"/>
      <c r="K1830" s="27"/>
      <c r="L1830" s="25" t="str">
        <f aca="false">IF(B1830="","",B1830&amp;"|"&amp;J1830)</f>
        <v/>
      </c>
    </row>
    <row r="1831" customFormat="false" ht="15" hidden="false" customHeight="false" outlineLevel="0" collapsed="false">
      <c r="A1831" s="15"/>
      <c r="B1831" s="21"/>
      <c r="C1831" s="21" t="str">
        <f aca="false">IF(B1831="","",IFERROR(INDEX(代理店一覧!$B$5:$B$204,MATCH(B1831,代理店一覧!$A$5:$A$204,0)),"※未登録のID"))</f>
        <v/>
      </c>
      <c r="D1831" s="21"/>
      <c r="E1831" s="21"/>
      <c r="F1831" s="21"/>
      <c r="G1831" s="18"/>
      <c r="H1831" s="21"/>
      <c r="I1831" s="26"/>
      <c r="J1831" s="15"/>
      <c r="K1831" s="27"/>
      <c r="L1831" s="25" t="str">
        <f aca="false">IF(B1831="","",B1831&amp;"|"&amp;J1831)</f>
        <v/>
      </c>
    </row>
    <row r="1832" customFormat="false" ht="15" hidden="false" customHeight="false" outlineLevel="0" collapsed="false">
      <c r="A1832" s="15"/>
      <c r="B1832" s="21"/>
      <c r="C1832" s="21" t="str">
        <f aca="false">IF(B1832="","",IFERROR(INDEX(代理店一覧!$B$5:$B$204,MATCH(B1832,代理店一覧!$A$5:$A$204,0)),"※未登録のID"))</f>
        <v/>
      </c>
      <c r="D1832" s="21"/>
      <c r="E1832" s="21"/>
      <c r="F1832" s="21"/>
      <c r="G1832" s="18"/>
      <c r="H1832" s="21"/>
      <c r="I1832" s="26"/>
      <c r="J1832" s="15"/>
      <c r="K1832" s="27"/>
      <c r="L1832" s="25" t="str">
        <f aca="false">IF(B1832="","",B1832&amp;"|"&amp;J1832)</f>
        <v/>
      </c>
    </row>
    <row r="1833" customFormat="false" ht="15" hidden="false" customHeight="false" outlineLevel="0" collapsed="false">
      <c r="A1833" s="15"/>
      <c r="B1833" s="21"/>
      <c r="C1833" s="21" t="str">
        <f aca="false">IF(B1833="","",IFERROR(INDEX(代理店一覧!$B$5:$B$204,MATCH(B1833,代理店一覧!$A$5:$A$204,0)),"※未登録のID"))</f>
        <v/>
      </c>
      <c r="D1833" s="21"/>
      <c r="E1833" s="21"/>
      <c r="F1833" s="21"/>
      <c r="G1833" s="18"/>
      <c r="H1833" s="21"/>
      <c r="I1833" s="26"/>
      <c r="J1833" s="15"/>
      <c r="K1833" s="27"/>
      <c r="L1833" s="25" t="str">
        <f aca="false">IF(B1833="","",B1833&amp;"|"&amp;J1833)</f>
        <v/>
      </c>
    </row>
    <row r="1834" customFormat="false" ht="15" hidden="false" customHeight="false" outlineLevel="0" collapsed="false">
      <c r="A1834" s="15"/>
      <c r="B1834" s="21"/>
      <c r="C1834" s="21" t="str">
        <f aca="false">IF(B1834="","",IFERROR(INDEX(代理店一覧!$B$5:$B$204,MATCH(B1834,代理店一覧!$A$5:$A$204,0)),"※未登録のID"))</f>
        <v/>
      </c>
      <c r="D1834" s="21"/>
      <c r="E1834" s="21"/>
      <c r="F1834" s="21"/>
      <c r="G1834" s="18"/>
      <c r="H1834" s="21"/>
      <c r="I1834" s="26"/>
      <c r="J1834" s="15"/>
      <c r="K1834" s="27"/>
      <c r="L1834" s="25" t="str">
        <f aca="false">IF(B1834="","",B1834&amp;"|"&amp;J1834)</f>
        <v/>
      </c>
    </row>
    <row r="1835" customFormat="false" ht="15" hidden="false" customHeight="false" outlineLevel="0" collapsed="false">
      <c r="A1835" s="15"/>
      <c r="B1835" s="21"/>
      <c r="C1835" s="21" t="str">
        <f aca="false">IF(B1835="","",IFERROR(INDEX(代理店一覧!$B$5:$B$204,MATCH(B1835,代理店一覧!$A$5:$A$204,0)),"※未登録のID"))</f>
        <v/>
      </c>
      <c r="D1835" s="21"/>
      <c r="E1835" s="21"/>
      <c r="F1835" s="21"/>
      <c r="G1835" s="18"/>
      <c r="H1835" s="21"/>
      <c r="I1835" s="26"/>
      <c r="J1835" s="15"/>
      <c r="K1835" s="27"/>
      <c r="L1835" s="25" t="str">
        <f aca="false">IF(B1835="","",B1835&amp;"|"&amp;J1835)</f>
        <v/>
      </c>
    </row>
    <row r="1836" customFormat="false" ht="15" hidden="false" customHeight="false" outlineLevel="0" collapsed="false">
      <c r="A1836" s="15"/>
      <c r="B1836" s="21"/>
      <c r="C1836" s="21" t="str">
        <f aca="false">IF(B1836="","",IFERROR(INDEX(代理店一覧!$B$5:$B$204,MATCH(B1836,代理店一覧!$A$5:$A$204,0)),"※未登録のID"))</f>
        <v/>
      </c>
      <c r="D1836" s="21"/>
      <c r="E1836" s="21"/>
      <c r="F1836" s="21"/>
      <c r="G1836" s="18"/>
      <c r="H1836" s="21"/>
      <c r="I1836" s="26"/>
      <c r="J1836" s="15"/>
      <c r="K1836" s="27"/>
      <c r="L1836" s="25" t="str">
        <f aca="false">IF(B1836="","",B1836&amp;"|"&amp;J1836)</f>
        <v/>
      </c>
    </row>
    <row r="1837" customFormat="false" ht="15" hidden="false" customHeight="false" outlineLevel="0" collapsed="false">
      <c r="A1837" s="15"/>
      <c r="B1837" s="21"/>
      <c r="C1837" s="21" t="str">
        <f aca="false">IF(B1837="","",IFERROR(INDEX(代理店一覧!$B$5:$B$204,MATCH(B1837,代理店一覧!$A$5:$A$204,0)),"※未登録のID"))</f>
        <v/>
      </c>
      <c r="D1837" s="21"/>
      <c r="E1837" s="21"/>
      <c r="F1837" s="21"/>
      <c r="G1837" s="18"/>
      <c r="H1837" s="21"/>
      <c r="I1837" s="26"/>
      <c r="J1837" s="15"/>
      <c r="K1837" s="27"/>
      <c r="L1837" s="25" t="str">
        <f aca="false">IF(B1837="","",B1837&amp;"|"&amp;J1837)</f>
        <v/>
      </c>
    </row>
    <row r="1838" customFormat="false" ht="15" hidden="false" customHeight="false" outlineLevel="0" collapsed="false">
      <c r="A1838" s="15"/>
      <c r="B1838" s="21"/>
      <c r="C1838" s="21" t="str">
        <f aca="false">IF(B1838="","",IFERROR(INDEX(代理店一覧!$B$5:$B$204,MATCH(B1838,代理店一覧!$A$5:$A$204,0)),"※未登録のID"))</f>
        <v/>
      </c>
      <c r="D1838" s="21"/>
      <c r="E1838" s="21"/>
      <c r="F1838" s="21"/>
      <c r="G1838" s="18"/>
      <c r="H1838" s="21"/>
      <c r="I1838" s="26"/>
      <c r="J1838" s="15"/>
      <c r="K1838" s="27"/>
      <c r="L1838" s="25" t="str">
        <f aca="false">IF(B1838="","",B1838&amp;"|"&amp;J1838)</f>
        <v/>
      </c>
    </row>
    <row r="1839" customFormat="false" ht="15" hidden="false" customHeight="false" outlineLevel="0" collapsed="false">
      <c r="A1839" s="15"/>
      <c r="B1839" s="21"/>
      <c r="C1839" s="21" t="str">
        <f aca="false">IF(B1839="","",IFERROR(INDEX(代理店一覧!$B$5:$B$204,MATCH(B1839,代理店一覧!$A$5:$A$204,0)),"※未登録のID"))</f>
        <v/>
      </c>
      <c r="D1839" s="21"/>
      <c r="E1839" s="21"/>
      <c r="F1839" s="21"/>
      <c r="G1839" s="18"/>
      <c r="H1839" s="21"/>
      <c r="I1839" s="26"/>
      <c r="J1839" s="15"/>
      <c r="K1839" s="27"/>
      <c r="L1839" s="25" t="str">
        <f aca="false">IF(B1839="","",B1839&amp;"|"&amp;J1839)</f>
        <v/>
      </c>
    </row>
    <row r="1840" customFormat="false" ht="15" hidden="false" customHeight="false" outlineLevel="0" collapsed="false">
      <c r="A1840" s="15"/>
      <c r="B1840" s="21"/>
      <c r="C1840" s="21" t="str">
        <f aca="false">IF(B1840="","",IFERROR(INDEX(代理店一覧!$B$5:$B$204,MATCH(B1840,代理店一覧!$A$5:$A$204,0)),"※未登録のID"))</f>
        <v/>
      </c>
      <c r="D1840" s="21"/>
      <c r="E1840" s="21"/>
      <c r="F1840" s="21"/>
      <c r="G1840" s="18"/>
      <c r="H1840" s="21"/>
      <c r="I1840" s="26"/>
      <c r="J1840" s="15"/>
      <c r="K1840" s="27"/>
      <c r="L1840" s="25" t="str">
        <f aca="false">IF(B1840="","",B1840&amp;"|"&amp;J1840)</f>
        <v/>
      </c>
    </row>
    <row r="1841" customFormat="false" ht="15" hidden="false" customHeight="false" outlineLevel="0" collapsed="false">
      <c r="A1841" s="15"/>
      <c r="B1841" s="21"/>
      <c r="C1841" s="21" t="str">
        <f aca="false">IF(B1841="","",IFERROR(INDEX(代理店一覧!$B$5:$B$204,MATCH(B1841,代理店一覧!$A$5:$A$204,0)),"※未登録のID"))</f>
        <v/>
      </c>
      <c r="D1841" s="21"/>
      <c r="E1841" s="21"/>
      <c r="F1841" s="21"/>
      <c r="G1841" s="18"/>
      <c r="H1841" s="21"/>
      <c r="I1841" s="26"/>
      <c r="J1841" s="15"/>
      <c r="K1841" s="27"/>
      <c r="L1841" s="25" t="str">
        <f aca="false">IF(B1841="","",B1841&amp;"|"&amp;J1841)</f>
        <v/>
      </c>
    </row>
    <row r="1842" customFormat="false" ht="15" hidden="false" customHeight="false" outlineLevel="0" collapsed="false">
      <c r="A1842" s="15"/>
      <c r="B1842" s="21"/>
      <c r="C1842" s="21" t="str">
        <f aca="false">IF(B1842="","",IFERROR(INDEX(代理店一覧!$B$5:$B$204,MATCH(B1842,代理店一覧!$A$5:$A$204,0)),"※未登録のID"))</f>
        <v/>
      </c>
      <c r="D1842" s="21"/>
      <c r="E1842" s="21"/>
      <c r="F1842" s="21"/>
      <c r="G1842" s="18"/>
      <c r="H1842" s="21"/>
      <c r="I1842" s="26"/>
      <c r="J1842" s="15"/>
      <c r="K1842" s="27"/>
      <c r="L1842" s="25" t="str">
        <f aca="false">IF(B1842="","",B1842&amp;"|"&amp;J1842)</f>
        <v/>
      </c>
    </row>
    <row r="1843" customFormat="false" ht="15" hidden="false" customHeight="false" outlineLevel="0" collapsed="false">
      <c r="A1843" s="15"/>
      <c r="B1843" s="21"/>
      <c r="C1843" s="21" t="str">
        <f aca="false">IF(B1843="","",IFERROR(INDEX(代理店一覧!$B$5:$B$204,MATCH(B1843,代理店一覧!$A$5:$A$204,0)),"※未登録のID"))</f>
        <v/>
      </c>
      <c r="D1843" s="21"/>
      <c r="E1843" s="21"/>
      <c r="F1843" s="21"/>
      <c r="G1843" s="18"/>
      <c r="H1843" s="21"/>
      <c r="I1843" s="26"/>
      <c r="J1843" s="15"/>
      <c r="K1843" s="27"/>
      <c r="L1843" s="25" t="str">
        <f aca="false">IF(B1843="","",B1843&amp;"|"&amp;J1843)</f>
        <v/>
      </c>
    </row>
    <row r="1844" customFormat="false" ht="15" hidden="false" customHeight="false" outlineLevel="0" collapsed="false">
      <c r="A1844" s="15"/>
      <c r="B1844" s="21"/>
      <c r="C1844" s="21" t="str">
        <f aca="false">IF(B1844="","",IFERROR(INDEX(代理店一覧!$B$5:$B$204,MATCH(B1844,代理店一覧!$A$5:$A$204,0)),"※未登録のID"))</f>
        <v/>
      </c>
      <c r="D1844" s="21"/>
      <c r="E1844" s="21"/>
      <c r="F1844" s="21"/>
      <c r="G1844" s="18"/>
      <c r="H1844" s="21"/>
      <c r="I1844" s="26"/>
      <c r="J1844" s="15"/>
      <c r="K1844" s="27"/>
      <c r="L1844" s="25" t="str">
        <f aca="false">IF(B1844="","",B1844&amp;"|"&amp;J1844)</f>
        <v/>
      </c>
    </row>
    <row r="1845" customFormat="false" ht="15" hidden="false" customHeight="false" outlineLevel="0" collapsed="false">
      <c r="A1845" s="15"/>
      <c r="B1845" s="21"/>
      <c r="C1845" s="21" t="str">
        <f aca="false">IF(B1845="","",IFERROR(INDEX(代理店一覧!$B$5:$B$204,MATCH(B1845,代理店一覧!$A$5:$A$204,0)),"※未登録のID"))</f>
        <v/>
      </c>
      <c r="D1845" s="21"/>
      <c r="E1845" s="21"/>
      <c r="F1845" s="21"/>
      <c r="G1845" s="18"/>
      <c r="H1845" s="21"/>
      <c r="I1845" s="26"/>
      <c r="J1845" s="15"/>
      <c r="K1845" s="27"/>
      <c r="L1845" s="25" t="str">
        <f aca="false">IF(B1845="","",B1845&amp;"|"&amp;J1845)</f>
        <v/>
      </c>
    </row>
    <row r="1846" customFormat="false" ht="15" hidden="false" customHeight="false" outlineLevel="0" collapsed="false">
      <c r="A1846" s="15"/>
      <c r="B1846" s="21"/>
      <c r="C1846" s="21" t="str">
        <f aca="false">IF(B1846="","",IFERROR(INDEX(代理店一覧!$B$5:$B$204,MATCH(B1846,代理店一覧!$A$5:$A$204,0)),"※未登録のID"))</f>
        <v/>
      </c>
      <c r="D1846" s="21"/>
      <c r="E1846" s="21"/>
      <c r="F1846" s="21"/>
      <c r="G1846" s="18"/>
      <c r="H1846" s="21"/>
      <c r="I1846" s="26"/>
      <c r="J1846" s="15"/>
      <c r="K1846" s="27"/>
      <c r="L1846" s="25" t="str">
        <f aca="false">IF(B1846="","",B1846&amp;"|"&amp;J1846)</f>
        <v/>
      </c>
    </row>
    <row r="1847" customFormat="false" ht="15" hidden="false" customHeight="false" outlineLevel="0" collapsed="false">
      <c r="A1847" s="15"/>
      <c r="B1847" s="21"/>
      <c r="C1847" s="21" t="str">
        <f aca="false">IF(B1847="","",IFERROR(INDEX(代理店一覧!$B$5:$B$204,MATCH(B1847,代理店一覧!$A$5:$A$204,0)),"※未登録のID"))</f>
        <v/>
      </c>
      <c r="D1847" s="21"/>
      <c r="E1847" s="21"/>
      <c r="F1847" s="21"/>
      <c r="G1847" s="18"/>
      <c r="H1847" s="21"/>
      <c r="I1847" s="26"/>
      <c r="J1847" s="15"/>
      <c r="K1847" s="27"/>
      <c r="L1847" s="25" t="str">
        <f aca="false">IF(B1847="","",B1847&amp;"|"&amp;J1847)</f>
        <v/>
      </c>
    </row>
    <row r="1848" customFormat="false" ht="15" hidden="false" customHeight="false" outlineLevel="0" collapsed="false">
      <c r="A1848" s="15"/>
      <c r="B1848" s="21"/>
      <c r="C1848" s="21" t="str">
        <f aca="false">IF(B1848="","",IFERROR(INDEX(代理店一覧!$B$5:$B$204,MATCH(B1848,代理店一覧!$A$5:$A$204,0)),"※未登録のID"))</f>
        <v/>
      </c>
      <c r="D1848" s="21"/>
      <c r="E1848" s="21"/>
      <c r="F1848" s="21"/>
      <c r="G1848" s="18"/>
      <c r="H1848" s="21"/>
      <c r="I1848" s="26"/>
      <c r="J1848" s="15"/>
      <c r="K1848" s="27"/>
      <c r="L1848" s="25" t="str">
        <f aca="false">IF(B1848="","",B1848&amp;"|"&amp;J1848)</f>
        <v/>
      </c>
    </row>
    <row r="1849" customFormat="false" ht="15" hidden="false" customHeight="false" outlineLevel="0" collapsed="false">
      <c r="A1849" s="15"/>
      <c r="B1849" s="21"/>
      <c r="C1849" s="21" t="str">
        <f aca="false">IF(B1849="","",IFERROR(INDEX(代理店一覧!$B$5:$B$204,MATCH(B1849,代理店一覧!$A$5:$A$204,0)),"※未登録のID"))</f>
        <v/>
      </c>
      <c r="D1849" s="21"/>
      <c r="E1849" s="21"/>
      <c r="F1849" s="21"/>
      <c r="G1849" s="18"/>
      <c r="H1849" s="21"/>
      <c r="I1849" s="26"/>
      <c r="J1849" s="15"/>
      <c r="K1849" s="27"/>
      <c r="L1849" s="25" t="str">
        <f aca="false">IF(B1849="","",B1849&amp;"|"&amp;J1849)</f>
        <v/>
      </c>
    </row>
    <row r="1850" customFormat="false" ht="15" hidden="false" customHeight="false" outlineLevel="0" collapsed="false">
      <c r="A1850" s="15"/>
      <c r="B1850" s="21"/>
      <c r="C1850" s="21" t="str">
        <f aca="false">IF(B1850="","",IFERROR(INDEX(代理店一覧!$B$5:$B$204,MATCH(B1850,代理店一覧!$A$5:$A$204,0)),"※未登録のID"))</f>
        <v/>
      </c>
      <c r="D1850" s="21"/>
      <c r="E1850" s="21"/>
      <c r="F1850" s="21"/>
      <c r="G1850" s="18"/>
      <c r="H1850" s="21"/>
      <c r="I1850" s="26"/>
      <c r="J1850" s="15"/>
      <c r="K1850" s="27"/>
      <c r="L1850" s="25" t="str">
        <f aca="false">IF(B1850="","",B1850&amp;"|"&amp;J1850)</f>
        <v/>
      </c>
    </row>
    <row r="1851" customFormat="false" ht="15" hidden="false" customHeight="false" outlineLevel="0" collapsed="false">
      <c r="A1851" s="15"/>
      <c r="B1851" s="21"/>
      <c r="C1851" s="21" t="str">
        <f aca="false">IF(B1851="","",IFERROR(INDEX(代理店一覧!$B$5:$B$204,MATCH(B1851,代理店一覧!$A$5:$A$204,0)),"※未登録のID"))</f>
        <v/>
      </c>
      <c r="D1851" s="21"/>
      <c r="E1851" s="21"/>
      <c r="F1851" s="21"/>
      <c r="G1851" s="18"/>
      <c r="H1851" s="21"/>
      <c r="I1851" s="26"/>
      <c r="J1851" s="15"/>
      <c r="K1851" s="27"/>
      <c r="L1851" s="25" t="str">
        <f aca="false">IF(B1851="","",B1851&amp;"|"&amp;J1851)</f>
        <v/>
      </c>
    </row>
    <row r="1852" customFormat="false" ht="15" hidden="false" customHeight="false" outlineLevel="0" collapsed="false">
      <c r="A1852" s="15"/>
      <c r="B1852" s="21"/>
      <c r="C1852" s="21" t="str">
        <f aca="false">IF(B1852="","",IFERROR(INDEX(代理店一覧!$B$5:$B$204,MATCH(B1852,代理店一覧!$A$5:$A$204,0)),"※未登録のID"))</f>
        <v/>
      </c>
      <c r="D1852" s="21"/>
      <c r="E1852" s="21"/>
      <c r="F1852" s="21"/>
      <c r="G1852" s="18"/>
      <c r="H1852" s="21"/>
      <c r="I1852" s="26"/>
      <c r="J1852" s="15"/>
      <c r="K1852" s="27"/>
      <c r="L1852" s="25" t="str">
        <f aca="false">IF(B1852="","",B1852&amp;"|"&amp;J1852)</f>
        <v/>
      </c>
    </row>
    <row r="1853" customFormat="false" ht="15" hidden="false" customHeight="false" outlineLevel="0" collapsed="false">
      <c r="A1853" s="15"/>
      <c r="B1853" s="21"/>
      <c r="C1853" s="21" t="str">
        <f aca="false">IF(B1853="","",IFERROR(INDEX(代理店一覧!$B$5:$B$204,MATCH(B1853,代理店一覧!$A$5:$A$204,0)),"※未登録のID"))</f>
        <v/>
      </c>
      <c r="D1853" s="21"/>
      <c r="E1853" s="21"/>
      <c r="F1853" s="21"/>
      <c r="G1853" s="18"/>
      <c r="H1853" s="21"/>
      <c r="I1853" s="26"/>
      <c r="J1853" s="15"/>
      <c r="K1853" s="27"/>
      <c r="L1853" s="25" t="str">
        <f aca="false">IF(B1853="","",B1853&amp;"|"&amp;J1853)</f>
        <v/>
      </c>
    </row>
    <row r="1854" customFormat="false" ht="15" hidden="false" customHeight="false" outlineLevel="0" collapsed="false">
      <c r="A1854" s="15"/>
      <c r="B1854" s="21"/>
      <c r="C1854" s="21" t="str">
        <f aca="false">IF(B1854="","",IFERROR(INDEX(代理店一覧!$B$5:$B$204,MATCH(B1854,代理店一覧!$A$5:$A$204,0)),"※未登録のID"))</f>
        <v/>
      </c>
      <c r="D1854" s="21"/>
      <c r="E1854" s="21"/>
      <c r="F1854" s="21"/>
      <c r="G1854" s="18"/>
      <c r="H1854" s="21"/>
      <c r="I1854" s="26"/>
      <c r="J1854" s="15"/>
      <c r="K1854" s="27"/>
      <c r="L1854" s="25" t="str">
        <f aca="false">IF(B1854="","",B1854&amp;"|"&amp;J1854)</f>
        <v/>
      </c>
    </row>
    <row r="1855" customFormat="false" ht="15" hidden="false" customHeight="false" outlineLevel="0" collapsed="false">
      <c r="A1855" s="15"/>
      <c r="B1855" s="21"/>
      <c r="C1855" s="21" t="str">
        <f aca="false">IF(B1855="","",IFERROR(INDEX(代理店一覧!$B$5:$B$204,MATCH(B1855,代理店一覧!$A$5:$A$204,0)),"※未登録のID"))</f>
        <v/>
      </c>
      <c r="D1855" s="21"/>
      <c r="E1855" s="21"/>
      <c r="F1855" s="21"/>
      <c r="G1855" s="18"/>
      <c r="H1855" s="21"/>
      <c r="I1855" s="26"/>
      <c r="J1855" s="15"/>
      <c r="K1855" s="27"/>
      <c r="L1855" s="25" t="str">
        <f aca="false">IF(B1855="","",B1855&amp;"|"&amp;J1855)</f>
        <v/>
      </c>
    </row>
    <row r="1856" customFormat="false" ht="15" hidden="false" customHeight="false" outlineLevel="0" collapsed="false">
      <c r="A1856" s="15"/>
      <c r="B1856" s="21"/>
      <c r="C1856" s="21" t="str">
        <f aca="false">IF(B1856="","",IFERROR(INDEX(代理店一覧!$B$5:$B$204,MATCH(B1856,代理店一覧!$A$5:$A$204,0)),"※未登録のID"))</f>
        <v/>
      </c>
      <c r="D1856" s="21"/>
      <c r="E1856" s="21"/>
      <c r="F1856" s="21"/>
      <c r="G1856" s="18"/>
      <c r="H1856" s="21"/>
      <c r="I1856" s="26"/>
      <c r="J1856" s="15"/>
      <c r="K1856" s="27"/>
      <c r="L1856" s="25" t="str">
        <f aca="false">IF(B1856="","",B1856&amp;"|"&amp;J1856)</f>
        <v/>
      </c>
    </row>
    <row r="1857" customFormat="false" ht="15" hidden="false" customHeight="false" outlineLevel="0" collapsed="false">
      <c r="A1857" s="15"/>
      <c r="B1857" s="21"/>
      <c r="C1857" s="21" t="str">
        <f aca="false">IF(B1857="","",IFERROR(INDEX(代理店一覧!$B$5:$B$204,MATCH(B1857,代理店一覧!$A$5:$A$204,0)),"※未登録のID"))</f>
        <v/>
      </c>
      <c r="D1857" s="21"/>
      <c r="E1857" s="21"/>
      <c r="F1857" s="21"/>
      <c r="G1857" s="18"/>
      <c r="H1857" s="21"/>
      <c r="I1857" s="26"/>
      <c r="J1857" s="15"/>
      <c r="K1857" s="27"/>
      <c r="L1857" s="25" t="str">
        <f aca="false">IF(B1857="","",B1857&amp;"|"&amp;J1857)</f>
        <v/>
      </c>
    </row>
    <row r="1858" customFormat="false" ht="15" hidden="false" customHeight="false" outlineLevel="0" collapsed="false">
      <c r="A1858" s="15"/>
      <c r="B1858" s="21"/>
      <c r="C1858" s="21" t="str">
        <f aca="false">IF(B1858="","",IFERROR(INDEX(代理店一覧!$B$5:$B$204,MATCH(B1858,代理店一覧!$A$5:$A$204,0)),"※未登録のID"))</f>
        <v/>
      </c>
      <c r="D1858" s="21"/>
      <c r="E1858" s="21"/>
      <c r="F1858" s="21"/>
      <c r="G1858" s="18"/>
      <c r="H1858" s="21"/>
      <c r="I1858" s="26"/>
      <c r="J1858" s="15"/>
      <c r="K1858" s="27"/>
      <c r="L1858" s="25" t="str">
        <f aca="false">IF(B1858="","",B1858&amp;"|"&amp;J1858)</f>
        <v/>
      </c>
    </row>
    <row r="1859" customFormat="false" ht="15" hidden="false" customHeight="false" outlineLevel="0" collapsed="false">
      <c r="A1859" s="15"/>
      <c r="B1859" s="21"/>
      <c r="C1859" s="21" t="str">
        <f aca="false">IF(B1859="","",IFERROR(INDEX(代理店一覧!$B$5:$B$204,MATCH(B1859,代理店一覧!$A$5:$A$204,0)),"※未登録のID"))</f>
        <v/>
      </c>
      <c r="D1859" s="21"/>
      <c r="E1859" s="21"/>
      <c r="F1859" s="21"/>
      <c r="G1859" s="18"/>
      <c r="H1859" s="21"/>
      <c r="I1859" s="26"/>
      <c r="J1859" s="15"/>
      <c r="K1859" s="27"/>
      <c r="L1859" s="25" t="str">
        <f aca="false">IF(B1859="","",B1859&amp;"|"&amp;J1859)</f>
        <v/>
      </c>
    </row>
    <row r="1860" customFormat="false" ht="15" hidden="false" customHeight="false" outlineLevel="0" collapsed="false">
      <c r="A1860" s="15"/>
      <c r="B1860" s="21"/>
      <c r="C1860" s="21" t="str">
        <f aca="false">IF(B1860="","",IFERROR(INDEX(代理店一覧!$B$5:$B$204,MATCH(B1860,代理店一覧!$A$5:$A$204,0)),"※未登録のID"))</f>
        <v/>
      </c>
      <c r="D1860" s="21"/>
      <c r="E1860" s="21"/>
      <c r="F1860" s="21"/>
      <c r="G1860" s="18"/>
      <c r="H1860" s="21"/>
      <c r="I1860" s="26"/>
      <c r="J1860" s="15"/>
      <c r="K1860" s="27"/>
      <c r="L1860" s="25" t="str">
        <f aca="false">IF(B1860="","",B1860&amp;"|"&amp;J1860)</f>
        <v/>
      </c>
    </row>
    <row r="1861" customFormat="false" ht="15" hidden="false" customHeight="false" outlineLevel="0" collapsed="false">
      <c r="A1861" s="15"/>
      <c r="B1861" s="21"/>
      <c r="C1861" s="21" t="str">
        <f aca="false">IF(B1861="","",IFERROR(INDEX(代理店一覧!$B$5:$B$204,MATCH(B1861,代理店一覧!$A$5:$A$204,0)),"※未登録のID"))</f>
        <v/>
      </c>
      <c r="D1861" s="21"/>
      <c r="E1861" s="21"/>
      <c r="F1861" s="21"/>
      <c r="G1861" s="18"/>
      <c r="H1861" s="21"/>
      <c r="I1861" s="26"/>
      <c r="J1861" s="15"/>
      <c r="K1861" s="27"/>
      <c r="L1861" s="25" t="str">
        <f aca="false">IF(B1861="","",B1861&amp;"|"&amp;J1861)</f>
        <v/>
      </c>
    </row>
    <row r="1862" customFormat="false" ht="15" hidden="false" customHeight="false" outlineLevel="0" collapsed="false">
      <c r="A1862" s="15"/>
      <c r="B1862" s="21"/>
      <c r="C1862" s="21" t="str">
        <f aca="false">IF(B1862="","",IFERROR(INDEX(代理店一覧!$B$5:$B$204,MATCH(B1862,代理店一覧!$A$5:$A$204,0)),"※未登録のID"))</f>
        <v/>
      </c>
      <c r="D1862" s="21"/>
      <c r="E1862" s="21"/>
      <c r="F1862" s="21"/>
      <c r="G1862" s="18"/>
      <c r="H1862" s="21"/>
      <c r="I1862" s="26"/>
      <c r="J1862" s="15"/>
      <c r="K1862" s="27"/>
      <c r="L1862" s="25" t="str">
        <f aca="false">IF(B1862="","",B1862&amp;"|"&amp;J1862)</f>
        <v/>
      </c>
    </row>
    <row r="1863" customFormat="false" ht="15" hidden="false" customHeight="false" outlineLevel="0" collapsed="false">
      <c r="A1863" s="15"/>
      <c r="B1863" s="21"/>
      <c r="C1863" s="21" t="str">
        <f aca="false">IF(B1863="","",IFERROR(INDEX(代理店一覧!$B$5:$B$204,MATCH(B1863,代理店一覧!$A$5:$A$204,0)),"※未登録のID"))</f>
        <v/>
      </c>
      <c r="D1863" s="21"/>
      <c r="E1863" s="21"/>
      <c r="F1863" s="21"/>
      <c r="G1863" s="18"/>
      <c r="H1863" s="21"/>
      <c r="I1863" s="26"/>
      <c r="J1863" s="15"/>
      <c r="K1863" s="27"/>
      <c r="L1863" s="25" t="str">
        <f aca="false">IF(B1863="","",B1863&amp;"|"&amp;J1863)</f>
        <v/>
      </c>
    </row>
    <row r="1864" customFormat="false" ht="15" hidden="false" customHeight="false" outlineLevel="0" collapsed="false">
      <c r="A1864" s="15"/>
      <c r="B1864" s="21"/>
      <c r="C1864" s="21" t="str">
        <f aca="false">IF(B1864="","",IFERROR(INDEX(代理店一覧!$B$5:$B$204,MATCH(B1864,代理店一覧!$A$5:$A$204,0)),"※未登録のID"))</f>
        <v/>
      </c>
      <c r="D1864" s="21"/>
      <c r="E1864" s="21"/>
      <c r="F1864" s="21"/>
      <c r="G1864" s="18"/>
      <c r="H1864" s="21"/>
      <c r="I1864" s="26"/>
      <c r="J1864" s="15"/>
      <c r="K1864" s="27"/>
      <c r="L1864" s="25" t="str">
        <f aca="false">IF(B1864="","",B1864&amp;"|"&amp;J1864)</f>
        <v/>
      </c>
    </row>
    <row r="1865" customFormat="false" ht="15" hidden="false" customHeight="false" outlineLevel="0" collapsed="false">
      <c r="A1865" s="15"/>
      <c r="B1865" s="21"/>
      <c r="C1865" s="21" t="str">
        <f aca="false">IF(B1865="","",IFERROR(INDEX(代理店一覧!$B$5:$B$204,MATCH(B1865,代理店一覧!$A$5:$A$204,0)),"※未登録のID"))</f>
        <v/>
      </c>
      <c r="D1865" s="21"/>
      <c r="E1865" s="21"/>
      <c r="F1865" s="21"/>
      <c r="G1865" s="18"/>
      <c r="H1865" s="21"/>
      <c r="I1865" s="26"/>
      <c r="J1865" s="15"/>
      <c r="K1865" s="27"/>
      <c r="L1865" s="25" t="str">
        <f aca="false">IF(B1865="","",B1865&amp;"|"&amp;J1865)</f>
        <v/>
      </c>
    </row>
    <row r="1866" customFormat="false" ht="15" hidden="false" customHeight="false" outlineLevel="0" collapsed="false">
      <c r="A1866" s="15"/>
      <c r="B1866" s="21"/>
      <c r="C1866" s="21" t="str">
        <f aca="false">IF(B1866="","",IFERROR(INDEX(代理店一覧!$B$5:$B$204,MATCH(B1866,代理店一覧!$A$5:$A$204,0)),"※未登録のID"))</f>
        <v/>
      </c>
      <c r="D1866" s="21"/>
      <c r="E1866" s="21"/>
      <c r="F1866" s="21"/>
      <c r="G1866" s="18"/>
      <c r="H1866" s="21"/>
      <c r="I1866" s="26"/>
      <c r="J1866" s="15"/>
      <c r="K1866" s="27"/>
      <c r="L1866" s="25" t="str">
        <f aca="false">IF(B1866="","",B1866&amp;"|"&amp;J1866)</f>
        <v/>
      </c>
    </row>
    <row r="1867" customFormat="false" ht="15" hidden="false" customHeight="false" outlineLevel="0" collapsed="false">
      <c r="A1867" s="15"/>
      <c r="B1867" s="21"/>
      <c r="C1867" s="21" t="str">
        <f aca="false">IF(B1867="","",IFERROR(INDEX(代理店一覧!$B$5:$B$204,MATCH(B1867,代理店一覧!$A$5:$A$204,0)),"※未登録のID"))</f>
        <v/>
      </c>
      <c r="D1867" s="21"/>
      <c r="E1867" s="21"/>
      <c r="F1867" s="21"/>
      <c r="G1867" s="18"/>
      <c r="H1867" s="21"/>
      <c r="I1867" s="26"/>
      <c r="J1867" s="15"/>
      <c r="K1867" s="27"/>
      <c r="L1867" s="25" t="str">
        <f aca="false">IF(B1867="","",B1867&amp;"|"&amp;J1867)</f>
        <v/>
      </c>
    </row>
    <row r="1868" customFormat="false" ht="15" hidden="false" customHeight="false" outlineLevel="0" collapsed="false">
      <c r="A1868" s="15"/>
      <c r="B1868" s="21"/>
      <c r="C1868" s="21" t="str">
        <f aca="false">IF(B1868="","",IFERROR(INDEX(代理店一覧!$B$5:$B$204,MATCH(B1868,代理店一覧!$A$5:$A$204,0)),"※未登録のID"))</f>
        <v/>
      </c>
      <c r="D1868" s="21"/>
      <c r="E1868" s="21"/>
      <c r="F1868" s="21"/>
      <c r="G1868" s="18"/>
      <c r="H1868" s="21"/>
      <c r="I1868" s="26"/>
      <c r="J1868" s="15"/>
      <c r="K1868" s="27"/>
      <c r="L1868" s="25" t="str">
        <f aca="false">IF(B1868="","",B1868&amp;"|"&amp;J1868)</f>
        <v/>
      </c>
    </row>
    <row r="1869" customFormat="false" ht="15" hidden="false" customHeight="false" outlineLevel="0" collapsed="false">
      <c r="A1869" s="15"/>
      <c r="B1869" s="21"/>
      <c r="C1869" s="21" t="str">
        <f aca="false">IF(B1869="","",IFERROR(INDEX(代理店一覧!$B$5:$B$204,MATCH(B1869,代理店一覧!$A$5:$A$204,0)),"※未登録のID"))</f>
        <v/>
      </c>
      <c r="D1869" s="21"/>
      <c r="E1869" s="21"/>
      <c r="F1869" s="21"/>
      <c r="G1869" s="18"/>
      <c r="H1869" s="21"/>
      <c r="I1869" s="26"/>
      <c r="J1869" s="15"/>
      <c r="K1869" s="27"/>
      <c r="L1869" s="25" t="str">
        <f aca="false">IF(B1869="","",B1869&amp;"|"&amp;J1869)</f>
        <v/>
      </c>
    </row>
    <row r="1870" customFormat="false" ht="15" hidden="false" customHeight="false" outlineLevel="0" collapsed="false">
      <c r="A1870" s="15"/>
      <c r="B1870" s="21"/>
      <c r="C1870" s="21" t="str">
        <f aca="false">IF(B1870="","",IFERROR(INDEX(代理店一覧!$B$5:$B$204,MATCH(B1870,代理店一覧!$A$5:$A$204,0)),"※未登録のID"))</f>
        <v/>
      </c>
      <c r="D1870" s="21"/>
      <c r="E1870" s="21"/>
      <c r="F1870" s="21"/>
      <c r="G1870" s="18"/>
      <c r="H1870" s="21"/>
      <c r="I1870" s="26"/>
      <c r="J1870" s="15"/>
      <c r="K1870" s="27"/>
      <c r="L1870" s="25" t="str">
        <f aca="false">IF(B1870="","",B1870&amp;"|"&amp;J1870)</f>
        <v/>
      </c>
    </row>
    <row r="1871" customFormat="false" ht="15" hidden="false" customHeight="false" outlineLevel="0" collapsed="false">
      <c r="A1871" s="15"/>
      <c r="B1871" s="21"/>
      <c r="C1871" s="21" t="str">
        <f aca="false">IF(B1871="","",IFERROR(INDEX(代理店一覧!$B$5:$B$204,MATCH(B1871,代理店一覧!$A$5:$A$204,0)),"※未登録のID"))</f>
        <v/>
      </c>
      <c r="D1871" s="21"/>
      <c r="E1871" s="21"/>
      <c r="F1871" s="21"/>
      <c r="G1871" s="18"/>
      <c r="H1871" s="21"/>
      <c r="I1871" s="26"/>
      <c r="J1871" s="15"/>
      <c r="K1871" s="27"/>
      <c r="L1871" s="25" t="str">
        <f aca="false">IF(B1871="","",B1871&amp;"|"&amp;J1871)</f>
        <v/>
      </c>
    </row>
    <row r="1872" customFormat="false" ht="15" hidden="false" customHeight="false" outlineLevel="0" collapsed="false">
      <c r="A1872" s="15"/>
      <c r="B1872" s="21"/>
      <c r="C1872" s="21" t="str">
        <f aca="false">IF(B1872="","",IFERROR(INDEX(代理店一覧!$B$5:$B$204,MATCH(B1872,代理店一覧!$A$5:$A$204,0)),"※未登録のID"))</f>
        <v/>
      </c>
      <c r="D1872" s="21"/>
      <c r="E1872" s="21"/>
      <c r="F1872" s="21"/>
      <c r="G1872" s="18"/>
      <c r="H1872" s="21"/>
      <c r="I1872" s="26"/>
      <c r="J1872" s="15"/>
      <c r="K1872" s="27"/>
      <c r="L1872" s="25" t="str">
        <f aca="false">IF(B1872="","",B1872&amp;"|"&amp;J1872)</f>
        <v/>
      </c>
    </row>
    <row r="1873" customFormat="false" ht="15" hidden="false" customHeight="false" outlineLevel="0" collapsed="false">
      <c r="A1873" s="15"/>
      <c r="B1873" s="21"/>
      <c r="C1873" s="21" t="str">
        <f aca="false">IF(B1873="","",IFERROR(INDEX(代理店一覧!$B$5:$B$204,MATCH(B1873,代理店一覧!$A$5:$A$204,0)),"※未登録のID"))</f>
        <v/>
      </c>
      <c r="D1873" s="21"/>
      <c r="E1873" s="21"/>
      <c r="F1873" s="21"/>
      <c r="G1873" s="18"/>
      <c r="H1873" s="21"/>
      <c r="I1873" s="26"/>
      <c r="J1873" s="15"/>
      <c r="K1873" s="27"/>
      <c r="L1873" s="25" t="str">
        <f aca="false">IF(B1873="","",B1873&amp;"|"&amp;J1873)</f>
        <v/>
      </c>
    </row>
    <row r="1874" customFormat="false" ht="15" hidden="false" customHeight="false" outlineLevel="0" collapsed="false">
      <c r="A1874" s="15"/>
      <c r="B1874" s="21"/>
      <c r="C1874" s="21" t="str">
        <f aca="false">IF(B1874="","",IFERROR(INDEX(代理店一覧!$B$5:$B$204,MATCH(B1874,代理店一覧!$A$5:$A$204,0)),"※未登録のID"))</f>
        <v/>
      </c>
      <c r="D1874" s="21"/>
      <c r="E1874" s="21"/>
      <c r="F1874" s="21"/>
      <c r="G1874" s="18"/>
      <c r="H1874" s="21"/>
      <c r="I1874" s="26"/>
      <c r="J1874" s="15"/>
      <c r="K1874" s="27"/>
      <c r="L1874" s="25" t="str">
        <f aca="false">IF(B1874="","",B1874&amp;"|"&amp;J1874)</f>
        <v/>
      </c>
    </row>
    <row r="1875" customFormat="false" ht="15" hidden="false" customHeight="false" outlineLevel="0" collapsed="false">
      <c r="A1875" s="15"/>
      <c r="B1875" s="21"/>
      <c r="C1875" s="21" t="str">
        <f aca="false">IF(B1875="","",IFERROR(INDEX(代理店一覧!$B$5:$B$204,MATCH(B1875,代理店一覧!$A$5:$A$204,0)),"※未登録のID"))</f>
        <v/>
      </c>
      <c r="D1875" s="21"/>
      <c r="E1875" s="21"/>
      <c r="F1875" s="21"/>
      <c r="G1875" s="18"/>
      <c r="H1875" s="21"/>
      <c r="I1875" s="26"/>
      <c r="J1875" s="15"/>
      <c r="K1875" s="27"/>
      <c r="L1875" s="25" t="str">
        <f aca="false">IF(B1875="","",B1875&amp;"|"&amp;J1875)</f>
        <v/>
      </c>
    </row>
    <row r="1876" customFormat="false" ht="15" hidden="false" customHeight="false" outlineLevel="0" collapsed="false">
      <c r="A1876" s="15"/>
      <c r="B1876" s="21"/>
      <c r="C1876" s="21" t="str">
        <f aca="false">IF(B1876="","",IFERROR(INDEX(代理店一覧!$B$5:$B$204,MATCH(B1876,代理店一覧!$A$5:$A$204,0)),"※未登録のID"))</f>
        <v/>
      </c>
      <c r="D1876" s="21"/>
      <c r="E1876" s="21"/>
      <c r="F1876" s="21"/>
      <c r="G1876" s="18"/>
      <c r="H1876" s="21"/>
      <c r="I1876" s="26"/>
      <c r="J1876" s="15"/>
      <c r="K1876" s="27"/>
      <c r="L1876" s="25" t="str">
        <f aca="false">IF(B1876="","",B1876&amp;"|"&amp;J1876)</f>
        <v/>
      </c>
    </row>
    <row r="1877" customFormat="false" ht="15" hidden="false" customHeight="false" outlineLevel="0" collapsed="false">
      <c r="A1877" s="15"/>
      <c r="B1877" s="21"/>
      <c r="C1877" s="21" t="str">
        <f aca="false">IF(B1877="","",IFERROR(INDEX(代理店一覧!$B$5:$B$204,MATCH(B1877,代理店一覧!$A$5:$A$204,0)),"※未登録のID"))</f>
        <v/>
      </c>
      <c r="D1877" s="21"/>
      <c r="E1877" s="21"/>
      <c r="F1877" s="21"/>
      <c r="G1877" s="18"/>
      <c r="H1877" s="21"/>
      <c r="I1877" s="26"/>
      <c r="J1877" s="15"/>
      <c r="K1877" s="27"/>
      <c r="L1877" s="25" t="str">
        <f aca="false">IF(B1877="","",B1877&amp;"|"&amp;J1877)</f>
        <v/>
      </c>
    </row>
    <row r="1878" customFormat="false" ht="15" hidden="false" customHeight="false" outlineLevel="0" collapsed="false">
      <c r="A1878" s="15"/>
      <c r="B1878" s="21"/>
      <c r="C1878" s="21" t="str">
        <f aca="false">IF(B1878="","",IFERROR(INDEX(代理店一覧!$B$5:$B$204,MATCH(B1878,代理店一覧!$A$5:$A$204,0)),"※未登録のID"))</f>
        <v/>
      </c>
      <c r="D1878" s="21"/>
      <c r="E1878" s="21"/>
      <c r="F1878" s="21"/>
      <c r="G1878" s="18"/>
      <c r="H1878" s="21"/>
      <c r="I1878" s="26"/>
      <c r="J1878" s="15"/>
      <c r="K1878" s="27"/>
      <c r="L1878" s="25" t="str">
        <f aca="false">IF(B1878="","",B1878&amp;"|"&amp;J1878)</f>
        <v/>
      </c>
    </row>
    <row r="1879" customFormat="false" ht="15" hidden="false" customHeight="false" outlineLevel="0" collapsed="false">
      <c r="A1879" s="15"/>
      <c r="B1879" s="21"/>
      <c r="C1879" s="21" t="str">
        <f aca="false">IF(B1879="","",IFERROR(INDEX(代理店一覧!$B$5:$B$204,MATCH(B1879,代理店一覧!$A$5:$A$204,0)),"※未登録のID"))</f>
        <v/>
      </c>
      <c r="D1879" s="21"/>
      <c r="E1879" s="21"/>
      <c r="F1879" s="21"/>
      <c r="G1879" s="18"/>
      <c r="H1879" s="21"/>
      <c r="I1879" s="26"/>
      <c r="J1879" s="15"/>
      <c r="K1879" s="27"/>
      <c r="L1879" s="25" t="str">
        <f aca="false">IF(B1879="","",B1879&amp;"|"&amp;J1879)</f>
        <v/>
      </c>
    </row>
    <row r="1880" customFormat="false" ht="15" hidden="false" customHeight="false" outlineLevel="0" collapsed="false">
      <c r="A1880" s="15"/>
      <c r="B1880" s="21"/>
      <c r="C1880" s="21" t="str">
        <f aca="false">IF(B1880="","",IFERROR(INDEX(代理店一覧!$B$5:$B$204,MATCH(B1880,代理店一覧!$A$5:$A$204,0)),"※未登録のID"))</f>
        <v/>
      </c>
      <c r="D1880" s="21"/>
      <c r="E1880" s="21"/>
      <c r="F1880" s="21"/>
      <c r="G1880" s="18"/>
      <c r="H1880" s="21"/>
      <c r="I1880" s="26"/>
      <c r="J1880" s="15"/>
      <c r="K1880" s="27"/>
      <c r="L1880" s="25" t="str">
        <f aca="false">IF(B1880="","",B1880&amp;"|"&amp;J1880)</f>
        <v/>
      </c>
    </row>
    <row r="1881" customFormat="false" ht="15" hidden="false" customHeight="false" outlineLevel="0" collapsed="false">
      <c r="A1881" s="15"/>
      <c r="B1881" s="21"/>
      <c r="C1881" s="21" t="str">
        <f aca="false">IF(B1881="","",IFERROR(INDEX(代理店一覧!$B$5:$B$204,MATCH(B1881,代理店一覧!$A$5:$A$204,0)),"※未登録のID"))</f>
        <v/>
      </c>
      <c r="D1881" s="21"/>
      <c r="E1881" s="21"/>
      <c r="F1881" s="21"/>
      <c r="G1881" s="18"/>
      <c r="H1881" s="21"/>
      <c r="I1881" s="26"/>
      <c r="J1881" s="15"/>
      <c r="K1881" s="27"/>
      <c r="L1881" s="25" t="str">
        <f aca="false">IF(B1881="","",B1881&amp;"|"&amp;J1881)</f>
        <v/>
      </c>
    </row>
    <row r="1882" customFormat="false" ht="15" hidden="false" customHeight="false" outlineLevel="0" collapsed="false">
      <c r="A1882" s="15"/>
      <c r="B1882" s="21"/>
      <c r="C1882" s="21" t="str">
        <f aca="false">IF(B1882="","",IFERROR(INDEX(代理店一覧!$B$5:$B$204,MATCH(B1882,代理店一覧!$A$5:$A$204,0)),"※未登録のID"))</f>
        <v/>
      </c>
      <c r="D1882" s="21"/>
      <c r="E1882" s="21"/>
      <c r="F1882" s="21"/>
      <c r="G1882" s="18"/>
      <c r="H1882" s="21"/>
      <c r="I1882" s="26"/>
      <c r="J1882" s="15"/>
      <c r="K1882" s="27"/>
      <c r="L1882" s="25" t="str">
        <f aca="false">IF(B1882="","",B1882&amp;"|"&amp;J1882)</f>
        <v/>
      </c>
    </row>
    <row r="1883" customFormat="false" ht="15" hidden="false" customHeight="false" outlineLevel="0" collapsed="false">
      <c r="A1883" s="15"/>
      <c r="B1883" s="21"/>
      <c r="C1883" s="21" t="str">
        <f aca="false">IF(B1883="","",IFERROR(INDEX(代理店一覧!$B$5:$B$204,MATCH(B1883,代理店一覧!$A$5:$A$204,0)),"※未登録のID"))</f>
        <v/>
      </c>
      <c r="D1883" s="21"/>
      <c r="E1883" s="21"/>
      <c r="F1883" s="21"/>
      <c r="G1883" s="18"/>
      <c r="H1883" s="21"/>
      <c r="I1883" s="26"/>
      <c r="J1883" s="15"/>
      <c r="K1883" s="27"/>
      <c r="L1883" s="25" t="str">
        <f aca="false">IF(B1883="","",B1883&amp;"|"&amp;J1883)</f>
        <v/>
      </c>
    </row>
    <row r="1884" customFormat="false" ht="15" hidden="false" customHeight="false" outlineLevel="0" collapsed="false">
      <c r="A1884" s="15"/>
      <c r="B1884" s="21"/>
      <c r="C1884" s="21" t="str">
        <f aca="false">IF(B1884="","",IFERROR(INDEX(代理店一覧!$B$5:$B$204,MATCH(B1884,代理店一覧!$A$5:$A$204,0)),"※未登録のID"))</f>
        <v/>
      </c>
      <c r="D1884" s="21"/>
      <c r="E1884" s="21"/>
      <c r="F1884" s="21"/>
      <c r="G1884" s="18"/>
      <c r="H1884" s="21"/>
      <c r="I1884" s="26"/>
      <c r="J1884" s="15"/>
      <c r="K1884" s="27"/>
      <c r="L1884" s="25" t="str">
        <f aca="false">IF(B1884="","",B1884&amp;"|"&amp;J1884)</f>
        <v/>
      </c>
    </row>
    <row r="1885" customFormat="false" ht="15" hidden="false" customHeight="false" outlineLevel="0" collapsed="false">
      <c r="A1885" s="15"/>
      <c r="B1885" s="21"/>
      <c r="C1885" s="21" t="str">
        <f aca="false">IF(B1885="","",IFERROR(INDEX(代理店一覧!$B$5:$B$204,MATCH(B1885,代理店一覧!$A$5:$A$204,0)),"※未登録のID"))</f>
        <v/>
      </c>
      <c r="D1885" s="21"/>
      <c r="E1885" s="21"/>
      <c r="F1885" s="21"/>
      <c r="G1885" s="18"/>
      <c r="H1885" s="21"/>
      <c r="I1885" s="26"/>
      <c r="J1885" s="15"/>
      <c r="K1885" s="27"/>
      <c r="L1885" s="25" t="str">
        <f aca="false">IF(B1885="","",B1885&amp;"|"&amp;J1885)</f>
        <v/>
      </c>
    </row>
    <row r="1886" customFormat="false" ht="15" hidden="false" customHeight="false" outlineLevel="0" collapsed="false">
      <c r="A1886" s="15"/>
      <c r="B1886" s="21"/>
      <c r="C1886" s="21" t="str">
        <f aca="false">IF(B1886="","",IFERROR(INDEX(代理店一覧!$B$5:$B$204,MATCH(B1886,代理店一覧!$A$5:$A$204,0)),"※未登録のID"))</f>
        <v/>
      </c>
      <c r="D1886" s="21"/>
      <c r="E1886" s="21"/>
      <c r="F1886" s="21"/>
      <c r="G1886" s="18"/>
      <c r="H1886" s="21"/>
      <c r="I1886" s="26"/>
      <c r="J1886" s="15"/>
      <c r="K1886" s="27"/>
      <c r="L1886" s="25" t="str">
        <f aca="false">IF(B1886="","",B1886&amp;"|"&amp;J1886)</f>
        <v/>
      </c>
    </row>
    <row r="1887" customFormat="false" ht="15" hidden="false" customHeight="false" outlineLevel="0" collapsed="false">
      <c r="A1887" s="15"/>
      <c r="B1887" s="21"/>
      <c r="C1887" s="21" t="str">
        <f aca="false">IF(B1887="","",IFERROR(INDEX(代理店一覧!$B$5:$B$204,MATCH(B1887,代理店一覧!$A$5:$A$204,0)),"※未登録のID"))</f>
        <v/>
      </c>
      <c r="D1887" s="21"/>
      <c r="E1887" s="21"/>
      <c r="F1887" s="21"/>
      <c r="G1887" s="18"/>
      <c r="H1887" s="21"/>
      <c r="I1887" s="26"/>
      <c r="J1887" s="15"/>
      <c r="K1887" s="27"/>
      <c r="L1887" s="25" t="str">
        <f aca="false">IF(B1887="","",B1887&amp;"|"&amp;J1887)</f>
        <v/>
      </c>
    </row>
    <row r="1888" customFormat="false" ht="15" hidden="false" customHeight="false" outlineLevel="0" collapsed="false">
      <c r="A1888" s="15"/>
      <c r="B1888" s="21"/>
      <c r="C1888" s="21" t="str">
        <f aca="false">IF(B1888="","",IFERROR(INDEX(代理店一覧!$B$5:$B$204,MATCH(B1888,代理店一覧!$A$5:$A$204,0)),"※未登録のID"))</f>
        <v/>
      </c>
      <c r="D1888" s="21"/>
      <c r="E1888" s="21"/>
      <c r="F1888" s="21"/>
      <c r="G1888" s="18"/>
      <c r="H1888" s="21"/>
      <c r="I1888" s="26"/>
      <c r="J1888" s="15"/>
      <c r="K1888" s="27"/>
      <c r="L1888" s="25" t="str">
        <f aca="false">IF(B1888="","",B1888&amp;"|"&amp;J1888)</f>
        <v/>
      </c>
    </row>
    <row r="1889" customFormat="false" ht="15" hidden="false" customHeight="false" outlineLevel="0" collapsed="false">
      <c r="A1889" s="15"/>
      <c r="B1889" s="21"/>
      <c r="C1889" s="21" t="str">
        <f aca="false">IF(B1889="","",IFERROR(INDEX(代理店一覧!$B$5:$B$204,MATCH(B1889,代理店一覧!$A$5:$A$204,0)),"※未登録のID"))</f>
        <v/>
      </c>
      <c r="D1889" s="21"/>
      <c r="E1889" s="21"/>
      <c r="F1889" s="21"/>
      <c r="G1889" s="18"/>
      <c r="H1889" s="21"/>
      <c r="I1889" s="26"/>
      <c r="J1889" s="15"/>
      <c r="K1889" s="27"/>
      <c r="L1889" s="25" t="str">
        <f aca="false">IF(B1889="","",B1889&amp;"|"&amp;J1889)</f>
        <v/>
      </c>
    </row>
    <row r="1890" customFormat="false" ht="15" hidden="false" customHeight="false" outlineLevel="0" collapsed="false">
      <c r="A1890" s="15"/>
      <c r="B1890" s="21"/>
      <c r="C1890" s="21" t="str">
        <f aca="false">IF(B1890="","",IFERROR(INDEX(代理店一覧!$B$5:$B$204,MATCH(B1890,代理店一覧!$A$5:$A$204,0)),"※未登録のID"))</f>
        <v/>
      </c>
      <c r="D1890" s="21"/>
      <c r="E1890" s="21"/>
      <c r="F1890" s="21"/>
      <c r="G1890" s="18"/>
      <c r="H1890" s="21"/>
      <c r="I1890" s="26"/>
      <c r="J1890" s="15"/>
      <c r="K1890" s="27"/>
      <c r="L1890" s="25" t="str">
        <f aca="false">IF(B1890="","",B1890&amp;"|"&amp;J1890)</f>
        <v/>
      </c>
    </row>
    <row r="1891" customFormat="false" ht="15" hidden="false" customHeight="false" outlineLevel="0" collapsed="false">
      <c r="A1891" s="15"/>
      <c r="B1891" s="21"/>
      <c r="C1891" s="21" t="str">
        <f aca="false">IF(B1891="","",IFERROR(INDEX(代理店一覧!$B$5:$B$204,MATCH(B1891,代理店一覧!$A$5:$A$204,0)),"※未登録のID"))</f>
        <v/>
      </c>
      <c r="D1891" s="21"/>
      <c r="E1891" s="21"/>
      <c r="F1891" s="21"/>
      <c r="G1891" s="18"/>
      <c r="H1891" s="21"/>
      <c r="I1891" s="26"/>
      <c r="J1891" s="15"/>
      <c r="K1891" s="27"/>
      <c r="L1891" s="25" t="str">
        <f aca="false">IF(B1891="","",B1891&amp;"|"&amp;J1891)</f>
        <v/>
      </c>
    </row>
    <row r="1892" customFormat="false" ht="15" hidden="false" customHeight="false" outlineLevel="0" collapsed="false">
      <c r="A1892" s="15"/>
      <c r="B1892" s="21"/>
      <c r="C1892" s="21" t="str">
        <f aca="false">IF(B1892="","",IFERROR(INDEX(代理店一覧!$B$5:$B$204,MATCH(B1892,代理店一覧!$A$5:$A$204,0)),"※未登録のID"))</f>
        <v/>
      </c>
      <c r="D1892" s="21"/>
      <c r="E1892" s="21"/>
      <c r="F1892" s="21"/>
      <c r="G1892" s="18"/>
      <c r="H1892" s="21"/>
      <c r="I1892" s="26"/>
      <c r="J1892" s="15"/>
      <c r="K1892" s="27"/>
      <c r="L1892" s="25" t="str">
        <f aca="false">IF(B1892="","",B1892&amp;"|"&amp;J1892)</f>
        <v/>
      </c>
    </row>
    <row r="1893" customFormat="false" ht="15" hidden="false" customHeight="false" outlineLevel="0" collapsed="false">
      <c r="A1893" s="15"/>
      <c r="B1893" s="21"/>
      <c r="C1893" s="21" t="str">
        <f aca="false">IF(B1893="","",IFERROR(INDEX(代理店一覧!$B$5:$B$204,MATCH(B1893,代理店一覧!$A$5:$A$204,0)),"※未登録のID"))</f>
        <v/>
      </c>
      <c r="D1893" s="21"/>
      <c r="E1893" s="21"/>
      <c r="F1893" s="21"/>
      <c r="G1893" s="18"/>
      <c r="H1893" s="21"/>
      <c r="I1893" s="26"/>
      <c r="J1893" s="15"/>
      <c r="K1893" s="27"/>
      <c r="L1893" s="25" t="str">
        <f aca="false">IF(B1893="","",B1893&amp;"|"&amp;J1893)</f>
        <v/>
      </c>
    </row>
    <row r="1894" customFormat="false" ht="15" hidden="false" customHeight="false" outlineLevel="0" collapsed="false">
      <c r="A1894" s="15"/>
      <c r="B1894" s="21"/>
      <c r="C1894" s="21" t="str">
        <f aca="false">IF(B1894="","",IFERROR(INDEX(代理店一覧!$B$5:$B$204,MATCH(B1894,代理店一覧!$A$5:$A$204,0)),"※未登録のID"))</f>
        <v/>
      </c>
      <c r="D1894" s="21"/>
      <c r="E1894" s="21"/>
      <c r="F1894" s="21"/>
      <c r="G1894" s="18"/>
      <c r="H1894" s="21"/>
      <c r="I1894" s="26"/>
      <c r="J1894" s="15"/>
      <c r="K1894" s="27"/>
      <c r="L1894" s="25" t="str">
        <f aca="false">IF(B1894="","",B1894&amp;"|"&amp;J1894)</f>
        <v/>
      </c>
    </row>
    <row r="1895" customFormat="false" ht="15" hidden="false" customHeight="false" outlineLevel="0" collapsed="false">
      <c r="A1895" s="15"/>
      <c r="B1895" s="21"/>
      <c r="C1895" s="21" t="str">
        <f aca="false">IF(B1895="","",IFERROR(INDEX(代理店一覧!$B$5:$B$204,MATCH(B1895,代理店一覧!$A$5:$A$204,0)),"※未登録のID"))</f>
        <v/>
      </c>
      <c r="D1895" s="21"/>
      <c r="E1895" s="21"/>
      <c r="F1895" s="21"/>
      <c r="G1895" s="18"/>
      <c r="H1895" s="21"/>
      <c r="I1895" s="26"/>
      <c r="J1895" s="15"/>
      <c r="K1895" s="27"/>
      <c r="L1895" s="25" t="str">
        <f aca="false">IF(B1895="","",B1895&amp;"|"&amp;J1895)</f>
        <v/>
      </c>
    </row>
    <row r="1896" customFormat="false" ht="15" hidden="false" customHeight="false" outlineLevel="0" collapsed="false">
      <c r="A1896" s="15"/>
      <c r="B1896" s="21"/>
      <c r="C1896" s="21" t="str">
        <f aca="false">IF(B1896="","",IFERROR(INDEX(代理店一覧!$B$5:$B$204,MATCH(B1896,代理店一覧!$A$5:$A$204,0)),"※未登録のID"))</f>
        <v/>
      </c>
      <c r="D1896" s="21"/>
      <c r="E1896" s="21"/>
      <c r="F1896" s="21"/>
      <c r="G1896" s="18"/>
      <c r="H1896" s="21"/>
      <c r="I1896" s="26"/>
      <c r="J1896" s="15"/>
      <c r="K1896" s="27"/>
      <c r="L1896" s="25" t="str">
        <f aca="false">IF(B1896="","",B1896&amp;"|"&amp;J1896)</f>
        <v/>
      </c>
    </row>
    <row r="1897" customFormat="false" ht="15" hidden="false" customHeight="false" outlineLevel="0" collapsed="false">
      <c r="A1897" s="15"/>
      <c r="B1897" s="21"/>
      <c r="C1897" s="21" t="str">
        <f aca="false">IF(B1897="","",IFERROR(INDEX(代理店一覧!$B$5:$B$204,MATCH(B1897,代理店一覧!$A$5:$A$204,0)),"※未登録のID"))</f>
        <v/>
      </c>
      <c r="D1897" s="21"/>
      <c r="E1897" s="21"/>
      <c r="F1897" s="21"/>
      <c r="G1897" s="18"/>
      <c r="H1897" s="21"/>
      <c r="I1897" s="26"/>
      <c r="J1897" s="15"/>
      <c r="K1897" s="27"/>
      <c r="L1897" s="25" t="str">
        <f aca="false">IF(B1897="","",B1897&amp;"|"&amp;J1897)</f>
        <v/>
      </c>
    </row>
    <row r="1898" customFormat="false" ht="15" hidden="false" customHeight="false" outlineLevel="0" collapsed="false">
      <c r="A1898" s="15"/>
      <c r="B1898" s="21"/>
      <c r="C1898" s="21" t="str">
        <f aca="false">IF(B1898="","",IFERROR(INDEX(代理店一覧!$B$5:$B$204,MATCH(B1898,代理店一覧!$A$5:$A$204,0)),"※未登録のID"))</f>
        <v/>
      </c>
      <c r="D1898" s="21"/>
      <c r="E1898" s="21"/>
      <c r="F1898" s="21"/>
      <c r="G1898" s="18"/>
      <c r="H1898" s="21"/>
      <c r="I1898" s="26"/>
      <c r="J1898" s="15"/>
      <c r="K1898" s="27"/>
      <c r="L1898" s="25" t="str">
        <f aca="false">IF(B1898="","",B1898&amp;"|"&amp;J1898)</f>
        <v/>
      </c>
    </row>
    <row r="1899" customFormat="false" ht="15" hidden="false" customHeight="false" outlineLevel="0" collapsed="false">
      <c r="A1899" s="15"/>
      <c r="B1899" s="21"/>
      <c r="C1899" s="21" t="str">
        <f aca="false">IF(B1899="","",IFERROR(INDEX(代理店一覧!$B$5:$B$204,MATCH(B1899,代理店一覧!$A$5:$A$204,0)),"※未登録のID"))</f>
        <v/>
      </c>
      <c r="D1899" s="21"/>
      <c r="E1899" s="21"/>
      <c r="F1899" s="21"/>
      <c r="G1899" s="18"/>
      <c r="H1899" s="21"/>
      <c r="I1899" s="26"/>
      <c r="J1899" s="15"/>
      <c r="K1899" s="27"/>
      <c r="L1899" s="25" t="str">
        <f aca="false">IF(B1899="","",B1899&amp;"|"&amp;J1899)</f>
        <v/>
      </c>
    </row>
    <row r="1900" customFormat="false" ht="15" hidden="false" customHeight="false" outlineLevel="0" collapsed="false">
      <c r="A1900" s="15"/>
      <c r="B1900" s="21"/>
      <c r="C1900" s="21" t="str">
        <f aca="false">IF(B1900="","",IFERROR(INDEX(代理店一覧!$B$5:$B$204,MATCH(B1900,代理店一覧!$A$5:$A$204,0)),"※未登録のID"))</f>
        <v/>
      </c>
      <c r="D1900" s="21"/>
      <c r="E1900" s="21"/>
      <c r="F1900" s="21"/>
      <c r="G1900" s="18"/>
      <c r="H1900" s="21"/>
      <c r="I1900" s="26"/>
      <c r="J1900" s="15"/>
      <c r="K1900" s="27"/>
      <c r="L1900" s="25" t="str">
        <f aca="false">IF(B1900="","",B1900&amp;"|"&amp;J1900)</f>
        <v/>
      </c>
    </row>
    <row r="1901" customFormat="false" ht="15" hidden="false" customHeight="false" outlineLevel="0" collapsed="false">
      <c r="A1901" s="15"/>
      <c r="B1901" s="21"/>
      <c r="C1901" s="21" t="str">
        <f aca="false">IF(B1901="","",IFERROR(INDEX(代理店一覧!$B$5:$B$204,MATCH(B1901,代理店一覧!$A$5:$A$204,0)),"※未登録のID"))</f>
        <v/>
      </c>
      <c r="D1901" s="21"/>
      <c r="E1901" s="21"/>
      <c r="F1901" s="21"/>
      <c r="G1901" s="18"/>
      <c r="H1901" s="21"/>
      <c r="I1901" s="26"/>
      <c r="J1901" s="15"/>
      <c r="K1901" s="27"/>
      <c r="L1901" s="25" t="str">
        <f aca="false">IF(B1901="","",B1901&amp;"|"&amp;J1901)</f>
        <v/>
      </c>
    </row>
    <row r="1902" customFormat="false" ht="15" hidden="false" customHeight="false" outlineLevel="0" collapsed="false">
      <c r="A1902" s="15"/>
      <c r="B1902" s="21"/>
      <c r="C1902" s="21" t="str">
        <f aca="false">IF(B1902="","",IFERROR(INDEX(代理店一覧!$B$5:$B$204,MATCH(B1902,代理店一覧!$A$5:$A$204,0)),"※未登録のID"))</f>
        <v/>
      </c>
      <c r="D1902" s="21"/>
      <c r="E1902" s="21"/>
      <c r="F1902" s="21"/>
      <c r="G1902" s="18"/>
      <c r="H1902" s="21"/>
      <c r="I1902" s="26"/>
      <c r="J1902" s="15"/>
      <c r="K1902" s="27"/>
      <c r="L1902" s="25" t="str">
        <f aca="false">IF(B1902="","",B1902&amp;"|"&amp;J1902)</f>
        <v/>
      </c>
    </row>
    <row r="1903" customFormat="false" ht="15" hidden="false" customHeight="false" outlineLevel="0" collapsed="false">
      <c r="A1903" s="15"/>
      <c r="B1903" s="21"/>
      <c r="C1903" s="21" t="str">
        <f aca="false">IF(B1903="","",IFERROR(INDEX(代理店一覧!$B$5:$B$204,MATCH(B1903,代理店一覧!$A$5:$A$204,0)),"※未登録のID"))</f>
        <v/>
      </c>
      <c r="D1903" s="21"/>
      <c r="E1903" s="21"/>
      <c r="F1903" s="21"/>
      <c r="G1903" s="18"/>
      <c r="H1903" s="21"/>
      <c r="I1903" s="26"/>
      <c r="J1903" s="15"/>
      <c r="K1903" s="27"/>
      <c r="L1903" s="25" t="str">
        <f aca="false">IF(B1903="","",B1903&amp;"|"&amp;J1903)</f>
        <v/>
      </c>
    </row>
    <row r="1904" customFormat="false" ht="15" hidden="false" customHeight="false" outlineLevel="0" collapsed="false">
      <c r="A1904" s="15"/>
      <c r="B1904" s="21"/>
      <c r="C1904" s="21" t="str">
        <f aca="false">IF(B1904="","",IFERROR(INDEX(代理店一覧!$B$5:$B$204,MATCH(B1904,代理店一覧!$A$5:$A$204,0)),"※未登録のID"))</f>
        <v/>
      </c>
      <c r="D1904" s="21"/>
      <c r="E1904" s="21"/>
      <c r="F1904" s="21"/>
      <c r="G1904" s="18"/>
      <c r="H1904" s="21"/>
      <c r="I1904" s="26"/>
      <c r="J1904" s="15"/>
      <c r="K1904" s="27"/>
      <c r="L1904" s="25" t="str">
        <f aca="false">IF(B1904="","",B1904&amp;"|"&amp;J1904)</f>
        <v/>
      </c>
    </row>
    <row r="1905" customFormat="false" ht="15" hidden="false" customHeight="false" outlineLevel="0" collapsed="false">
      <c r="A1905" s="15"/>
      <c r="B1905" s="21"/>
      <c r="C1905" s="21" t="str">
        <f aca="false">IF(B1905="","",IFERROR(INDEX(代理店一覧!$B$5:$B$204,MATCH(B1905,代理店一覧!$A$5:$A$204,0)),"※未登録のID"))</f>
        <v/>
      </c>
      <c r="D1905" s="21"/>
      <c r="E1905" s="21"/>
      <c r="F1905" s="21"/>
      <c r="G1905" s="18"/>
      <c r="H1905" s="21"/>
      <c r="I1905" s="26"/>
      <c r="J1905" s="15"/>
      <c r="K1905" s="27"/>
      <c r="L1905" s="25" t="str">
        <f aca="false">IF(B1905="","",B1905&amp;"|"&amp;J1905)</f>
        <v/>
      </c>
    </row>
    <row r="1906" customFormat="false" ht="15" hidden="false" customHeight="false" outlineLevel="0" collapsed="false">
      <c r="A1906" s="15"/>
      <c r="B1906" s="21"/>
      <c r="C1906" s="21" t="str">
        <f aca="false">IF(B1906="","",IFERROR(INDEX(代理店一覧!$B$5:$B$204,MATCH(B1906,代理店一覧!$A$5:$A$204,0)),"※未登録のID"))</f>
        <v/>
      </c>
      <c r="D1906" s="21"/>
      <c r="E1906" s="21"/>
      <c r="F1906" s="21"/>
      <c r="G1906" s="18"/>
      <c r="H1906" s="21"/>
      <c r="I1906" s="26"/>
      <c r="J1906" s="15"/>
      <c r="K1906" s="27"/>
      <c r="L1906" s="25" t="str">
        <f aca="false">IF(B1906="","",B1906&amp;"|"&amp;J1906)</f>
        <v/>
      </c>
    </row>
    <row r="1907" customFormat="false" ht="15" hidden="false" customHeight="false" outlineLevel="0" collapsed="false">
      <c r="A1907" s="15"/>
      <c r="B1907" s="21"/>
      <c r="C1907" s="21" t="str">
        <f aca="false">IF(B1907="","",IFERROR(INDEX(代理店一覧!$B$5:$B$204,MATCH(B1907,代理店一覧!$A$5:$A$204,0)),"※未登録のID"))</f>
        <v/>
      </c>
      <c r="D1907" s="21"/>
      <c r="E1907" s="21"/>
      <c r="F1907" s="21"/>
      <c r="G1907" s="18"/>
      <c r="H1907" s="21"/>
      <c r="I1907" s="26"/>
      <c r="J1907" s="15"/>
      <c r="K1907" s="27"/>
      <c r="L1907" s="25" t="str">
        <f aca="false">IF(B1907="","",B1907&amp;"|"&amp;J1907)</f>
        <v/>
      </c>
    </row>
    <row r="1908" customFormat="false" ht="15" hidden="false" customHeight="false" outlineLevel="0" collapsed="false">
      <c r="A1908" s="15"/>
      <c r="B1908" s="21"/>
      <c r="C1908" s="21" t="str">
        <f aca="false">IF(B1908="","",IFERROR(INDEX(代理店一覧!$B$5:$B$204,MATCH(B1908,代理店一覧!$A$5:$A$204,0)),"※未登録のID"))</f>
        <v/>
      </c>
      <c r="D1908" s="21"/>
      <c r="E1908" s="21"/>
      <c r="F1908" s="21"/>
      <c r="G1908" s="18"/>
      <c r="H1908" s="21"/>
      <c r="I1908" s="26"/>
      <c r="J1908" s="15"/>
      <c r="K1908" s="27"/>
      <c r="L1908" s="25" t="str">
        <f aca="false">IF(B1908="","",B1908&amp;"|"&amp;J1908)</f>
        <v/>
      </c>
    </row>
    <row r="1909" customFormat="false" ht="15" hidden="false" customHeight="false" outlineLevel="0" collapsed="false">
      <c r="A1909" s="15"/>
      <c r="B1909" s="21"/>
      <c r="C1909" s="21" t="str">
        <f aca="false">IF(B1909="","",IFERROR(INDEX(代理店一覧!$B$5:$B$204,MATCH(B1909,代理店一覧!$A$5:$A$204,0)),"※未登録のID"))</f>
        <v/>
      </c>
      <c r="D1909" s="21"/>
      <c r="E1909" s="21"/>
      <c r="F1909" s="21"/>
      <c r="G1909" s="18"/>
      <c r="H1909" s="21"/>
      <c r="I1909" s="26"/>
      <c r="J1909" s="15"/>
      <c r="K1909" s="27"/>
      <c r="L1909" s="25" t="str">
        <f aca="false">IF(B1909="","",B1909&amp;"|"&amp;J1909)</f>
        <v/>
      </c>
    </row>
    <row r="1910" customFormat="false" ht="15" hidden="false" customHeight="false" outlineLevel="0" collapsed="false">
      <c r="A1910" s="15"/>
      <c r="B1910" s="21"/>
      <c r="C1910" s="21" t="str">
        <f aca="false">IF(B1910="","",IFERROR(INDEX(代理店一覧!$B$5:$B$204,MATCH(B1910,代理店一覧!$A$5:$A$204,0)),"※未登録のID"))</f>
        <v/>
      </c>
      <c r="D1910" s="21"/>
      <c r="E1910" s="21"/>
      <c r="F1910" s="21"/>
      <c r="G1910" s="18"/>
      <c r="H1910" s="21"/>
      <c r="I1910" s="26"/>
      <c r="J1910" s="15"/>
      <c r="K1910" s="27"/>
      <c r="L1910" s="25" t="str">
        <f aca="false">IF(B1910="","",B1910&amp;"|"&amp;J1910)</f>
        <v/>
      </c>
    </row>
    <row r="1911" customFormat="false" ht="15" hidden="false" customHeight="false" outlineLevel="0" collapsed="false">
      <c r="A1911" s="15"/>
      <c r="B1911" s="21"/>
      <c r="C1911" s="21" t="str">
        <f aca="false">IF(B1911="","",IFERROR(INDEX(代理店一覧!$B$5:$B$204,MATCH(B1911,代理店一覧!$A$5:$A$204,0)),"※未登録のID"))</f>
        <v/>
      </c>
      <c r="D1911" s="21"/>
      <c r="E1911" s="21"/>
      <c r="F1911" s="21"/>
      <c r="G1911" s="18"/>
      <c r="H1911" s="21"/>
      <c r="I1911" s="26"/>
      <c r="J1911" s="15"/>
      <c r="K1911" s="27"/>
      <c r="L1911" s="25" t="str">
        <f aca="false">IF(B1911="","",B1911&amp;"|"&amp;J1911)</f>
        <v/>
      </c>
    </row>
    <row r="1912" customFormat="false" ht="15" hidden="false" customHeight="false" outlineLevel="0" collapsed="false">
      <c r="A1912" s="15"/>
      <c r="B1912" s="21"/>
      <c r="C1912" s="21" t="str">
        <f aca="false">IF(B1912="","",IFERROR(INDEX(代理店一覧!$B$5:$B$204,MATCH(B1912,代理店一覧!$A$5:$A$204,0)),"※未登録のID"))</f>
        <v/>
      </c>
      <c r="D1912" s="21"/>
      <c r="E1912" s="21"/>
      <c r="F1912" s="21"/>
      <c r="G1912" s="18"/>
      <c r="H1912" s="21"/>
      <c r="I1912" s="26"/>
      <c r="J1912" s="15"/>
      <c r="K1912" s="27"/>
      <c r="L1912" s="25" t="str">
        <f aca="false">IF(B1912="","",B1912&amp;"|"&amp;J1912)</f>
        <v/>
      </c>
    </row>
    <row r="1913" customFormat="false" ht="15" hidden="false" customHeight="false" outlineLevel="0" collapsed="false">
      <c r="A1913" s="15"/>
      <c r="B1913" s="21"/>
      <c r="C1913" s="21" t="str">
        <f aca="false">IF(B1913="","",IFERROR(INDEX(代理店一覧!$B$5:$B$204,MATCH(B1913,代理店一覧!$A$5:$A$204,0)),"※未登録のID"))</f>
        <v/>
      </c>
      <c r="D1913" s="21"/>
      <c r="E1913" s="21"/>
      <c r="F1913" s="21"/>
      <c r="G1913" s="18"/>
      <c r="H1913" s="21"/>
      <c r="I1913" s="26"/>
      <c r="J1913" s="15"/>
      <c r="K1913" s="27"/>
      <c r="L1913" s="25" t="str">
        <f aca="false">IF(B1913="","",B1913&amp;"|"&amp;J1913)</f>
        <v/>
      </c>
    </row>
    <row r="1914" customFormat="false" ht="15" hidden="false" customHeight="false" outlineLevel="0" collapsed="false">
      <c r="A1914" s="15"/>
      <c r="B1914" s="21"/>
      <c r="C1914" s="21" t="str">
        <f aca="false">IF(B1914="","",IFERROR(INDEX(代理店一覧!$B$5:$B$204,MATCH(B1914,代理店一覧!$A$5:$A$204,0)),"※未登録のID"))</f>
        <v/>
      </c>
      <c r="D1914" s="21"/>
      <c r="E1914" s="21"/>
      <c r="F1914" s="21"/>
      <c r="G1914" s="18"/>
      <c r="H1914" s="21"/>
      <c r="I1914" s="26"/>
      <c r="J1914" s="15"/>
      <c r="K1914" s="27"/>
      <c r="L1914" s="25" t="str">
        <f aca="false">IF(B1914="","",B1914&amp;"|"&amp;J1914)</f>
        <v/>
      </c>
    </row>
    <row r="1915" customFormat="false" ht="15" hidden="false" customHeight="false" outlineLevel="0" collapsed="false">
      <c r="A1915" s="15"/>
      <c r="B1915" s="21"/>
      <c r="C1915" s="21" t="str">
        <f aca="false">IF(B1915="","",IFERROR(INDEX(代理店一覧!$B$5:$B$204,MATCH(B1915,代理店一覧!$A$5:$A$204,0)),"※未登録のID"))</f>
        <v/>
      </c>
      <c r="D1915" s="21"/>
      <c r="E1915" s="21"/>
      <c r="F1915" s="21"/>
      <c r="G1915" s="18"/>
      <c r="H1915" s="21"/>
      <c r="I1915" s="26"/>
      <c r="J1915" s="15"/>
      <c r="K1915" s="27"/>
      <c r="L1915" s="25" t="str">
        <f aca="false">IF(B1915="","",B1915&amp;"|"&amp;J1915)</f>
        <v/>
      </c>
    </row>
    <row r="1916" customFormat="false" ht="15" hidden="false" customHeight="false" outlineLevel="0" collapsed="false">
      <c r="A1916" s="15"/>
      <c r="B1916" s="21"/>
      <c r="C1916" s="21" t="str">
        <f aca="false">IF(B1916="","",IFERROR(INDEX(代理店一覧!$B$5:$B$204,MATCH(B1916,代理店一覧!$A$5:$A$204,0)),"※未登録のID"))</f>
        <v/>
      </c>
      <c r="D1916" s="21"/>
      <c r="E1916" s="21"/>
      <c r="F1916" s="21"/>
      <c r="G1916" s="18"/>
      <c r="H1916" s="21"/>
      <c r="I1916" s="26"/>
      <c r="J1916" s="15"/>
      <c r="K1916" s="27"/>
      <c r="L1916" s="25" t="str">
        <f aca="false">IF(B1916="","",B1916&amp;"|"&amp;J1916)</f>
        <v/>
      </c>
    </row>
    <row r="1917" customFormat="false" ht="15" hidden="false" customHeight="false" outlineLevel="0" collapsed="false">
      <c r="A1917" s="15"/>
      <c r="B1917" s="21"/>
      <c r="C1917" s="21" t="str">
        <f aca="false">IF(B1917="","",IFERROR(INDEX(代理店一覧!$B$5:$B$204,MATCH(B1917,代理店一覧!$A$5:$A$204,0)),"※未登録のID"))</f>
        <v/>
      </c>
      <c r="D1917" s="21"/>
      <c r="E1917" s="21"/>
      <c r="F1917" s="21"/>
      <c r="G1917" s="18"/>
      <c r="H1917" s="21"/>
      <c r="I1917" s="26"/>
      <c r="J1917" s="15"/>
      <c r="K1917" s="27"/>
      <c r="L1917" s="25" t="str">
        <f aca="false">IF(B1917="","",B1917&amp;"|"&amp;J1917)</f>
        <v/>
      </c>
    </row>
    <row r="1918" customFormat="false" ht="15" hidden="false" customHeight="false" outlineLevel="0" collapsed="false">
      <c r="A1918" s="15"/>
      <c r="B1918" s="21"/>
      <c r="C1918" s="21" t="str">
        <f aca="false">IF(B1918="","",IFERROR(INDEX(代理店一覧!$B$5:$B$204,MATCH(B1918,代理店一覧!$A$5:$A$204,0)),"※未登録のID"))</f>
        <v/>
      </c>
      <c r="D1918" s="21"/>
      <c r="E1918" s="21"/>
      <c r="F1918" s="21"/>
      <c r="G1918" s="18"/>
      <c r="H1918" s="21"/>
      <c r="I1918" s="26"/>
      <c r="J1918" s="15"/>
      <c r="K1918" s="27"/>
      <c r="L1918" s="25" t="str">
        <f aca="false">IF(B1918="","",B1918&amp;"|"&amp;J1918)</f>
        <v/>
      </c>
    </row>
    <row r="1919" customFormat="false" ht="15" hidden="false" customHeight="false" outlineLevel="0" collapsed="false">
      <c r="A1919" s="15"/>
      <c r="B1919" s="21"/>
      <c r="C1919" s="21" t="str">
        <f aca="false">IF(B1919="","",IFERROR(INDEX(代理店一覧!$B$5:$B$204,MATCH(B1919,代理店一覧!$A$5:$A$204,0)),"※未登録のID"))</f>
        <v/>
      </c>
      <c r="D1919" s="21"/>
      <c r="E1919" s="21"/>
      <c r="F1919" s="21"/>
      <c r="G1919" s="18"/>
      <c r="H1919" s="21"/>
      <c r="I1919" s="26"/>
      <c r="J1919" s="15"/>
      <c r="K1919" s="27"/>
      <c r="L1919" s="25" t="str">
        <f aca="false">IF(B1919="","",B1919&amp;"|"&amp;J1919)</f>
        <v/>
      </c>
    </row>
    <row r="1920" customFormat="false" ht="15" hidden="false" customHeight="false" outlineLevel="0" collapsed="false">
      <c r="A1920" s="15"/>
      <c r="B1920" s="21"/>
      <c r="C1920" s="21" t="str">
        <f aca="false">IF(B1920="","",IFERROR(INDEX(代理店一覧!$B$5:$B$204,MATCH(B1920,代理店一覧!$A$5:$A$204,0)),"※未登録のID"))</f>
        <v/>
      </c>
      <c r="D1920" s="21"/>
      <c r="E1920" s="21"/>
      <c r="F1920" s="21"/>
      <c r="G1920" s="18"/>
      <c r="H1920" s="21"/>
      <c r="I1920" s="26"/>
      <c r="J1920" s="15"/>
      <c r="K1920" s="27"/>
      <c r="L1920" s="25" t="str">
        <f aca="false">IF(B1920="","",B1920&amp;"|"&amp;J1920)</f>
        <v/>
      </c>
    </row>
    <row r="1921" customFormat="false" ht="15" hidden="false" customHeight="false" outlineLevel="0" collapsed="false">
      <c r="A1921" s="15"/>
      <c r="B1921" s="21"/>
      <c r="C1921" s="21" t="str">
        <f aca="false">IF(B1921="","",IFERROR(INDEX(代理店一覧!$B$5:$B$204,MATCH(B1921,代理店一覧!$A$5:$A$204,0)),"※未登録のID"))</f>
        <v/>
      </c>
      <c r="D1921" s="21"/>
      <c r="E1921" s="21"/>
      <c r="F1921" s="21"/>
      <c r="G1921" s="18"/>
      <c r="H1921" s="21"/>
      <c r="I1921" s="26"/>
      <c r="J1921" s="15"/>
      <c r="K1921" s="27"/>
      <c r="L1921" s="25" t="str">
        <f aca="false">IF(B1921="","",B1921&amp;"|"&amp;J1921)</f>
        <v/>
      </c>
    </row>
    <row r="1922" customFormat="false" ht="15" hidden="false" customHeight="false" outlineLevel="0" collapsed="false">
      <c r="A1922" s="15"/>
      <c r="B1922" s="21"/>
      <c r="C1922" s="21" t="str">
        <f aca="false">IF(B1922="","",IFERROR(INDEX(代理店一覧!$B$5:$B$204,MATCH(B1922,代理店一覧!$A$5:$A$204,0)),"※未登録のID"))</f>
        <v/>
      </c>
      <c r="D1922" s="21"/>
      <c r="E1922" s="21"/>
      <c r="F1922" s="21"/>
      <c r="G1922" s="18"/>
      <c r="H1922" s="21"/>
      <c r="I1922" s="26"/>
      <c r="J1922" s="15"/>
      <c r="K1922" s="27"/>
      <c r="L1922" s="25" t="str">
        <f aca="false">IF(B1922="","",B1922&amp;"|"&amp;J1922)</f>
        <v/>
      </c>
    </row>
    <row r="1923" customFormat="false" ht="15" hidden="false" customHeight="false" outlineLevel="0" collapsed="false">
      <c r="A1923" s="15"/>
      <c r="B1923" s="21"/>
      <c r="C1923" s="21" t="str">
        <f aca="false">IF(B1923="","",IFERROR(INDEX(代理店一覧!$B$5:$B$204,MATCH(B1923,代理店一覧!$A$5:$A$204,0)),"※未登録のID"))</f>
        <v/>
      </c>
      <c r="D1923" s="21"/>
      <c r="E1923" s="21"/>
      <c r="F1923" s="21"/>
      <c r="G1923" s="18"/>
      <c r="H1923" s="21"/>
      <c r="I1923" s="26"/>
      <c r="J1923" s="15"/>
      <c r="K1923" s="27"/>
      <c r="L1923" s="25" t="str">
        <f aca="false">IF(B1923="","",B1923&amp;"|"&amp;J1923)</f>
        <v/>
      </c>
    </row>
    <row r="1924" customFormat="false" ht="15" hidden="false" customHeight="false" outlineLevel="0" collapsed="false">
      <c r="A1924" s="15"/>
      <c r="B1924" s="21"/>
      <c r="C1924" s="21" t="str">
        <f aca="false">IF(B1924="","",IFERROR(INDEX(代理店一覧!$B$5:$B$204,MATCH(B1924,代理店一覧!$A$5:$A$204,0)),"※未登録のID"))</f>
        <v/>
      </c>
      <c r="D1924" s="21"/>
      <c r="E1924" s="21"/>
      <c r="F1924" s="21"/>
      <c r="G1924" s="18"/>
      <c r="H1924" s="21"/>
      <c r="I1924" s="26"/>
      <c r="J1924" s="15"/>
      <c r="K1924" s="27"/>
      <c r="L1924" s="25" t="str">
        <f aca="false">IF(B1924="","",B1924&amp;"|"&amp;J1924)</f>
        <v/>
      </c>
    </row>
    <row r="1925" customFormat="false" ht="15" hidden="false" customHeight="false" outlineLevel="0" collapsed="false">
      <c r="A1925" s="15"/>
      <c r="B1925" s="21"/>
      <c r="C1925" s="21" t="str">
        <f aca="false">IF(B1925="","",IFERROR(INDEX(代理店一覧!$B$5:$B$204,MATCH(B1925,代理店一覧!$A$5:$A$204,0)),"※未登録のID"))</f>
        <v/>
      </c>
      <c r="D1925" s="21"/>
      <c r="E1925" s="21"/>
      <c r="F1925" s="21"/>
      <c r="G1925" s="18"/>
      <c r="H1925" s="21"/>
      <c r="I1925" s="26"/>
      <c r="J1925" s="15"/>
      <c r="K1925" s="27"/>
      <c r="L1925" s="25" t="str">
        <f aca="false">IF(B1925="","",B1925&amp;"|"&amp;J1925)</f>
        <v/>
      </c>
    </row>
    <row r="1926" customFormat="false" ht="15" hidden="false" customHeight="false" outlineLevel="0" collapsed="false">
      <c r="A1926" s="15"/>
      <c r="B1926" s="21"/>
      <c r="C1926" s="21" t="str">
        <f aca="false">IF(B1926="","",IFERROR(INDEX(代理店一覧!$B$5:$B$204,MATCH(B1926,代理店一覧!$A$5:$A$204,0)),"※未登録のID"))</f>
        <v/>
      </c>
      <c r="D1926" s="21"/>
      <c r="E1926" s="21"/>
      <c r="F1926" s="21"/>
      <c r="G1926" s="18"/>
      <c r="H1926" s="21"/>
      <c r="I1926" s="26"/>
      <c r="J1926" s="15"/>
      <c r="K1926" s="27"/>
      <c r="L1926" s="25" t="str">
        <f aca="false">IF(B1926="","",B1926&amp;"|"&amp;J1926)</f>
        <v/>
      </c>
    </row>
    <row r="1927" customFormat="false" ht="15" hidden="false" customHeight="false" outlineLevel="0" collapsed="false">
      <c r="A1927" s="15"/>
      <c r="B1927" s="21"/>
      <c r="C1927" s="21" t="str">
        <f aca="false">IF(B1927="","",IFERROR(INDEX(代理店一覧!$B$5:$B$204,MATCH(B1927,代理店一覧!$A$5:$A$204,0)),"※未登録のID"))</f>
        <v/>
      </c>
      <c r="D1927" s="21"/>
      <c r="E1927" s="21"/>
      <c r="F1927" s="21"/>
      <c r="G1927" s="18"/>
      <c r="H1927" s="21"/>
      <c r="I1927" s="26"/>
      <c r="J1927" s="15"/>
      <c r="K1927" s="27"/>
      <c r="L1927" s="25" t="str">
        <f aca="false">IF(B1927="","",B1927&amp;"|"&amp;J1927)</f>
        <v/>
      </c>
    </row>
    <row r="1928" customFormat="false" ht="15" hidden="false" customHeight="false" outlineLevel="0" collapsed="false">
      <c r="A1928" s="15"/>
      <c r="B1928" s="21"/>
      <c r="C1928" s="21" t="str">
        <f aca="false">IF(B1928="","",IFERROR(INDEX(代理店一覧!$B$5:$B$204,MATCH(B1928,代理店一覧!$A$5:$A$204,0)),"※未登録のID"))</f>
        <v/>
      </c>
      <c r="D1928" s="21"/>
      <c r="E1928" s="21"/>
      <c r="F1928" s="21"/>
      <c r="G1928" s="18"/>
      <c r="H1928" s="21"/>
      <c r="I1928" s="26"/>
      <c r="J1928" s="15"/>
      <c r="K1928" s="27"/>
      <c r="L1928" s="25" t="str">
        <f aca="false">IF(B1928="","",B1928&amp;"|"&amp;J1928)</f>
        <v/>
      </c>
    </row>
    <row r="1929" customFormat="false" ht="15" hidden="false" customHeight="false" outlineLevel="0" collapsed="false">
      <c r="A1929" s="15"/>
      <c r="B1929" s="21"/>
      <c r="C1929" s="21" t="str">
        <f aca="false">IF(B1929="","",IFERROR(INDEX(代理店一覧!$B$5:$B$204,MATCH(B1929,代理店一覧!$A$5:$A$204,0)),"※未登録のID"))</f>
        <v/>
      </c>
      <c r="D1929" s="21"/>
      <c r="E1929" s="21"/>
      <c r="F1929" s="21"/>
      <c r="G1929" s="18"/>
      <c r="H1929" s="21"/>
      <c r="I1929" s="26"/>
      <c r="J1929" s="15"/>
      <c r="K1929" s="27"/>
      <c r="L1929" s="25" t="str">
        <f aca="false">IF(B1929="","",B1929&amp;"|"&amp;J1929)</f>
        <v/>
      </c>
    </row>
    <row r="1930" customFormat="false" ht="15" hidden="false" customHeight="false" outlineLevel="0" collapsed="false">
      <c r="A1930" s="15"/>
      <c r="B1930" s="21"/>
      <c r="C1930" s="21" t="str">
        <f aca="false">IF(B1930="","",IFERROR(INDEX(代理店一覧!$B$5:$B$204,MATCH(B1930,代理店一覧!$A$5:$A$204,0)),"※未登録のID"))</f>
        <v/>
      </c>
      <c r="D1930" s="21"/>
      <c r="E1930" s="21"/>
      <c r="F1930" s="21"/>
      <c r="G1930" s="18"/>
      <c r="H1930" s="21"/>
      <c r="I1930" s="26"/>
      <c r="J1930" s="15"/>
      <c r="K1930" s="27"/>
      <c r="L1930" s="25" t="str">
        <f aca="false">IF(B1930="","",B1930&amp;"|"&amp;J1930)</f>
        <v/>
      </c>
    </row>
    <row r="1931" customFormat="false" ht="15" hidden="false" customHeight="false" outlineLevel="0" collapsed="false">
      <c r="A1931" s="15"/>
      <c r="B1931" s="21"/>
      <c r="C1931" s="21" t="str">
        <f aca="false">IF(B1931="","",IFERROR(INDEX(代理店一覧!$B$5:$B$204,MATCH(B1931,代理店一覧!$A$5:$A$204,0)),"※未登録のID"))</f>
        <v/>
      </c>
      <c r="D1931" s="21"/>
      <c r="E1931" s="21"/>
      <c r="F1931" s="21"/>
      <c r="G1931" s="18"/>
      <c r="H1931" s="21"/>
      <c r="I1931" s="26"/>
      <c r="J1931" s="15"/>
      <c r="K1931" s="27"/>
      <c r="L1931" s="25" t="str">
        <f aca="false">IF(B1931="","",B1931&amp;"|"&amp;J1931)</f>
        <v/>
      </c>
    </row>
    <row r="1932" customFormat="false" ht="15" hidden="false" customHeight="false" outlineLevel="0" collapsed="false">
      <c r="A1932" s="15"/>
      <c r="B1932" s="21"/>
      <c r="C1932" s="21" t="str">
        <f aca="false">IF(B1932="","",IFERROR(INDEX(代理店一覧!$B$5:$B$204,MATCH(B1932,代理店一覧!$A$5:$A$204,0)),"※未登録のID"))</f>
        <v/>
      </c>
      <c r="D1932" s="21"/>
      <c r="E1932" s="21"/>
      <c r="F1932" s="21"/>
      <c r="G1932" s="18"/>
      <c r="H1932" s="21"/>
      <c r="I1932" s="26"/>
      <c r="J1932" s="15"/>
      <c r="K1932" s="27"/>
      <c r="L1932" s="25" t="str">
        <f aca="false">IF(B1932="","",B1932&amp;"|"&amp;J1932)</f>
        <v/>
      </c>
    </row>
    <row r="1933" customFormat="false" ht="15" hidden="false" customHeight="false" outlineLevel="0" collapsed="false">
      <c r="A1933" s="15"/>
      <c r="B1933" s="21"/>
      <c r="C1933" s="21" t="str">
        <f aca="false">IF(B1933="","",IFERROR(INDEX(代理店一覧!$B$5:$B$204,MATCH(B1933,代理店一覧!$A$5:$A$204,0)),"※未登録のID"))</f>
        <v/>
      </c>
      <c r="D1933" s="21"/>
      <c r="E1933" s="21"/>
      <c r="F1933" s="21"/>
      <c r="G1933" s="18"/>
      <c r="H1933" s="21"/>
      <c r="I1933" s="26"/>
      <c r="J1933" s="15"/>
      <c r="K1933" s="27"/>
      <c r="L1933" s="25" t="str">
        <f aca="false">IF(B1933="","",B1933&amp;"|"&amp;J1933)</f>
        <v/>
      </c>
    </row>
    <row r="1934" customFormat="false" ht="15" hidden="false" customHeight="false" outlineLevel="0" collapsed="false">
      <c r="A1934" s="15"/>
      <c r="B1934" s="21"/>
      <c r="C1934" s="21" t="str">
        <f aca="false">IF(B1934="","",IFERROR(INDEX(代理店一覧!$B$5:$B$204,MATCH(B1934,代理店一覧!$A$5:$A$204,0)),"※未登録のID"))</f>
        <v/>
      </c>
      <c r="D1934" s="21"/>
      <c r="E1934" s="21"/>
      <c r="F1934" s="21"/>
      <c r="G1934" s="18"/>
      <c r="H1934" s="21"/>
      <c r="I1934" s="26"/>
      <c r="J1934" s="15"/>
      <c r="K1934" s="27"/>
      <c r="L1934" s="25" t="str">
        <f aca="false">IF(B1934="","",B1934&amp;"|"&amp;J1934)</f>
        <v/>
      </c>
    </row>
    <row r="1935" customFormat="false" ht="15" hidden="false" customHeight="false" outlineLevel="0" collapsed="false">
      <c r="A1935" s="15"/>
      <c r="B1935" s="21"/>
      <c r="C1935" s="21" t="str">
        <f aca="false">IF(B1935="","",IFERROR(INDEX(代理店一覧!$B$5:$B$204,MATCH(B1935,代理店一覧!$A$5:$A$204,0)),"※未登録のID"))</f>
        <v/>
      </c>
      <c r="D1935" s="21"/>
      <c r="E1935" s="21"/>
      <c r="F1935" s="21"/>
      <c r="G1935" s="18"/>
      <c r="H1935" s="21"/>
      <c r="I1935" s="26"/>
      <c r="J1935" s="15"/>
      <c r="K1935" s="27"/>
      <c r="L1935" s="25" t="str">
        <f aca="false">IF(B1935="","",B1935&amp;"|"&amp;J1935)</f>
        <v/>
      </c>
    </row>
    <row r="1936" customFormat="false" ht="15" hidden="false" customHeight="false" outlineLevel="0" collapsed="false">
      <c r="A1936" s="15"/>
      <c r="B1936" s="21"/>
      <c r="C1936" s="21" t="str">
        <f aca="false">IF(B1936="","",IFERROR(INDEX(代理店一覧!$B$5:$B$204,MATCH(B1936,代理店一覧!$A$5:$A$204,0)),"※未登録のID"))</f>
        <v/>
      </c>
      <c r="D1936" s="21"/>
      <c r="E1936" s="21"/>
      <c r="F1936" s="21"/>
      <c r="G1936" s="18"/>
      <c r="H1936" s="21"/>
      <c r="I1936" s="26"/>
      <c r="J1936" s="15"/>
      <c r="K1936" s="27"/>
      <c r="L1936" s="25" t="str">
        <f aca="false">IF(B1936="","",B1936&amp;"|"&amp;J1936)</f>
        <v/>
      </c>
    </row>
    <row r="1937" customFormat="false" ht="15" hidden="false" customHeight="false" outlineLevel="0" collapsed="false">
      <c r="A1937" s="15"/>
      <c r="B1937" s="21"/>
      <c r="C1937" s="21" t="str">
        <f aca="false">IF(B1937="","",IFERROR(INDEX(代理店一覧!$B$5:$B$204,MATCH(B1937,代理店一覧!$A$5:$A$204,0)),"※未登録のID"))</f>
        <v/>
      </c>
      <c r="D1937" s="21"/>
      <c r="E1937" s="21"/>
      <c r="F1937" s="21"/>
      <c r="G1937" s="18"/>
      <c r="H1937" s="21"/>
      <c r="I1937" s="26"/>
      <c r="J1937" s="15"/>
      <c r="K1937" s="27"/>
      <c r="L1937" s="25" t="str">
        <f aca="false">IF(B1937="","",B1937&amp;"|"&amp;J1937)</f>
        <v/>
      </c>
    </row>
    <row r="1938" customFormat="false" ht="15" hidden="false" customHeight="false" outlineLevel="0" collapsed="false">
      <c r="A1938" s="15"/>
      <c r="B1938" s="21"/>
      <c r="C1938" s="21" t="str">
        <f aca="false">IF(B1938="","",IFERROR(INDEX(代理店一覧!$B$5:$B$204,MATCH(B1938,代理店一覧!$A$5:$A$204,0)),"※未登録のID"))</f>
        <v/>
      </c>
      <c r="D1938" s="21"/>
      <c r="E1938" s="21"/>
      <c r="F1938" s="21"/>
      <c r="G1938" s="18"/>
      <c r="H1938" s="21"/>
      <c r="I1938" s="26"/>
      <c r="J1938" s="15"/>
      <c r="K1938" s="27"/>
      <c r="L1938" s="25" t="str">
        <f aca="false">IF(B1938="","",B1938&amp;"|"&amp;J1938)</f>
        <v/>
      </c>
    </row>
    <row r="1939" customFormat="false" ht="15" hidden="false" customHeight="false" outlineLevel="0" collapsed="false">
      <c r="A1939" s="15"/>
      <c r="B1939" s="21"/>
      <c r="C1939" s="21" t="str">
        <f aca="false">IF(B1939="","",IFERROR(INDEX(代理店一覧!$B$5:$B$204,MATCH(B1939,代理店一覧!$A$5:$A$204,0)),"※未登録のID"))</f>
        <v/>
      </c>
      <c r="D1939" s="21"/>
      <c r="E1939" s="21"/>
      <c r="F1939" s="21"/>
      <c r="G1939" s="18"/>
      <c r="H1939" s="21"/>
      <c r="I1939" s="26"/>
      <c r="J1939" s="15"/>
      <c r="K1939" s="27"/>
      <c r="L1939" s="25" t="str">
        <f aca="false">IF(B1939="","",B1939&amp;"|"&amp;J1939)</f>
        <v/>
      </c>
    </row>
    <row r="1940" customFormat="false" ht="15" hidden="false" customHeight="false" outlineLevel="0" collapsed="false">
      <c r="A1940" s="15"/>
      <c r="B1940" s="21"/>
      <c r="C1940" s="21" t="str">
        <f aca="false">IF(B1940="","",IFERROR(INDEX(代理店一覧!$B$5:$B$204,MATCH(B1940,代理店一覧!$A$5:$A$204,0)),"※未登録のID"))</f>
        <v/>
      </c>
      <c r="D1940" s="21"/>
      <c r="E1940" s="21"/>
      <c r="F1940" s="21"/>
      <c r="G1940" s="18"/>
      <c r="H1940" s="21"/>
      <c r="I1940" s="26"/>
      <c r="J1940" s="15"/>
      <c r="K1940" s="27"/>
      <c r="L1940" s="25" t="str">
        <f aca="false">IF(B1940="","",B1940&amp;"|"&amp;J1940)</f>
        <v/>
      </c>
    </row>
    <row r="1941" customFormat="false" ht="15" hidden="false" customHeight="false" outlineLevel="0" collapsed="false">
      <c r="A1941" s="15"/>
      <c r="B1941" s="21"/>
      <c r="C1941" s="21" t="str">
        <f aca="false">IF(B1941="","",IFERROR(INDEX(代理店一覧!$B$5:$B$204,MATCH(B1941,代理店一覧!$A$5:$A$204,0)),"※未登録のID"))</f>
        <v/>
      </c>
      <c r="D1941" s="21"/>
      <c r="E1941" s="21"/>
      <c r="F1941" s="21"/>
      <c r="G1941" s="18"/>
      <c r="H1941" s="21"/>
      <c r="I1941" s="26"/>
      <c r="J1941" s="15"/>
      <c r="K1941" s="27"/>
      <c r="L1941" s="25" t="str">
        <f aca="false">IF(B1941="","",B1941&amp;"|"&amp;J1941)</f>
        <v/>
      </c>
    </row>
    <row r="1942" customFormat="false" ht="15" hidden="false" customHeight="false" outlineLevel="0" collapsed="false">
      <c r="A1942" s="15"/>
      <c r="B1942" s="21"/>
      <c r="C1942" s="21" t="str">
        <f aca="false">IF(B1942="","",IFERROR(INDEX(代理店一覧!$B$5:$B$204,MATCH(B1942,代理店一覧!$A$5:$A$204,0)),"※未登録のID"))</f>
        <v/>
      </c>
      <c r="D1942" s="21"/>
      <c r="E1942" s="21"/>
      <c r="F1942" s="21"/>
      <c r="G1942" s="18"/>
      <c r="H1942" s="21"/>
      <c r="I1942" s="26"/>
      <c r="J1942" s="15"/>
      <c r="K1942" s="27"/>
      <c r="L1942" s="25" t="str">
        <f aca="false">IF(B1942="","",B1942&amp;"|"&amp;J1942)</f>
        <v/>
      </c>
    </row>
    <row r="1943" customFormat="false" ht="15" hidden="false" customHeight="false" outlineLevel="0" collapsed="false">
      <c r="A1943" s="15"/>
      <c r="B1943" s="21"/>
      <c r="C1943" s="21" t="str">
        <f aca="false">IF(B1943="","",IFERROR(INDEX(代理店一覧!$B$5:$B$204,MATCH(B1943,代理店一覧!$A$5:$A$204,0)),"※未登録のID"))</f>
        <v/>
      </c>
      <c r="D1943" s="21"/>
      <c r="E1943" s="21"/>
      <c r="F1943" s="21"/>
      <c r="G1943" s="18"/>
      <c r="H1943" s="21"/>
      <c r="I1943" s="26"/>
      <c r="J1943" s="15"/>
      <c r="K1943" s="27"/>
      <c r="L1943" s="25" t="str">
        <f aca="false">IF(B1943="","",B1943&amp;"|"&amp;J1943)</f>
        <v/>
      </c>
    </row>
    <row r="1944" customFormat="false" ht="15" hidden="false" customHeight="false" outlineLevel="0" collapsed="false">
      <c r="A1944" s="15"/>
      <c r="B1944" s="21"/>
      <c r="C1944" s="21" t="str">
        <f aca="false">IF(B1944="","",IFERROR(INDEX(代理店一覧!$B$5:$B$204,MATCH(B1944,代理店一覧!$A$5:$A$204,0)),"※未登録のID"))</f>
        <v/>
      </c>
      <c r="D1944" s="21"/>
      <c r="E1944" s="21"/>
      <c r="F1944" s="21"/>
      <c r="G1944" s="18"/>
      <c r="H1944" s="21"/>
      <c r="I1944" s="26"/>
      <c r="J1944" s="15"/>
      <c r="K1944" s="27"/>
      <c r="L1944" s="25" t="str">
        <f aca="false">IF(B1944="","",B1944&amp;"|"&amp;J1944)</f>
        <v/>
      </c>
    </row>
    <row r="1945" customFormat="false" ht="15" hidden="false" customHeight="false" outlineLevel="0" collapsed="false">
      <c r="A1945" s="15"/>
      <c r="B1945" s="21"/>
      <c r="C1945" s="21" t="str">
        <f aca="false">IF(B1945="","",IFERROR(INDEX(代理店一覧!$B$5:$B$204,MATCH(B1945,代理店一覧!$A$5:$A$204,0)),"※未登録のID"))</f>
        <v/>
      </c>
      <c r="D1945" s="21"/>
      <c r="E1945" s="21"/>
      <c r="F1945" s="21"/>
      <c r="G1945" s="18"/>
      <c r="H1945" s="21"/>
      <c r="I1945" s="26"/>
      <c r="J1945" s="15"/>
      <c r="K1945" s="27"/>
      <c r="L1945" s="25" t="str">
        <f aca="false">IF(B1945="","",B1945&amp;"|"&amp;J1945)</f>
        <v/>
      </c>
    </row>
    <row r="1946" customFormat="false" ht="15" hidden="false" customHeight="false" outlineLevel="0" collapsed="false">
      <c r="A1946" s="15"/>
      <c r="B1946" s="21"/>
      <c r="C1946" s="21" t="str">
        <f aca="false">IF(B1946="","",IFERROR(INDEX(代理店一覧!$B$5:$B$204,MATCH(B1946,代理店一覧!$A$5:$A$204,0)),"※未登録のID"))</f>
        <v/>
      </c>
      <c r="D1946" s="21"/>
      <c r="E1946" s="21"/>
      <c r="F1946" s="21"/>
      <c r="G1946" s="18"/>
      <c r="H1946" s="21"/>
      <c r="I1946" s="26"/>
      <c r="J1946" s="15"/>
      <c r="K1946" s="27"/>
      <c r="L1946" s="25" t="str">
        <f aca="false">IF(B1946="","",B1946&amp;"|"&amp;J1946)</f>
        <v/>
      </c>
    </row>
    <row r="1947" customFormat="false" ht="15" hidden="false" customHeight="false" outlineLevel="0" collapsed="false">
      <c r="A1947" s="15"/>
      <c r="B1947" s="21"/>
      <c r="C1947" s="21" t="str">
        <f aca="false">IF(B1947="","",IFERROR(INDEX(代理店一覧!$B$5:$B$204,MATCH(B1947,代理店一覧!$A$5:$A$204,0)),"※未登録のID"))</f>
        <v/>
      </c>
      <c r="D1947" s="21"/>
      <c r="E1947" s="21"/>
      <c r="F1947" s="21"/>
      <c r="G1947" s="18"/>
      <c r="H1947" s="21"/>
      <c r="I1947" s="26"/>
      <c r="J1947" s="15"/>
      <c r="K1947" s="27"/>
      <c r="L1947" s="25" t="str">
        <f aca="false">IF(B1947="","",B1947&amp;"|"&amp;J1947)</f>
        <v/>
      </c>
    </row>
    <row r="1948" customFormat="false" ht="15" hidden="false" customHeight="false" outlineLevel="0" collapsed="false">
      <c r="A1948" s="15"/>
      <c r="B1948" s="21"/>
      <c r="C1948" s="21" t="str">
        <f aca="false">IF(B1948="","",IFERROR(INDEX(代理店一覧!$B$5:$B$204,MATCH(B1948,代理店一覧!$A$5:$A$204,0)),"※未登録のID"))</f>
        <v/>
      </c>
      <c r="D1948" s="21"/>
      <c r="E1948" s="21"/>
      <c r="F1948" s="21"/>
      <c r="G1948" s="18"/>
      <c r="H1948" s="21"/>
      <c r="I1948" s="26"/>
      <c r="J1948" s="15"/>
      <c r="K1948" s="27"/>
      <c r="L1948" s="25" t="str">
        <f aca="false">IF(B1948="","",B1948&amp;"|"&amp;J1948)</f>
        <v/>
      </c>
    </row>
    <row r="1949" customFormat="false" ht="15" hidden="false" customHeight="false" outlineLevel="0" collapsed="false">
      <c r="A1949" s="15"/>
      <c r="B1949" s="21"/>
      <c r="C1949" s="21" t="str">
        <f aca="false">IF(B1949="","",IFERROR(INDEX(代理店一覧!$B$5:$B$204,MATCH(B1949,代理店一覧!$A$5:$A$204,0)),"※未登録のID"))</f>
        <v/>
      </c>
      <c r="D1949" s="21"/>
      <c r="E1949" s="21"/>
      <c r="F1949" s="21"/>
      <c r="G1949" s="18"/>
      <c r="H1949" s="21"/>
      <c r="I1949" s="26"/>
      <c r="J1949" s="15"/>
      <c r="K1949" s="27"/>
      <c r="L1949" s="25" t="str">
        <f aca="false">IF(B1949="","",B1949&amp;"|"&amp;J1949)</f>
        <v/>
      </c>
    </row>
    <row r="1950" customFormat="false" ht="15" hidden="false" customHeight="false" outlineLevel="0" collapsed="false">
      <c r="A1950" s="15"/>
      <c r="B1950" s="21"/>
      <c r="C1950" s="21" t="str">
        <f aca="false">IF(B1950="","",IFERROR(INDEX(代理店一覧!$B$5:$B$204,MATCH(B1950,代理店一覧!$A$5:$A$204,0)),"※未登録のID"))</f>
        <v/>
      </c>
      <c r="D1950" s="21"/>
      <c r="E1950" s="21"/>
      <c r="F1950" s="21"/>
      <c r="G1950" s="18"/>
      <c r="H1950" s="21"/>
      <c r="I1950" s="26"/>
      <c r="J1950" s="15"/>
      <c r="K1950" s="27"/>
      <c r="L1950" s="25" t="str">
        <f aca="false">IF(B1950="","",B1950&amp;"|"&amp;J1950)</f>
        <v/>
      </c>
    </row>
    <row r="1951" customFormat="false" ht="15" hidden="false" customHeight="false" outlineLevel="0" collapsed="false">
      <c r="A1951" s="15"/>
      <c r="B1951" s="21"/>
      <c r="C1951" s="21" t="str">
        <f aca="false">IF(B1951="","",IFERROR(INDEX(代理店一覧!$B$5:$B$204,MATCH(B1951,代理店一覧!$A$5:$A$204,0)),"※未登録のID"))</f>
        <v/>
      </c>
      <c r="D1951" s="21"/>
      <c r="E1951" s="21"/>
      <c r="F1951" s="21"/>
      <c r="G1951" s="18"/>
      <c r="H1951" s="21"/>
      <c r="I1951" s="26"/>
      <c r="J1951" s="15"/>
      <c r="K1951" s="27"/>
      <c r="L1951" s="25" t="str">
        <f aca="false">IF(B1951="","",B1951&amp;"|"&amp;J1951)</f>
        <v/>
      </c>
    </row>
    <row r="1952" customFormat="false" ht="15" hidden="false" customHeight="false" outlineLevel="0" collapsed="false">
      <c r="A1952" s="15"/>
      <c r="B1952" s="21"/>
      <c r="C1952" s="21" t="str">
        <f aca="false">IF(B1952="","",IFERROR(INDEX(代理店一覧!$B$5:$B$204,MATCH(B1952,代理店一覧!$A$5:$A$204,0)),"※未登録のID"))</f>
        <v/>
      </c>
      <c r="D1952" s="21"/>
      <c r="E1952" s="21"/>
      <c r="F1952" s="21"/>
      <c r="G1952" s="18"/>
      <c r="H1952" s="21"/>
      <c r="I1952" s="26"/>
      <c r="J1952" s="15"/>
      <c r="K1952" s="27"/>
      <c r="L1952" s="25" t="str">
        <f aca="false">IF(B1952="","",B1952&amp;"|"&amp;J1952)</f>
        <v/>
      </c>
    </row>
    <row r="1953" customFormat="false" ht="15" hidden="false" customHeight="false" outlineLevel="0" collapsed="false">
      <c r="A1953" s="15"/>
      <c r="B1953" s="21"/>
      <c r="C1953" s="21" t="str">
        <f aca="false">IF(B1953="","",IFERROR(INDEX(代理店一覧!$B$5:$B$204,MATCH(B1953,代理店一覧!$A$5:$A$204,0)),"※未登録のID"))</f>
        <v/>
      </c>
      <c r="D1953" s="21"/>
      <c r="E1953" s="21"/>
      <c r="F1953" s="21"/>
      <c r="G1953" s="18"/>
      <c r="H1953" s="21"/>
      <c r="I1953" s="26"/>
      <c r="J1953" s="15"/>
      <c r="K1953" s="27"/>
      <c r="L1953" s="25" t="str">
        <f aca="false">IF(B1953="","",B1953&amp;"|"&amp;J1953)</f>
        <v/>
      </c>
    </row>
    <row r="1954" customFormat="false" ht="15" hidden="false" customHeight="false" outlineLevel="0" collapsed="false">
      <c r="A1954" s="15"/>
      <c r="B1954" s="21"/>
      <c r="C1954" s="21" t="str">
        <f aca="false">IF(B1954="","",IFERROR(INDEX(代理店一覧!$B$5:$B$204,MATCH(B1954,代理店一覧!$A$5:$A$204,0)),"※未登録のID"))</f>
        <v/>
      </c>
      <c r="D1954" s="21"/>
      <c r="E1954" s="21"/>
      <c r="F1954" s="21"/>
      <c r="G1954" s="18"/>
      <c r="H1954" s="21"/>
      <c r="I1954" s="26"/>
      <c r="J1954" s="15"/>
      <c r="K1954" s="27"/>
      <c r="L1954" s="25" t="str">
        <f aca="false">IF(B1954="","",B1954&amp;"|"&amp;J1954)</f>
        <v/>
      </c>
    </row>
    <row r="1955" customFormat="false" ht="15" hidden="false" customHeight="false" outlineLevel="0" collapsed="false">
      <c r="A1955" s="15"/>
      <c r="B1955" s="21"/>
      <c r="C1955" s="21" t="str">
        <f aca="false">IF(B1955="","",IFERROR(INDEX(代理店一覧!$B$5:$B$204,MATCH(B1955,代理店一覧!$A$5:$A$204,0)),"※未登録のID"))</f>
        <v/>
      </c>
      <c r="D1955" s="21"/>
      <c r="E1955" s="21"/>
      <c r="F1955" s="21"/>
      <c r="G1955" s="18"/>
      <c r="H1955" s="21"/>
      <c r="I1955" s="26"/>
      <c r="J1955" s="15"/>
      <c r="K1955" s="27"/>
      <c r="L1955" s="25" t="str">
        <f aca="false">IF(B1955="","",B1955&amp;"|"&amp;J1955)</f>
        <v/>
      </c>
    </row>
    <row r="1956" customFormat="false" ht="15" hidden="false" customHeight="false" outlineLevel="0" collapsed="false">
      <c r="A1956" s="15"/>
      <c r="B1956" s="21"/>
      <c r="C1956" s="21" t="str">
        <f aca="false">IF(B1956="","",IFERROR(INDEX(代理店一覧!$B$5:$B$204,MATCH(B1956,代理店一覧!$A$5:$A$204,0)),"※未登録のID"))</f>
        <v/>
      </c>
      <c r="D1956" s="21"/>
      <c r="E1956" s="21"/>
      <c r="F1956" s="21"/>
      <c r="G1956" s="18"/>
      <c r="H1956" s="21"/>
      <c r="I1956" s="26"/>
      <c r="J1956" s="15"/>
      <c r="K1956" s="27"/>
      <c r="L1956" s="25" t="str">
        <f aca="false">IF(B1956="","",B1956&amp;"|"&amp;J1956)</f>
        <v/>
      </c>
    </row>
    <row r="1957" customFormat="false" ht="15" hidden="false" customHeight="false" outlineLevel="0" collapsed="false">
      <c r="A1957" s="15"/>
      <c r="B1957" s="21"/>
      <c r="C1957" s="21" t="str">
        <f aca="false">IF(B1957="","",IFERROR(INDEX(代理店一覧!$B$5:$B$204,MATCH(B1957,代理店一覧!$A$5:$A$204,0)),"※未登録のID"))</f>
        <v/>
      </c>
      <c r="D1957" s="21"/>
      <c r="E1957" s="21"/>
      <c r="F1957" s="21"/>
      <c r="G1957" s="18"/>
      <c r="H1957" s="21"/>
      <c r="I1957" s="26"/>
      <c r="J1957" s="15"/>
      <c r="K1957" s="27"/>
      <c r="L1957" s="25" t="str">
        <f aca="false">IF(B1957="","",B1957&amp;"|"&amp;J1957)</f>
        <v/>
      </c>
    </row>
    <row r="1958" customFormat="false" ht="15" hidden="false" customHeight="false" outlineLevel="0" collapsed="false">
      <c r="A1958" s="15"/>
      <c r="B1958" s="21"/>
      <c r="C1958" s="21" t="str">
        <f aca="false">IF(B1958="","",IFERROR(INDEX(代理店一覧!$B$5:$B$204,MATCH(B1958,代理店一覧!$A$5:$A$204,0)),"※未登録のID"))</f>
        <v/>
      </c>
      <c r="D1958" s="21"/>
      <c r="E1958" s="21"/>
      <c r="F1958" s="21"/>
      <c r="G1958" s="18"/>
      <c r="H1958" s="21"/>
      <c r="I1958" s="26"/>
      <c r="J1958" s="15"/>
      <c r="K1958" s="27"/>
      <c r="L1958" s="25" t="str">
        <f aca="false">IF(B1958="","",B1958&amp;"|"&amp;J1958)</f>
        <v/>
      </c>
    </row>
    <row r="1959" customFormat="false" ht="15" hidden="false" customHeight="false" outlineLevel="0" collapsed="false">
      <c r="A1959" s="15"/>
      <c r="B1959" s="21"/>
      <c r="C1959" s="21" t="str">
        <f aca="false">IF(B1959="","",IFERROR(INDEX(代理店一覧!$B$5:$B$204,MATCH(B1959,代理店一覧!$A$5:$A$204,0)),"※未登録のID"))</f>
        <v/>
      </c>
      <c r="D1959" s="21"/>
      <c r="E1959" s="21"/>
      <c r="F1959" s="21"/>
      <c r="G1959" s="18"/>
      <c r="H1959" s="21"/>
      <c r="I1959" s="26"/>
      <c r="J1959" s="15"/>
      <c r="K1959" s="27"/>
      <c r="L1959" s="25" t="str">
        <f aca="false">IF(B1959="","",B1959&amp;"|"&amp;J1959)</f>
        <v/>
      </c>
    </row>
    <row r="1960" customFormat="false" ht="15" hidden="false" customHeight="false" outlineLevel="0" collapsed="false">
      <c r="A1960" s="15"/>
      <c r="B1960" s="21"/>
      <c r="C1960" s="21" t="str">
        <f aca="false">IF(B1960="","",IFERROR(INDEX(代理店一覧!$B$5:$B$204,MATCH(B1960,代理店一覧!$A$5:$A$204,0)),"※未登録のID"))</f>
        <v/>
      </c>
      <c r="D1960" s="21"/>
      <c r="E1960" s="21"/>
      <c r="F1960" s="21"/>
      <c r="G1960" s="18"/>
      <c r="H1960" s="21"/>
      <c r="I1960" s="26"/>
      <c r="J1960" s="15"/>
      <c r="K1960" s="27"/>
      <c r="L1960" s="25" t="str">
        <f aca="false">IF(B1960="","",B1960&amp;"|"&amp;J1960)</f>
        <v/>
      </c>
    </row>
    <row r="1961" customFormat="false" ht="15" hidden="false" customHeight="false" outlineLevel="0" collapsed="false">
      <c r="A1961" s="15"/>
      <c r="B1961" s="21"/>
      <c r="C1961" s="21" t="str">
        <f aca="false">IF(B1961="","",IFERROR(INDEX(代理店一覧!$B$5:$B$204,MATCH(B1961,代理店一覧!$A$5:$A$204,0)),"※未登録のID"))</f>
        <v/>
      </c>
      <c r="D1961" s="21"/>
      <c r="E1961" s="21"/>
      <c r="F1961" s="21"/>
      <c r="G1961" s="18"/>
      <c r="H1961" s="21"/>
      <c r="I1961" s="26"/>
      <c r="J1961" s="15"/>
      <c r="K1961" s="27"/>
      <c r="L1961" s="25" t="str">
        <f aca="false">IF(B1961="","",B1961&amp;"|"&amp;J1961)</f>
        <v/>
      </c>
    </row>
    <row r="1962" customFormat="false" ht="15" hidden="false" customHeight="false" outlineLevel="0" collapsed="false">
      <c r="A1962" s="15"/>
      <c r="B1962" s="21"/>
      <c r="C1962" s="21" t="str">
        <f aca="false">IF(B1962="","",IFERROR(INDEX(代理店一覧!$B$5:$B$204,MATCH(B1962,代理店一覧!$A$5:$A$204,0)),"※未登録のID"))</f>
        <v/>
      </c>
      <c r="D1962" s="21"/>
      <c r="E1962" s="21"/>
      <c r="F1962" s="21"/>
      <c r="G1962" s="18"/>
      <c r="H1962" s="21"/>
      <c r="I1962" s="26"/>
      <c r="J1962" s="15"/>
      <c r="K1962" s="27"/>
      <c r="L1962" s="25" t="str">
        <f aca="false">IF(B1962="","",B1962&amp;"|"&amp;J1962)</f>
        <v/>
      </c>
    </row>
    <row r="1963" customFormat="false" ht="15" hidden="false" customHeight="false" outlineLevel="0" collapsed="false">
      <c r="A1963" s="15"/>
      <c r="B1963" s="21"/>
      <c r="C1963" s="21" t="str">
        <f aca="false">IF(B1963="","",IFERROR(INDEX(代理店一覧!$B$5:$B$204,MATCH(B1963,代理店一覧!$A$5:$A$204,0)),"※未登録のID"))</f>
        <v/>
      </c>
      <c r="D1963" s="21"/>
      <c r="E1963" s="21"/>
      <c r="F1963" s="21"/>
      <c r="G1963" s="18"/>
      <c r="H1963" s="21"/>
      <c r="I1963" s="26"/>
      <c r="J1963" s="15"/>
      <c r="K1963" s="27"/>
      <c r="L1963" s="25" t="str">
        <f aca="false">IF(B1963="","",B1963&amp;"|"&amp;J1963)</f>
        <v/>
      </c>
    </row>
    <row r="1964" customFormat="false" ht="15" hidden="false" customHeight="false" outlineLevel="0" collapsed="false">
      <c r="A1964" s="15"/>
      <c r="B1964" s="21"/>
      <c r="C1964" s="21" t="str">
        <f aca="false">IF(B1964="","",IFERROR(INDEX(代理店一覧!$B$5:$B$204,MATCH(B1964,代理店一覧!$A$5:$A$204,0)),"※未登録のID"))</f>
        <v/>
      </c>
      <c r="D1964" s="21"/>
      <c r="E1964" s="21"/>
      <c r="F1964" s="21"/>
      <c r="G1964" s="18"/>
      <c r="H1964" s="21"/>
      <c r="I1964" s="26"/>
      <c r="J1964" s="15"/>
      <c r="K1964" s="27"/>
      <c r="L1964" s="25" t="str">
        <f aca="false">IF(B1964="","",B1964&amp;"|"&amp;J1964)</f>
        <v/>
      </c>
    </row>
    <row r="1965" customFormat="false" ht="15" hidden="false" customHeight="false" outlineLevel="0" collapsed="false">
      <c r="A1965" s="15"/>
      <c r="B1965" s="21"/>
      <c r="C1965" s="21" t="str">
        <f aca="false">IF(B1965="","",IFERROR(INDEX(代理店一覧!$B$5:$B$204,MATCH(B1965,代理店一覧!$A$5:$A$204,0)),"※未登録のID"))</f>
        <v/>
      </c>
      <c r="D1965" s="21"/>
      <c r="E1965" s="21"/>
      <c r="F1965" s="21"/>
      <c r="G1965" s="18"/>
      <c r="H1965" s="21"/>
      <c r="I1965" s="26"/>
      <c r="J1965" s="15"/>
      <c r="K1965" s="27"/>
      <c r="L1965" s="25" t="str">
        <f aca="false">IF(B1965="","",B1965&amp;"|"&amp;J1965)</f>
        <v/>
      </c>
    </row>
    <row r="1966" customFormat="false" ht="15" hidden="false" customHeight="false" outlineLevel="0" collapsed="false">
      <c r="A1966" s="15"/>
      <c r="B1966" s="21"/>
      <c r="C1966" s="21" t="str">
        <f aca="false">IF(B1966="","",IFERROR(INDEX(代理店一覧!$B$5:$B$204,MATCH(B1966,代理店一覧!$A$5:$A$204,0)),"※未登録のID"))</f>
        <v/>
      </c>
      <c r="D1966" s="21"/>
      <c r="E1966" s="21"/>
      <c r="F1966" s="21"/>
      <c r="G1966" s="18"/>
      <c r="H1966" s="21"/>
      <c r="I1966" s="26"/>
      <c r="J1966" s="15"/>
      <c r="K1966" s="27"/>
      <c r="L1966" s="25" t="str">
        <f aca="false">IF(B1966="","",B1966&amp;"|"&amp;J1966)</f>
        <v/>
      </c>
    </row>
    <row r="1967" customFormat="false" ht="15" hidden="false" customHeight="false" outlineLevel="0" collapsed="false">
      <c r="A1967" s="15"/>
      <c r="B1967" s="21"/>
      <c r="C1967" s="21" t="str">
        <f aca="false">IF(B1967="","",IFERROR(INDEX(代理店一覧!$B$5:$B$204,MATCH(B1967,代理店一覧!$A$5:$A$204,0)),"※未登録のID"))</f>
        <v/>
      </c>
      <c r="D1967" s="21"/>
      <c r="E1967" s="21"/>
      <c r="F1967" s="21"/>
      <c r="G1967" s="18"/>
      <c r="H1967" s="21"/>
      <c r="I1967" s="26"/>
      <c r="J1967" s="15"/>
      <c r="K1967" s="27"/>
      <c r="L1967" s="25" t="str">
        <f aca="false">IF(B1967="","",B1967&amp;"|"&amp;J1967)</f>
        <v/>
      </c>
    </row>
    <row r="1968" customFormat="false" ht="15" hidden="false" customHeight="false" outlineLevel="0" collapsed="false">
      <c r="A1968" s="15"/>
      <c r="B1968" s="21"/>
      <c r="C1968" s="21" t="str">
        <f aca="false">IF(B1968="","",IFERROR(INDEX(代理店一覧!$B$5:$B$204,MATCH(B1968,代理店一覧!$A$5:$A$204,0)),"※未登録のID"))</f>
        <v/>
      </c>
      <c r="D1968" s="21"/>
      <c r="E1968" s="21"/>
      <c r="F1968" s="21"/>
      <c r="G1968" s="18"/>
      <c r="H1968" s="21"/>
      <c r="I1968" s="26"/>
      <c r="J1968" s="15"/>
      <c r="K1968" s="27"/>
      <c r="L1968" s="25" t="str">
        <f aca="false">IF(B1968="","",B1968&amp;"|"&amp;J1968)</f>
        <v/>
      </c>
    </row>
    <row r="1969" customFormat="false" ht="15" hidden="false" customHeight="false" outlineLevel="0" collapsed="false">
      <c r="A1969" s="15"/>
      <c r="B1969" s="21"/>
      <c r="C1969" s="21" t="str">
        <f aca="false">IF(B1969="","",IFERROR(INDEX(代理店一覧!$B$5:$B$204,MATCH(B1969,代理店一覧!$A$5:$A$204,0)),"※未登録のID"))</f>
        <v/>
      </c>
      <c r="D1969" s="21"/>
      <c r="E1969" s="21"/>
      <c r="F1969" s="21"/>
      <c r="G1969" s="18"/>
      <c r="H1969" s="21"/>
      <c r="I1969" s="26"/>
      <c r="J1969" s="15"/>
      <c r="K1969" s="27"/>
      <c r="L1969" s="25" t="str">
        <f aca="false">IF(B1969="","",B1969&amp;"|"&amp;J1969)</f>
        <v/>
      </c>
    </row>
    <row r="1970" customFormat="false" ht="15" hidden="false" customHeight="false" outlineLevel="0" collapsed="false">
      <c r="A1970" s="15"/>
      <c r="B1970" s="21"/>
      <c r="C1970" s="21" t="str">
        <f aca="false">IF(B1970="","",IFERROR(INDEX(代理店一覧!$B$5:$B$204,MATCH(B1970,代理店一覧!$A$5:$A$204,0)),"※未登録のID"))</f>
        <v/>
      </c>
      <c r="D1970" s="21"/>
      <c r="E1970" s="21"/>
      <c r="F1970" s="21"/>
      <c r="G1970" s="18"/>
      <c r="H1970" s="21"/>
      <c r="I1970" s="26"/>
      <c r="J1970" s="15"/>
      <c r="K1970" s="27"/>
      <c r="L1970" s="25" t="str">
        <f aca="false">IF(B1970="","",B1970&amp;"|"&amp;J1970)</f>
        <v/>
      </c>
    </row>
    <row r="1971" customFormat="false" ht="15" hidden="false" customHeight="false" outlineLevel="0" collapsed="false">
      <c r="A1971" s="15"/>
      <c r="B1971" s="21"/>
      <c r="C1971" s="21" t="str">
        <f aca="false">IF(B1971="","",IFERROR(INDEX(代理店一覧!$B$5:$B$204,MATCH(B1971,代理店一覧!$A$5:$A$204,0)),"※未登録のID"))</f>
        <v/>
      </c>
      <c r="D1971" s="21"/>
      <c r="E1971" s="21"/>
      <c r="F1971" s="21"/>
      <c r="G1971" s="18"/>
      <c r="H1971" s="21"/>
      <c r="I1971" s="26"/>
      <c r="J1971" s="15"/>
      <c r="K1971" s="27"/>
      <c r="L1971" s="25" t="str">
        <f aca="false">IF(B1971="","",B1971&amp;"|"&amp;J1971)</f>
        <v/>
      </c>
    </row>
    <row r="1972" customFormat="false" ht="15" hidden="false" customHeight="false" outlineLevel="0" collapsed="false">
      <c r="A1972" s="15"/>
      <c r="B1972" s="21"/>
      <c r="C1972" s="21" t="str">
        <f aca="false">IF(B1972="","",IFERROR(INDEX(代理店一覧!$B$5:$B$204,MATCH(B1972,代理店一覧!$A$5:$A$204,0)),"※未登録のID"))</f>
        <v/>
      </c>
      <c r="D1972" s="21"/>
      <c r="E1972" s="21"/>
      <c r="F1972" s="21"/>
      <c r="G1972" s="18"/>
      <c r="H1972" s="21"/>
      <c r="I1972" s="26"/>
      <c r="J1972" s="15"/>
      <c r="K1972" s="27"/>
      <c r="L1972" s="25" t="str">
        <f aca="false">IF(B1972="","",B1972&amp;"|"&amp;J1972)</f>
        <v/>
      </c>
    </row>
    <row r="1973" customFormat="false" ht="15" hidden="false" customHeight="false" outlineLevel="0" collapsed="false">
      <c r="A1973" s="15"/>
      <c r="B1973" s="21"/>
      <c r="C1973" s="21" t="str">
        <f aca="false">IF(B1973="","",IFERROR(INDEX(代理店一覧!$B$5:$B$204,MATCH(B1973,代理店一覧!$A$5:$A$204,0)),"※未登録のID"))</f>
        <v/>
      </c>
      <c r="D1973" s="21"/>
      <c r="E1973" s="21"/>
      <c r="F1973" s="21"/>
      <c r="G1973" s="18"/>
      <c r="H1973" s="21"/>
      <c r="I1973" s="26"/>
      <c r="J1973" s="15"/>
      <c r="K1973" s="27"/>
      <c r="L1973" s="25" t="str">
        <f aca="false">IF(B1973="","",B1973&amp;"|"&amp;J1973)</f>
        <v/>
      </c>
    </row>
    <row r="1974" customFormat="false" ht="15" hidden="false" customHeight="false" outlineLevel="0" collapsed="false">
      <c r="A1974" s="15"/>
      <c r="B1974" s="21"/>
      <c r="C1974" s="21" t="str">
        <f aca="false">IF(B1974="","",IFERROR(INDEX(代理店一覧!$B$5:$B$204,MATCH(B1974,代理店一覧!$A$5:$A$204,0)),"※未登録のID"))</f>
        <v/>
      </c>
      <c r="D1974" s="21"/>
      <c r="E1974" s="21"/>
      <c r="F1974" s="21"/>
      <c r="G1974" s="18"/>
      <c r="H1974" s="21"/>
      <c r="I1974" s="26"/>
      <c r="J1974" s="15"/>
      <c r="K1974" s="27"/>
      <c r="L1974" s="25" t="str">
        <f aca="false">IF(B1974="","",B1974&amp;"|"&amp;J1974)</f>
        <v/>
      </c>
    </row>
    <row r="1975" customFormat="false" ht="15" hidden="false" customHeight="false" outlineLevel="0" collapsed="false">
      <c r="A1975" s="15"/>
      <c r="B1975" s="21"/>
      <c r="C1975" s="21" t="str">
        <f aca="false">IF(B1975="","",IFERROR(INDEX(代理店一覧!$B$5:$B$204,MATCH(B1975,代理店一覧!$A$5:$A$204,0)),"※未登録のID"))</f>
        <v/>
      </c>
      <c r="D1975" s="21"/>
      <c r="E1975" s="21"/>
      <c r="F1975" s="21"/>
      <c r="G1975" s="18"/>
      <c r="H1975" s="21"/>
      <c r="I1975" s="26"/>
      <c r="J1975" s="15"/>
      <c r="K1975" s="27"/>
      <c r="L1975" s="25" t="str">
        <f aca="false">IF(B1975="","",B1975&amp;"|"&amp;J1975)</f>
        <v/>
      </c>
    </row>
    <row r="1976" customFormat="false" ht="15" hidden="false" customHeight="false" outlineLevel="0" collapsed="false">
      <c r="A1976" s="15"/>
      <c r="B1976" s="21"/>
      <c r="C1976" s="21" t="str">
        <f aca="false">IF(B1976="","",IFERROR(INDEX(代理店一覧!$B$5:$B$204,MATCH(B1976,代理店一覧!$A$5:$A$204,0)),"※未登録のID"))</f>
        <v/>
      </c>
      <c r="D1976" s="21"/>
      <c r="E1976" s="21"/>
      <c r="F1976" s="21"/>
      <c r="G1976" s="18"/>
      <c r="H1976" s="21"/>
      <c r="I1976" s="26"/>
      <c r="J1976" s="15"/>
      <c r="K1976" s="27"/>
      <c r="L1976" s="25" t="str">
        <f aca="false">IF(B1976="","",B1976&amp;"|"&amp;J1976)</f>
        <v/>
      </c>
    </row>
    <row r="1977" customFormat="false" ht="15" hidden="false" customHeight="false" outlineLevel="0" collapsed="false">
      <c r="A1977" s="15"/>
      <c r="B1977" s="21"/>
      <c r="C1977" s="21" t="str">
        <f aca="false">IF(B1977="","",IFERROR(INDEX(代理店一覧!$B$5:$B$204,MATCH(B1977,代理店一覧!$A$5:$A$204,0)),"※未登録のID"))</f>
        <v/>
      </c>
      <c r="D1977" s="21"/>
      <c r="E1977" s="21"/>
      <c r="F1977" s="21"/>
      <c r="G1977" s="18"/>
      <c r="H1977" s="21"/>
      <c r="I1977" s="26"/>
      <c r="J1977" s="15"/>
      <c r="K1977" s="27"/>
      <c r="L1977" s="25" t="str">
        <f aca="false">IF(B1977="","",B1977&amp;"|"&amp;J1977)</f>
        <v/>
      </c>
    </row>
    <row r="1978" customFormat="false" ht="15" hidden="false" customHeight="false" outlineLevel="0" collapsed="false">
      <c r="A1978" s="15"/>
      <c r="B1978" s="21"/>
      <c r="C1978" s="21" t="str">
        <f aca="false">IF(B1978="","",IFERROR(INDEX(代理店一覧!$B$5:$B$204,MATCH(B1978,代理店一覧!$A$5:$A$204,0)),"※未登録のID"))</f>
        <v/>
      </c>
      <c r="D1978" s="21"/>
      <c r="E1978" s="21"/>
      <c r="F1978" s="21"/>
      <c r="G1978" s="18"/>
      <c r="H1978" s="21"/>
      <c r="I1978" s="26"/>
      <c r="J1978" s="15"/>
      <c r="K1978" s="27"/>
      <c r="L1978" s="25" t="str">
        <f aca="false">IF(B1978="","",B1978&amp;"|"&amp;J1978)</f>
        <v/>
      </c>
    </row>
    <row r="1979" customFormat="false" ht="15" hidden="false" customHeight="false" outlineLevel="0" collapsed="false">
      <c r="A1979" s="15"/>
      <c r="B1979" s="21"/>
      <c r="C1979" s="21" t="str">
        <f aca="false">IF(B1979="","",IFERROR(INDEX(代理店一覧!$B$5:$B$204,MATCH(B1979,代理店一覧!$A$5:$A$204,0)),"※未登録のID"))</f>
        <v/>
      </c>
      <c r="D1979" s="21"/>
      <c r="E1979" s="21"/>
      <c r="F1979" s="21"/>
      <c r="G1979" s="18"/>
      <c r="H1979" s="21"/>
      <c r="I1979" s="26"/>
      <c r="J1979" s="15"/>
      <c r="K1979" s="27"/>
      <c r="L1979" s="25" t="str">
        <f aca="false">IF(B1979="","",B1979&amp;"|"&amp;J1979)</f>
        <v/>
      </c>
    </row>
    <row r="1980" customFormat="false" ht="15" hidden="false" customHeight="false" outlineLevel="0" collapsed="false">
      <c r="A1980" s="15"/>
      <c r="B1980" s="21"/>
      <c r="C1980" s="21" t="str">
        <f aca="false">IF(B1980="","",IFERROR(INDEX(代理店一覧!$B$5:$B$204,MATCH(B1980,代理店一覧!$A$5:$A$204,0)),"※未登録のID"))</f>
        <v/>
      </c>
      <c r="D1980" s="21"/>
      <c r="E1980" s="21"/>
      <c r="F1980" s="21"/>
      <c r="G1980" s="18"/>
      <c r="H1980" s="21"/>
      <c r="I1980" s="26"/>
      <c r="J1980" s="15"/>
      <c r="K1980" s="27"/>
      <c r="L1980" s="25" t="str">
        <f aca="false">IF(B1980="","",B1980&amp;"|"&amp;J1980)</f>
        <v/>
      </c>
    </row>
    <row r="1981" customFormat="false" ht="15" hidden="false" customHeight="false" outlineLevel="0" collapsed="false">
      <c r="A1981" s="15"/>
      <c r="B1981" s="21"/>
      <c r="C1981" s="21" t="str">
        <f aca="false">IF(B1981="","",IFERROR(INDEX(代理店一覧!$B$5:$B$204,MATCH(B1981,代理店一覧!$A$5:$A$204,0)),"※未登録のID"))</f>
        <v/>
      </c>
      <c r="D1981" s="21"/>
      <c r="E1981" s="21"/>
      <c r="F1981" s="21"/>
      <c r="G1981" s="18"/>
      <c r="H1981" s="21"/>
      <c r="I1981" s="26"/>
      <c r="J1981" s="15"/>
      <c r="K1981" s="27"/>
      <c r="L1981" s="25" t="str">
        <f aca="false">IF(B1981="","",B1981&amp;"|"&amp;J1981)</f>
        <v/>
      </c>
    </row>
    <row r="1982" customFormat="false" ht="15" hidden="false" customHeight="false" outlineLevel="0" collapsed="false">
      <c r="A1982" s="15"/>
      <c r="B1982" s="21"/>
      <c r="C1982" s="21" t="str">
        <f aca="false">IF(B1982="","",IFERROR(INDEX(代理店一覧!$B$5:$B$204,MATCH(B1982,代理店一覧!$A$5:$A$204,0)),"※未登録のID"))</f>
        <v/>
      </c>
      <c r="D1982" s="21"/>
      <c r="E1982" s="21"/>
      <c r="F1982" s="21"/>
      <c r="G1982" s="18"/>
      <c r="H1982" s="21"/>
      <c r="I1982" s="26"/>
      <c r="J1982" s="15"/>
      <c r="K1982" s="27"/>
      <c r="L1982" s="25" t="str">
        <f aca="false">IF(B1982="","",B1982&amp;"|"&amp;J1982)</f>
        <v/>
      </c>
    </row>
    <row r="1983" customFormat="false" ht="15" hidden="false" customHeight="false" outlineLevel="0" collapsed="false">
      <c r="A1983" s="15"/>
      <c r="B1983" s="21"/>
      <c r="C1983" s="21" t="str">
        <f aca="false">IF(B1983="","",IFERROR(INDEX(代理店一覧!$B$5:$B$204,MATCH(B1983,代理店一覧!$A$5:$A$204,0)),"※未登録のID"))</f>
        <v/>
      </c>
      <c r="D1983" s="21"/>
      <c r="E1983" s="21"/>
      <c r="F1983" s="21"/>
      <c r="G1983" s="18"/>
      <c r="H1983" s="21"/>
      <c r="I1983" s="26"/>
      <c r="J1983" s="15"/>
      <c r="K1983" s="27"/>
      <c r="L1983" s="25" t="str">
        <f aca="false">IF(B1983="","",B1983&amp;"|"&amp;J1983)</f>
        <v/>
      </c>
    </row>
    <row r="1984" customFormat="false" ht="15" hidden="false" customHeight="false" outlineLevel="0" collapsed="false">
      <c r="A1984" s="15"/>
      <c r="B1984" s="21"/>
      <c r="C1984" s="21" t="str">
        <f aca="false">IF(B1984="","",IFERROR(INDEX(代理店一覧!$B$5:$B$204,MATCH(B1984,代理店一覧!$A$5:$A$204,0)),"※未登録のID"))</f>
        <v/>
      </c>
      <c r="D1984" s="21"/>
      <c r="E1984" s="21"/>
      <c r="F1984" s="21"/>
      <c r="G1984" s="18"/>
      <c r="H1984" s="21"/>
      <c r="I1984" s="26"/>
      <c r="J1984" s="15"/>
      <c r="K1984" s="27"/>
      <c r="L1984" s="25" t="str">
        <f aca="false">IF(B1984="","",B1984&amp;"|"&amp;J1984)</f>
        <v/>
      </c>
    </row>
    <row r="1985" customFormat="false" ht="15" hidden="false" customHeight="false" outlineLevel="0" collapsed="false">
      <c r="A1985" s="15"/>
      <c r="B1985" s="21"/>
      <c r="C1985" s="21" t="str">
        <f aca="false">IF(B1985="","",IFERROR(INDEX(代理店一覧!$B$5:$B$204,MATCH(B1985,代理店一覧!$A$5:$A$204,0)),"※未登録のID"))</f>
        <v/>
      </c>
      <c r="D1985" s="21"/>
      <c r="E1985" s="21"/>
      <c r="F1985" s="21"/>
      <c r="G1985" s="18"/>
      <c r="H1985" s="21"/>
      <c r="I1985" s="26"/>
      <c r="J1985" s="15"/>
      <c r="K1985" s="27"/>
      <c r="L1985" s="25" t="str">
        <f aca="false">IF(B1985="","",B1985&amp;"|"&amp;J1985)</f>
        <v/>
      </c>
    </row>
    <row r="1986" customFormat="false" ht="15" hidden="false" customHeight="false" outlineLevel="0" collapsed="false">
      <c r="A1986" s="15"/>
      <c r="B1986" s="21"/>
      <c r="C1986" s="21" t="str">
        <f aca="false">IF(B1986="","",IFERROR(INDEX(代理店一覧!$B$5:$B$204,MATCH(B1986,代理店一覧!$A$5:$A$204,0)),"※未登録のID"))</f>
        <v/>
      </c>
      <c r="D1986" s="21"/>
      <c r="E1986" s="21"/>
      <c r="F1986" s="21"/>
      <c r="G1986" s="18"/>
      <c r="H1986" s="21"/>
      <c r="I1986" s="26"/>
      <c r="J1986" s="15"/>
      <c r="K1986" s="27"/>
      <c r="L1986" s="25" t="str">
        <f aca="false">IF(B1986="","",B1986&amp;"|"&amp;J1986)</f>
        <v/>
      </c>
    </row>
    <row r="1987" customFormat="false" ht="15" hidden="false" customHeight="false" outlineLevel="0" collapsed="false">
      <c r="A1987" s="15"/>
      <c r="B1987" s="21"/>
      <c r="C1987" s="21" t="str">
        <f aca="false">IF(B1987="","",IFERROR(INDEX(代理店一覧!$B$5:$B$204,MATCH(B1987,代理店一覧!$A$5:$A$204,0)),"※未登録のID"))</f>
        <v/>
      </c>
      <c r="D1987" s="21"/>
      <c r="E1987" s="21"/>
      <c r="F1987" s="21"/>
      <c r="G1987" s="18"/>
      <c r="H1987" s="21"/>
      <c r="I1987" s="26"/>
      <c r="J1987" s="15"/>
      <c r="K1987" s="27"/>
      <c r="L1987" s="25" t="str">
        <f aca="false">IF(B1987="","",B1987&amp;"|"&amp;J1987)</f>
        <v/>
      </c>
    </row>
    <row r="1988" customFormat="false" ht="15" hidden="false" customHeight="false" outlineLevel="0" collapsed="false">
      <c r="A1988" s="15"/>
      <c r="B1988" s="21"/>
      <c r="C1988" s="21" t="str">
        <f aca="false">IF(B1988="","",IFERROR(INDEX(代理店一覧!$B$5:$B$204,MATCH(B1988,代理店一覧!$A$5:$A$204,0)),"※未登録のID"))</f>
        <v/>
      </c>
      <c r="D1988" s="21"/>
      <c r="E1988" s="21"/>
      <c r="F1988" s="21"/>
      <c r="G1988" s="18"/>
      <c r="H1988" s="21"/>
      <c r="I1988" s="26"/>
      <c r="J1988" s="15"/>
      <c r="K1988" s="27"/>
      <c r="L1988" s="25" t="str">
        <f aca="false">IF(B1988="","",B1988&amp;"|"&amp;J1988)</f>
        <v/>
      </c>
    </row>
    <row r="1989" customFormat="false" ht="15" hidden="false" customHeight="false" outlineLevel="0" collapsed="false">
      <c r="A1989" s="15"/>
      <c r="B1989" s="21"/>
      <c r="C1989" s="21" t="str">
        <f aca="false">IF(B1989="","",IFERROR(INDEX(代理店一覧!$B$5:$B$204,MATCH(B1989,代理店一覧!$A$5:$A$204,0)),"※未登録のID"))</f>
        <v/>
      </c>
      <c r="D1989" s="21"/>
      <c r="E1989" s="21"/>
      <c r="F1989" s="21"/>
      <c r="G1989" s="18"/>
      <c r="H1989" s="21"/>
      <c r="I1989" s="26"/>
      <c r="J1989" s="15"/>
      <c r="K1989" s="27"/>
      <c r="L1989" s="25" t="str">
        <f aca="false">IF(B1989="","",B1989&amp;"|"&amp;J1989)</f>
        <v/>
      </c>
    </row>
    <row r="1990" customFormat="false" ht="15" hidden="false" customHeight="false" outlineLevel="0" collapsed="false">
      <c r="A1990" s="15"/>
      <c r="B1990" s="21"/>
      <c r="C1990" s="21" t="str">
        <f aca="false">IF(B1990="","",IFERROR(INDEX(代理店一覧!$B$5:$B$204,MATCH(B1990,代理店一覧!$A$5:$A$204,0)),"※未登録のID"))</f>
        <v/>
      </c>
      <c r="D1990" s="21"/>
      <c r="E1990" s="21"/>
      <c r="F1990" s="21"/>
      <c r="G1990" s="18"/>
      <c r="H1990" s="21"/>
      <c r="I1990" s="26"/>
      <c r="J1990" s="15"/>
      <c r="K1990" s="27"/>
      <c r="L1990" s="25" t="str">
        <f aca="false">IF(B1990="","",B1990&amp;"|"&amp;J1990)</f>
        <v/>
      </c>
    </row>
    <row r="1991" customFormat="false" ht="15" hidden="false" customHeight="false" outlineLevel="0" collapsed="false">
      <c r="A1991" s="15"/>
      <c r="B1991" s="21"/>
      <c r="C1991" s="21" t="str">
        <f aca="false">IF(B1991="","",IFERROR(INDEX(代理店一覧!$B$5:$B$204,MATCH(B1991,代理店一覧!$A$5:$A$204,0)),"※未登録のID"))</f>
        <v/>
      </c>
      <c r="D1991" s="21"/>
      <c r="E1991" s="21"/>
      <c r="F1991" s="21"/>
      <c r="G1991" s="18"/>
      <c r="H1991" s="21"/>
      <c r="I1991" s="26"/>
      <c r="J1991" s="15"/>
      <c r="K1991" s="27"/>
      <c r="L1991" s="25" t="str">
        <f aca="false">IF(B1991="","",B1991&amp;"|"&amp;J1991)</f>
        <v/>
      </c>
    </row>
    <row r="1992" customFormat="false" ht="15" hidden="false" customHeight="false" outlineLevel="0" collapsed="false">
      <c r="A1992" s="15"/>
      <c r="B1992" s="21"/>
      <c r="C1992" s="21" t="str">
        <f aca="false">IF(B1992="","",IFERROR(INDEX(代理店一覧!$B$5:$B$204,MATCH(B1992,代理店一覧!$A$5:$A$204,0)),"※未登録のID"))</f>
        <v/>
      </c>
      <c r="D1992" s="21"/>
      <c r="E1992" s="21"/>
      <c r="F1992" s="21"/>
      <c r="G1992" s="18"/>
      <c r="H1992" s="21"/>
      <c r="I1992" s="26"/>
      <c r="J1992" s="15"/>
      <c r="K1992" s="27"/>
      <c r="L1992" s="25" t="str">
        <f aca="false">IF(B1992="","",B1992&amp;"|"&amp;J1992)</f>
        <v/>
      </c>
    </row>
    <row r="1993" customFormat="false" ht="15" hidden="false" customHeight="false" outlineLevel="0" collapsed="false">
      <c r="A1993" s="15"/>
      <c r="B1993" s="21"/>
      <c r="C1993" s="21" t="str">
        <f aca="false">IF(B1993="","",IFERROR(INDEX(代理店一覧!$B$5:$B$204,MATCH(B1993,代理店一覧!$A$5:$A$204,0)),"※未登録のID"))</f>
        <v/>
      </c>
      <c r="D1993" s="21"/>
      <c r="E1993" s="21"/>
      <c r="F1993" s="21"/>
      <c r="G1993" s="18"/>
      <c r="H1993" s="21"/>
      <c r="I1993" s="26"/>
      <c r="J1993" s="15"/>
      <c r="K1993" s="27"/>
      <c r="L1993" s="25" t="str">
        <f aca="false">IF(B1993="","",B1993&amp;"|"&amp;J1993)</f>
        <v/>
      </c>
    </row>
    <row r="1994" customFormat="false" ht="15" hidden="false" customHeight="false" outlineLevel="0" collapsed="false">
      <c r="A1994" s="15"/>
      <c r="B1994" s="21"/>
      <c r="C1994" s="21" t="str">
        <f aca="false">IF(B1994="","",IFERROR(INDEX(代理店一覧!$B$5:$B$204,MATCH(B1994,代理店一覧!$A$5:$A$204,0)),"※未登録のID"))</f>
        <v/>
      </c>
      <c r="D1994" s="21"/>
      <c r="E1994" s="21"/>
      <c r="F1994" s="21"/>
      <c r="G1994" s="18"/>
      <c r="H1994" s="21"/>
      <c r="I1994" s="26"/>
      <c r="J1994" s="15"/>
      <c r="K1994" s="27"/>
      <c r="L1994" s="25" t="str">
        <f aca="false">IF(B1994="","",B1994&amp;"|"&amp;J1994)</f>
        <v/>
      </c>
    </row>
    <row r="1995" customFormat="false" ht="15" hidden="false" customHeight="false" outlineLevel="0" collapsed="false">
      <c r="A1995" s="15"/>
      <c r="B1995" s="21"/>
      <c r="C1995" s="21" t="str">
        <f aca="false">IF(B1995="","",IFERROR(INDEX(代理店一覧!$B$5:$B$204,MATCH(B1995,代理店一覧!$A$5:$A$204,0)),"※未登録のID"))</f>
        <v/>
      </c>
      <c r="D1995" s="21"/>
      <c r="E1995" s="21"/>
      <c r="F1995" s="21"/>
      <c r="G1995" s="18"/>
      <c r="H1995" s="21"/>
      <c r="I1995" s="26"/>
      <c r="J1995" s="15"/>
      <c r="K1995" s="27"/>
      <c r="L1995" s="25" t="str">
        <f aca="false">IF(B1995="","",B1995&amp;"|"&amp;J1995)</f>
        <v/>
      </c>
    </row>
    <row r="1996" customFormat="false" ht="15" hidden="false" customHeight="false" outlineLevel="0" collapsed="false">
      <c r="A1996" s="15"/>
      <c r="B1996" s="21"/>
      <c r="C1996" s="21" t="str">
        <f aca="false">IF(B1996="","",IFERROR(INDEX(代理店一覧!$B$5:$B$204,MATCH(B1996,代理店一覧!$A$5:$A$204,0)),"※未登録のID"))</f>
        <v/>
      </c>
      <c r="D1996" s="21"/>
      <c r="E1996" s="21"/>
      <c r="F1996" s="21"/>
      <c r="G1996" s="18"/>
      <c r="H1996" s="21"/>
      <c r="I1996" s="26"/>
      <c r="J1996" s="15"/>
      <c r="K1996" s="27"/>
      <c r="L1996" s="25" t="str">
        <f aca="false">IF(B1996="","",B1996&amp;"|"&amp;J1996)</f>
        <v/>
      </c>
    </row>
    <row r="1997" customFormat="false" ht="15" hidden="false" customHeight="false" outlineLevel="0" collapsed="false">
      <c r="A1997" s="15"/>
      <c r="B1997" s="21"/>
      <c r="C1997" s="21" t="str">
        <f aca="false">IF(B1997="","",IFERROR(INDEX(代理店一覧!$B$5:$B$204,MATCH(B1997,代理店一覧!$A$5:$A$204,0)),"※未登録のID"))</f>
        <v/>
      </c>
      <c r="D1997" s="21"/>
      <c r="E1997" s="21"/>
      <c r="F1997" s="21"/>
      <c r="G1997" s="18"/>
      <c r="H1997" s="21"/>
      <c r="I1997" s="26"/>
      <c r="J1997" s="15"/>
      <c r="K1997" s="27"/>
      <c r="L1997" s="25" t="str">
        <f aca="false">IF(B1997="","",B1997&amp;"|"&amp;J1997)</f>
        <v/>
      </c>
    </row>
    <row r="1998" customFormat="false" ht="15" hidden="false" customHeight="false" outlineLevel="0" collapsed="false">
      <c r="A1998" s="15"/>
      <c r="B1998" s="21"/>
      <c r="C1998" s="21" t="str">
        <f aca="false">IF(B1998="","",IFERROR(INDEX(代理店一覧!$B$5:$B$204,MATCH(B1998,代理店一覧!$A$5:$A$204,0)),"※未登録のID"))</f>
        <v/>
      </c>
      <c r="D1998" s="21"/>
      <c r="E1998" s="21"/>
      <c r="F1998" s="21"/>
      <c r="G1998" s="18"/>
      <c r="H1998" s="21"/>
      <c r="I1998" s="26"/>
      <c r="J1998" s="15"/>
      <c r="K1998" s="27"/>
      <c r="L1998" s="25" t="str">
        <f aca="false">IF(B1998="","",B1998&amp;"|"&amp;J1998)</f>
        <v/>
      </c>
    </row>
    <row r="1999" customFormat="false" ht="15" hidden="false" customHeight="false" outlineLevel="0" collapsed="false">
      <c r="A1999" s="15"/>
      <c r="B1999" s="21"/>
      <c r="C1999" s="21" t="str">
        <f aca="false">IF(B1999="","",IFERROR(INDEX(代理店一覧!$B$5:$B$204,MATCH(B1999,代理店一覧!$A$5:$A$204,0)),"※未登録のID"))</f>
        <v/>
      </c>
      <c r="D1999" s="21"/>
      <c r="E1999" s="21"/>
      <c r="F1999" s="21"/>
      <c r="G1999" s="18"/>
      <c r="H1999" s="21"/>
      <c r="I1999" s="26"/>
      <c r="J1999" s="15"/>
      <c r="K1999" s="27"/>
      <c r="L1999" s="25" t="str">
        <f aca="false">IF(B1999="","",B1999&amp;"|"&amp;J1999)</f>
        <v/>
      </c>
    </row>
    <row r="2000" customFormat="false" ht="15" hidden="false" customHeight="false" outlineLevel="0" collapsed="false">
      <c r="A2000" s="15"/>
      <c r="B2000" s="21"/>
      <c r="C2000" s="21" t="str">
        <f aca="false">IF(B2000="","",IFERROR(INDEX(代理店一覧!$B$5:$B$204,MATCH(B2000,代理店一覧!$A$5:$A$204,0)),"※未登録のID"))</f>
        <v/>
      </c>
      <c r="D2000" s="21"/>
      <c r="E2000" s="21"/>
      <c r="F2000" s="21"/>
      <c r="G2000" s="18"/>
      <c r="H2000" s="21"/>
      <c r="I2000" s="26"/>
      <c r="J2000" s="15"/>
      <c r="K2000" s="27"/>
      <c r="L2000" s="25" t="str">
        <f aca="false">IF(B2000="","",B2000&amp;"|"&amp;J2000)</f>
        <v/>
      </c>
    </row>
    <row r="2001" customFormat="false" ht="15" hidden="false" customHeight="false" outlineLevel="0" collapsed="false">
      <c r="A2001" s="15"/>
      <c r="B2001" s="21"/>
      <c r="C2001" s="21" t="str">
        <f aca="false">IF(B2001="","",IFERROR(INDEX(代理店一覧!$B$5:$B$204,MATCH(B2001,代理店一覧!$A$5:$A$204,0)),"※未登録のID"))</f>
        <v/>
      </c>
      <c r="D2001" s="21"/>
      <c r="E2001" s="21"/>
      <c r="F2001" s="21"/>
      <c r="G2001" s="18"/>
      <c r="H2001" s="21"/>
      <c r="I2001" s="26"/>
      <c r="J2001" s="15"/>
      <c r="K2001" s="27"/>
      <c r="L2001" s="25" t="str">
        <f aca="false">IF(B2001="","",B2001&amp;"|"&amp;J2001)</f>
        <v/>
      </c>
    </row>
    <row r="2002" customFormat="false" ht="15" hidden="false" customHeight="false" outlineLevel="0" collapsed="false">
      <c r="A2002" s="15"/>
      <c r="B2002" s="21"/>
      <c r="C2002" s="21" t="str">
        <f aca="false">IF(B2002="","",IFERROR(INDEX(代理店一覧!$B$5:$B$204,MATCH(B2002,代理店一覧!$A$5:$A$204,0)),"※未登録のID"))</f>
        <v/>
      </c>
      <c r="D2002" s="21"/>
      <c r="E2002" s="21"/>
      <c r="F2002" s="21"/>
      <c r="G2002" s="18"/>
      <c r="H2002" s="21"/>
      <c r="I2002" s="26"/>
      <c r="J2002" s="15"/>
      <c r="K2002" s="27"/>
      <c r="L2002" s="25" t="str">
        <f aca="false">IF(B2002="","",B2002&amp;"|"&amp;J2002)</f>
        <v/>
      </c>
    </row>
    <row r="2003" customFormat="false" ht="15" hidden="false" customHeight="false" outlineLevel="0" collapsed="false">
      <c r="A2003" s="15"/>
      <c r="B2003" s="21"/>
      <c r="C2003" s="21" t="str">
        <f aca="false">IF(B2003="","",IFERROR(INDEX(代理店一覧!$B$5:$B$204,MATCH(B2003,代理店一覧!$A$5:$A$204,0)),"※未登録のID"))</f>
        <v/>
      </c>
      <c r="D2003" s="21"/>
      <c r="E2003" s="21"/>
      <c r="F2003" s="21"/>
      <c r="G2003" s="18"/>
      <c r="H2003" s="21"/>
      <c r="I2003" s="26"/>
      <c r="J2003" s="15"/>
      <c r="K2003" s="27"/>
      <c r="L2003" s="25" t="str">
        <f aca="false">IF(B2003="","",B2003&amp;"|"&amp;J2003)</f>
        <v/>
      </c>
    </row>
    <row r="2004" customFormat="false" ht="15" hidden="false" customHeight="false" outlineLevel="0" collapsed="false">
      <c r="A2004" s="15"/>
      <c r="B2004" s="21"/>
      <c r="C2004" s="21" t="str">
        <f aca="false">IF(B2004="","",IFERROR(INDEX(代理店一覧!$B$5:$B$204,MATCH(B2004,代理店一覧!$A$5:$A$204,0)),"※未登録のID"))</f>
        <v/>
      </c>
      <c r="D2004" s="21"/>
      <c r="E2004" s="21"/>
      <c r="F2004" s="21"/>
      <c r="G2004" s="18"/>
      <c r="H2004" s="21"/>
      <c r="I2004" s="26"/>
      <c r="J2004" s="15"/>
      <c r="K2004" s="27"/>
      <c r="L2004" s="25" t="str">
        <f aca="false">IF(B2004="","",B2004&amp;"|"&amp;J2004)</f>
        <v/>
      </c>
    </row>
  </sheetData>
  <autoFilter ref="A4:L2004"/>
  <conditionalFormatting sqref="I5:J2004">
    <cfRule type="expression" priority="2" aboveAverage="0" equalAverage="0" bottom="0" percent="0" rank="0" text="" dxfId="17">
      <formula>AND($J5&lt;&gt;"",$K5&lt;&gt;"済",$J5&lt;設定!$C$4)</formula>
    </cfRule>
  </conditionalFormatting>
  <dataValidations count="6">
    <dataValidation allowBlank="true" errorStyle="stop" operator="between" showDropDown="false" showErrorMessage="false" showInputMessage="false" sqref="B5:B2004" type="list">
      <formula1>代理店一覧!$A$5:$A$204</formula1>
      <formula2>0</formula2>
    </dataValidation>
    <dataValidation allowBlank="true" errorStyle="stop" operator="between" showDropDown="false" showErrorMessage="false" showInputMessage="false" sqref="D5:D2004" type="list">
      <formula1>list_自社担当</formula1>
      <formula2>0</formula2>
    </dataValidation>
    <dataValidation allowBlank="true" errorStyle="stop" operator="between" showDropDown="false" showErrorMessage="false" showInputMessage="false" sqref="E5:E2004" type="list">
      <formula1>list_接触手段</formula1>
      <formula2>0</formula2>
    </dataValidation>
    <dataValidation allowBlank="true" errorStyle="stop" operator="between" showDropDown="false" showErrorMessage="false" showInputMessage="false" sqref="F5:F2004" type="list">
      <formula1>list_接触目的</formula1>
      <formula2>0</formula2>
    </dataValidation>
    <dataValidation allowBlank="true" errorStyle="stop" operator="between" showDropDown="false" showErrorMessage="false" showInputMessage="false" sqref="H5:H2004" type="list">
      <formula1>list_温度感</formula1>
      <formula2>0</formula2>
    </dataValidation>
    <dataValidation allowBlank="true" errorStyle="stop" operator="between" showDropDown="false" showErrorMessage="false" showInputMessage="false" sqref="K5:K2004" type="list">
      <formula1>list_完了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6" min="4" style="0" width="10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121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122</v>
      </c>
    </row>
    <row r="4" customFormat="false" ht="31.5" hidden="false" customHeight="true" outlineLevel="0" collapsed="false">
      <c r="A4" s="10" t="s">
        <v>123</v>
      </c>
      <c r="B4" s="10" t="s">
        <v>44</v>
      </c>
      <c r="C4" s="11" t="s">
        <v>45</v>
      </c>
      <c r="D4" s="10" t="s">
        <v>124</v>
      </c>
      <c r="E4" s="10" t="s">
        <v>125</v>
      </c>
      <c r="F4" s="10" t="s">
        <v>126</v>
      </c>
      <c r="G4" s="10" t="s">
        <v>127</v>
      </c>
      <c r="H4" s="10" t="s">
        <v>128</v>
      </c>
      <c r="I4" s="10" t="s">
        <v>129</v>
      </c>
    </row>
    <row r="5" customFormat="false" ht="15" hidden="false" customHeight="false" outlineLevel="0" collapsed="false">
      <c r="A5" s="28" t="n">
        <v>46204</v>
      </c>
      <c r="B5" s="12" t="s">
        <v>65</v>
      </c>
      <c r="C5" s="21" t="str">
        <f aca="false">IF(B5="","",IFERROR(INDEX(代理店一覧!$B$5:$B$204,MATCH(B5,代理店一覧!$A$5:$A$204,0)),"※未登録のID"))</f>
        <v>【サンプル】山田会計事務所</v>
      </c>
      <c r="D5" s="29" t="n">
        <v>3</v>
      </c>
      <c r="E5" s="29" t="n">
        <v>2</v>
      </c>
      <c r="F5" s="29" t="n">
        <v>1</v>
      </c>
      <c r="G5" s="29" t="n">
        <v>600000</v>
      </c>
      <c r="H5" s="29" t="n">
        <v>60000</v>
      </c>
      <c r="I5" s="21"/>
    </row>
    <row r="6" customFormat="false" ht="15" hidden="false" customHeight="false" outlineLevel="0" collapsed="false">
      <c r="A6" s="28" t="n">
        <v>46235</v>
      </c>
      <c r="B6" s="12" t="s">
        <v>65</v>
      </c>
      <c r="C6" s="21" t="str">
        <f aca="false">IF(B6="","",IFERROR(INDEX(代理店一覧!$B$5:$B$204,MATCH(B6,代理店一覧!$A$5:$A$204,0)),"※未登録のID"))</f>
        <v>【サンプル】山田会計事務所</v>
      </c>
      <c r="D6" s="29" t="n">
        <v>4</v>
      </c>
      <c r="E6" s="29" t="n">
        <v>3</v>
      </c>
      <c r="F6" s="29" t="n">
        <v>2</v>
      </c>
      <c r="G6" s="29" t="n">
        <v>1100000</v>
      </c>
      <c r="H6" s="29" t="n">
        <v>110000</v>
      </c>
      <c r="I6" s="21"/>
    </row>
    <row r="7" customFormat="false" ht="15" hidden="false" customHeight="false" outlineLevel="0" collapsed="false">
      <c r="A7" s="28" t="n">
        <v>46266</v>
      </c>
      <c r="B7" s="12" t="s">
        <v>65</v>
      </c>
      <c r="C7" s="21" t="str">
        <f aca="false">IF(B7="","",IFERROR(INDEX(代理店一覧!$B$5:$B$204,MATCH(B7,代理店一覧!$A$5:$A$204,0)),"※未登録のID"))</f>
        <v>【サンプル】山田会計事務所</v>
      </c>
      <c r="D7" s="29" t="n">
        <v>2</v>
      </c>
      <c r="E7" s="29" t="n">
        <v>1</v>
      </c>
      <c r="F7" s="29" t="n">
        <v>0</v>
      </c>
      <c r="G7" s="29" t="n">
        <v>0</v>
      </c>
      <c r="H7" s="29" t="n">
        <v>0</v>
      </c>
      <c r="I7" s="21"/>
    </row>
    <row r="8" customFormat="false" ht="15" hidden="false" customHeight="false" outlineLevel="0" collapsed="false">
      <c r="A8" s="28" t="n">
        <v>46235</v>
      </c>
      <c r="B8" s="12" t="s">
        <v>73</v>
      </c>
      <c r="C8" s="21" t="str">
        <f aca="false">IF(B8="","",IFERROR(INDEX(代理店一覧!$B$5:$B$204,MATCH(B8,代理店一覧!$A$5:$A$204,0)),"※未登録のID"))</f>
        <v>【サンプル】みらい保険サービス</v>
      </c>
      <c r="D8" s="29" t="n">
        <v>1</v>
      </c>
      <c r="E8" s="29" t="n">
        <v>1</v>
      </c>
      <c r="F8" s="29" t="n">
        <v>0</v>
      </c>
      <c r="G8" s="29" t="n">
        <v>0</v>
      </c>
      <c r="H8" s="29" t="n">
        <v>0</v>
      </c>
      <c r="I8" s="21"/>
    </row>
    <row r="9" customFormat="false" ht="15" hidden="false" customHeight="false" outlineLevel="0" collapsed="false">
      <c r="A9" s="28" t="n">
        <v>46266</v>
      </c>
      <c r="B9" s="12" t="s">
        <v>73</v>
      </c>
      <c r="C9" s="21" t="str">
        <f aca="false">IF(B9="","",IFERROR(INDEX(代理店一覧!$B$5:$B$204,MATCH(B9,代理店一覧!$A$5:$A$204,0)),"※未登録のID"))</f>
        <v>【サンプル】みらい保険サービス</v>
      </c>
      <c r="D9" s="29" t="n">
        <v>1</v>
      </c>
      <c r="E9" s="29" t="n">
        <v>0</v>
      </c>
      <c r="F9" s="29" t="n">
        <v>0</v>
      </c>
      <c r="G9" s="29" t="n">
        <v>0</v>
      </c>
      <c r="H9" s="29" t="n">
        <v>0</v>
      </c>
      <c r="I9" s="21"/>
    </row>
    <row r="10" customFormat="false" ht="15" hidden="false" customHeight="false" outlineLevel="0" collapsed="false">
      <c r="A10" s="30"/>
      <c r="B10" s="21"/>
      <c r="C10" s="21" t="str">
        <f aca="false">IF(B10="","",IFERROR(INDEX(代理店一覧!$B$5:$B$204,MATCH(B10,代理店一覧!$A$5:$A$204,0)),"※未登録のID"))</f>
        <v/>
      </c>
      <c r="D10" s="20"/>
      <c r="E10" s="20"/>
      <c r="F10" s="20"/>
      <c r="G10" s="20"/>
      <c r="H10" s="20"/>
      <c r="I10" s="21"/>
    </row>
    <row r="11" customFormat="false" ht="15" hidden="false" customHeight="false" outlineLevel="0" collapsed="false">
      <c r="A11" s="30"/>
      <c r="B11" s="21"/>
      <c r="C11" s="21" t="str">
        <f aca="false">IF(B11="","",IFERROR(INDEX(代理店一覧!$B$5:$B$204,MATCH(B11,代理店一覧!$A$5:$A$204,0)),"※未登録のID"))</f>
        <v/>
      </c>
      <c r="D11" s="20"/>
      <c r="E11" s="20"/>
      <c r="F11" s="20"/>
      <c r="G11" s="20"/>
      <c r="H11" s="20"/>
      <c r="I11" s="21"/>
    </row>
    <row r="12" customFormat="false" ht="15" hidden="false" customHeight="false" outlineLevel="0" collapsed="false">
      <c r="A12" s="30"/>
      <c r="B12" s="21"/>
      <c r="C12" s="21" t="str">
        <f aca="false">IF(B12="","",IFERROR(INDEX(代理店一覧!$B$5:$B$204,MATCH(B12,代理店一覧!$A$5:$A$204,0)),"※未登録のID"))</f>
        <v/>
      </c>
      <c r="D12" s="20"/>
      <c r="E12" s="20"/>
      <c r="F12" s="20"/>
      <c r="G12" s="20"/>
      <c r="H12" s="20"/>
      <c r="I12" s="21"/>
    </row>
    <row r="13" customFormat="false" ht="15" hidden="false" customHeight="false" outlineLevel="0" collapsed="false">
      <c r="A13" s="30"/>
      <c r="B13" s="21"/>
      <c r="C13" s="21" t="str">
        <f aca="false">IF(B13="","",IFERROR(INDEX(代理店一覧!$B$5:$B$204,MATCH(B13,代理店一覧!$A$5:$A$204,0)),"※未登録のID"))</f>
        <v/>
      </c>
      <c r="D13" s="20"/>
      <c r="E13" s="20"/>
      <c r="F13" s="20"/>
      <c r="G13" s="20"/>
      <c r="H13" s="20"/>
      <c r="I13" s="21"/>
    </row>
    <row r="14" customFormat="false" ht="15" hidden="false" customHeight="false" outlineLevel="0" collapsed="false">
      <c r="A14" s="30"/>
      <c r="B14" s="21"/>
      <c r="C14" s="21" t="str">
        <f aca="false">IF(B14="","",IFERROR(INDEX(代理店一覧!$B$5:$B$204,MATCH(B14,代理店一覧!$A$5:$A$204,0)),"※未登録のID"))</f>
        <v/>
      </c>
      <c r="D14" s="20"/>
      <c r="E14" s="20"/>
      <c r="F14" s="20"/>
      <c r="G14" s="20"/>
      <c r="H14" s="20"/>
      <c r="I14" s="21"/>
    </row>
    <row r="15" customFormat="false" ht="15" hidden="false" customHeight="false" outlineLevel="0" collapsed="false">
      <c r="A15" s="30"/>
      <c r="B15" s="21"/>
      <c r="C15" s="21" t="str">
        <f aca="false">IF(B15="","",IFERROR(INDEX(代理店一覧!$B$5:$B$204,MATCH(B15,代理店一覧!$A$5:$A$204,0)),"※未登録のID"))</f>
        <v/>
      </c>
      <c r="D15" s="20"/>
      <c r="E15" s="20"/>
      <c r="F15" s="20"/>
      <c r="G15" s="20"/>
      <c r="H15" s="20"/>
      <c r="I15" s="21"/>
    </row>
    <row r="16" customFormat="false" ht="15" hidden="false" customHeight="false" outlineLevel="0" collapsed="false">
      <c r="A16" s="30"/>
      <c r="B16" s="21"/>
      <c r="C16" s="21" t="str">
        <f aca="false">IF(B16="","",IFERROR(INDEX(代理店一覧!$B$5:$B$204,MATCH(B16,代理店一覧!$A$5:$A$204,0)),"※未登録のID"))</f>
        <v/>
      </c>
      <c r="D16" s="20"/>
      <c r="E16" s="20"/>
      <c r="F16" s="20"/>
      <c r="G16" s="20"/>
      <c r="H16" s="20"/>
      <c r="I16" s="21"/>
    </row>
    <row r="17" customFormat="false" ht="15" hidden="false" customHeight="false" outlineLevel="0" collapsed="false">
      <c r="A17" s="30"/>
      <c r="B17" s="21"/>
      <c r="C17" s="21" t="str">
        <f aca="false">IF(B17="","",IFERROR(INDEX(代理店一覧!$B$5:$B$204,MATCH(B17,代理店一覧!$A$5:$A$204,0)),"※未登録のID"))</f>
        <v/>
      </c>
      <c r="D17" s="20"/>
      <c r="E17" s="20"/>
      <c r="F17" s="20"/>
      <c r="G17" s="20"/>
      <c r="H17" s="20"/>
      <c r="I17" s="21"/>
    </row>
    <row r="18" customFormat="false" ht="15" hidden="false" customHeight="false" outlineLevel="0" collapsed="false">
      <c r="A18" s="30"/>
      <c r="B18" s="21"/>
      <c r="C18" s="21" t="str">
        <f aca="false">IF(B18="","",IFERROR(INDEX(代理店一覧!$B$5:$B$204,MATCH(B18,代理店一覧!$A$5:$A$204,0)),"※未登録のID"))</f>
        <v/>
      </c>
      <c r="D18" s="20"/>
      <c r="E18" s="20"/>
      <c r="F18" s="20"/>
      <c r="G18" s="20"/>
      <c r="H18" s="20"/>
      <c r="I18" s="21"/>
    </row>
    <row r="19" customFormat="false" ht="15" hidden="false" customHeight="false" outlineLevel="0" collapsed="false">
      <c r="A19" s="30"/>
      <c r="B19" s="21"/>
      <c r="C19" s="21" t="str">
        <f aca="false">IF(B19="","",IFERROR(INDEX(代理店一覧!$B$5:$B$204,MATCH(B19,代理店一覧!$A$5:$A$204,0)),"※未登録のID"))</f>
        <v/>
      </c>
      <c r="D19" s="20"/>
      <c r="E19" s="20"/>
      <c r="F19" s="20"/>
      <c r="G19" s="20"/>
      <c r="H19" s="20"/>
      <c r="I19" s="21"/>
    </row>
    <row r="20" customFormat="false" ht="15" hidden="false" customHeight="false" outlineLevel="0" collapsed="false">
      <c r="A20" s="30"/>
      <c r="B20" s="21"/>
      <c r="C20" s="21" t="str">
        <f aca="false">IF(B20="","",IFERROR(INDEX(代理店一覧!$B$5:$B$204,MATCH(B20,代理店一覧!$A$5:$A$204,0)),"※未登録のID"))</f>
        <v/>
      </c>
      <c r="D20" s="20"/>
      <c r="E20" s="20"/>
      <c r="F20" s="20"/>
      <c r="G20" s="20"/>
      <c r="H20" s="20"/>
      <c r="I20" s="21"/>
    </row>
    <row r="21" customFormat="false" ht="15" hidden="false" customHeight="false" outlineLevel="0" collapsed="false">
      <c r="A21" s="30"/>
      <c r="B21" s="21"/>
      <c r="C21" s="21" t="str">
        <f aca="false">IF(B21="","",IFERROR(INDEX(代理店一覧!$B$5:$B$204,MATCH(B21,代理店一覧!$A$5:$A$204,0)),"※未登録のID"))</f>
        <v/>
      </c>
      <c r="D21" s="20"/>
      <c r="E21" s="20"/>
      <c r="F21" s="20"/>
      <c r="G21" s="20"/>
      <c r="H21" s="20"/>
      <c r="I21" s="21"/>
    </row>
    <row r="22" customFormat="false" ht="15" hidden="false" customHeight="false" outlineLevel="0" collapsed="false">
      <c r="A22" s="30"/>
      <c r="B22" s="21"/>
      <c r="C22" s="21" t="str">
        <f aca="false">IF(B22="","",IFERROR(INDEX(代理店一覧!$B$5:$B$204,MATCH(B22,代理店一覧!$A$5:$A$204,0)),"※未登録のID"))</f>
        <v/>
      </c>
      <c r="D22" s="20"/>
      <c r="E22" s="20"/>
      <c r="F22" s="20"/>
      <c r="G22" s="20"/>
      <c r="H22" s="20"/>
      <c r="I22" s="21"/>
    </row>
    <row r="23" customFormat="false" ht="15" hidden="false" customHeight="false" outlineLevel="0" collapsed="false">
      <c r="A23" s="30"/>
      <c r="B23" s="21"/>
      <c r="C23" s="21" t="str">
        <f aca="false">IF(B23="","",IFERROR(INDEX(代理店一覧!$B$5:$B$204,MATCH(B23,代理店一覧!$A$5:$A$204,0)),"※未登録のID"))</f>
        <v/>
      </c>
      <c r="D23" s="20"/>
      <c r="E23" s="20"/>
      <c r="F23" s="20"/>
      <c r="G23" s="20"/>
      <c r="H23" s="20"/>
      <c r="I23" s="21"/>
    </row>
    <row r="24" customFormat="false" ht="15" hidden="false" customHeight="false" outlineLevel="0" collapsed="false">
      <c r="A24" s="30"/>
      <c r="B24" s="21"/>
      <c r="C24" s="21" t="str">
        <f aca="false">IF(B24="","",IFERROR(INDEX(代理店一覧!$B$5:$B$204,MATCH(B24,代理店一覧!$A$5:$A$204,0)),"※未登録のID"))</f>
        <v/>
      </c>
      <c r="D24" s="20"/>
      <c r="E24" s="20"/>
      <c r="F24" s="20"/>
      <c r="G24" s="20"/>
      <c r="H24" s="20"/>
      <c r="I24" s="21"/>
    </row>
    <row r="25" customFormat="false" ht="15" hidden="false" customHeight="false" outlineLevel="0" collapsed="false">
      <c r="A25" s="30"/>
      <c r="B25" s="21"/>
      <c r="C25" s="21" t="str">
        <f aca="false">IF(B25="","",IFERROR(INDEX(代理店一覧!$B$5:$B$204,MATCH(B25,代理店一覧!$A$5:$A$204,0)),"※未登録のID"))</f>
        <v/>
      </c>
      <c r="D25" s="20"/>
      <c r="E25" s="20"/>
      <c r="F25" s="20"/>
      <c r="G25" s="20"/>
      <c r="H25" s="20"/>
      <c r="I25" s="21"/>
    </row>
    <row r="26" customFormat="false" ht="15" hidden="false" customHeight="false" outlineLevel="0" collapsed="false">
      <c r="A26" s="30"/>
      <c r="B26" s="21"/>
      <c r="C26" s="21" t="str">
        <f aca="false">IF(B26="","",IFERROR(INDEX(代理店一覧!$B$5:$B$204,MATCH(B26,代理店一覧!$A$5:$A$204,0)),"※未登録のID"))</f>
        <v/>
      </c>
      <c r="D26" s="20"/>
      <c r="E26" s="20"/>
      <c r="F26" s="20"/>
      <c r="G26" s="20"/>
      <c r="H26" s="20"/>
      <c r="I26" s="21"/>
    </row>
    <row r="27" customFormat="false" ht="15" hidden="false" customHeight="false" outlineLevel="0" collapsed="false">
      <c r="A27" s="30"/>
      <c r="B27" s="21"/>
      <c r="C27" s="21" t="str">
        <f aca="false">IF(B27="","",IFERROR(INDEX(代理店一覧!$B$5:$B$204,MATCH(B27,代理店一覧!$A$5:$A$204,0)),"※未登録のID"))</f>
        <v/>
      </c>
      <c r="D27" s="20"/>
      <c r="E27" s="20"/>
      <c r="F27" s="20"/>
      <c r="G27" s="20"/>
      <c r="H27" s="20"/>
      <c r="I27" s="21"/>
    </row>
    <row r="28" customFormat="false" ht="15" hidden="false" customHeight="false" outlineLevel="0" collapsed="false">
      <c r="A28" s="30"/>
      <c r="B28" s="21"/>
      <c r="C28" s="21" t="str">
        <f aca="false">IF(B28="","",IFERROR(INDEX(代理店一覧!$B$5:$B$204,MATCH(B28,代理店一覧!$A$5:$A$204,0)),"※未登録のID"))</f>
        <v/>
      </c>
      <c r="D28" s="20"/>
      <c r="E28" s="20"/>
      <c r="F28" s="20"/>
      <c r="G28" s="20"/>
      <c r="H28" s="20"/>
      <c r="I28" s="21"/>
    </row>
    <row r="29" customFormat="false" ht="15" hidden="false" customHeight="false" outlineLevel="0" collapsed="false">
      <c r="A29" s="30"/>
      <c r="B29" s="21"/>
      <c r="C29" s="21" t="str">
        <f aca="false">IF(B29="","",IFERROR(INDEX(代理店一覧!$B$5:$B$204,MATCH(B29,代理店一覧!$A$5:$A$204,0)),"※未登録のID"))</f>
        <v/>
      </c>
      <c r="D29" s="20"/>
      <c r="E29" s="20"/>
      <c r="F29" s="20"/>
      <c r="G29" s="20"/>
      <c r="H29" s="20"/>
      <c r="I29" s="21"/>
    </row>
    <row r="30" customFormat="false" ht="15" hidden="false" customHeight="false" outlineLevel="0" collapsed="false">
      <c r="A30" s="30"/>
      <c r="B30" s="21"/>
      <c r="C30" s="21" t="str">
        <f aca="false">IF(B30="","",IFERROR(INDEX(代理店一覧!$B$5:$B$204,MATCH(B30,代理店一覧!$A$5:$A$204,0)),"※未登録のID"))</f>
        <v/>
      </c>
      <c r="D30" s="20"/>
      <c r="E30" s="20"/>
      <c r="F30" s="20"/>
      <c r="G30" s="20"/>
      <c r="H30" s="20"/>
      <c r="I30" s="21"/>
    </row>
    <row r="31" customFormat="false" ht="15" hidden="false" customHeight="false" outlineLevel="0" collapsed="false">
      <c r="A31" s="30"/>
      <c r="B31" s="21"/>
      <c r="C31" s="21" t="str">
        <f aca="false">IF(B31="","",IFERROR(INDEX(代理店一覧!$B$5:$B$204,MATCH(B31,代理店一覧!$A$5:$A$204,0)),"※未登録のID"))</f>
        <v/>
      </c>
      <c r="D31" s="20"/>
      <c r="E31" s="20"/>
      <c r="F31" s="20"/>
      <c r="G31" s="20"/>
      <c r="H31" s="20"/>
      <c r="I31" s="21"/>
    </row>
    <row r="32" customFormat="false" ht="15" hidden="false" customHeight="false" outlineLevel="0" collapsed="false">
      <c r="A32" s="30"/>
      <c r="B32" s="21"/>
      <c r="C32" s="21" t="str">
        <f aca="false">IF(B32="","",IFERROR(INDEX(代理店一覧!$B$5:$B$204,MATCH(B32,代理店一覧!$A$5:$A$204,0)),"※未登録のID"))</f>
        <v/>
      </c>
      <c r="D32" s="20"/>
      <c r="E32" s="20"/>
      <c r="F32" s="20"/>
      <c r="G32" s="20"/>
      <c r="H32" s="20"/>
      <c r="I32" s="21"/>
    </row>
    <row r="33" customFormat="false" ht="15" hidden="false" customHeight="false" outlineLevel="0" collapsed="false">
      <c r="A33" s="30"/>
      <c r="B33" s="21"/>
      <c r="C33" s="21" t="str">
        <f aca="false">IF(B33="","",IFERROR(INDEX(代理店一覧!$B$5:$B$204,MATCH(B33,代理店一覧!$A$5:$A$204,0)),"※未登録のID"))</f>
        <v/>
      </c>
      <c r="D33" s="20"/>
      <c r="E33" s="20"/>
      <c r="F33" s="20"/>
      <c r="G33" s="20"/>
      <c r="H33" s="20"/>
      <c r="I33" s="21"/>
    </row>
    <row r="34" customFormat="false" ht="15" hidden="false" customHeight="false" outlineLevel="0" collapsed="false">
      <c r="A34" s="30"/>
      <c r="B34" s="21"/>
      <c r="C34" s="21" t="str">
        <f aca="false">IF(B34="","",IFERROR(INDEX(代理店一覧!$B$5:$B$204,MATCH(B34,代理店一覧!$A$5:$A$204,0)),"※未登録のID"))</f>
        <v/>
      </c>
      <c r="D34" s="20"/>
      <c r="E34" s="20"/>
      <c r="F34" s="20"/>
      <c r="G34" s="20"/>
      <c r="H34" s="20"/>
      <c r="I34" s="21"/>
    </row>
    <row r="35" customFormat="false" ht="15" hidden="false" customHeight="false" outlineLevel="0" collapsed="false">
      <c r="A35" s="30"/>
      <c r="B35" s="21"/>
      <c r="C35" s="21" t="str">
        <f aca="false">IF(B35="","",IFERROR(INDEX(代理店一覧!$B$5:$B$204,MATCH(B35,代理店一覧!$A$5:$A$204,0)),"※未登録のID"))</f>
        <v/>
      </c>
      <c r="D35" s="20"/>
      <c r="E35" s="20"/>
      <c r="F35" s="20"/>
      <c r="G35" s="20"/>
      <c r="H35" s="20"/>
      <c r="I35" s="21"/>
    </row>
    <row r="36" customFormat="false" ht="15" hidden="false" customHeight="false" outlineLevel="0" collapsed="false">
      <c r="A36" s="30"/>
      <c r="B36" s="21"/>
      <c r="C36" s="21" t="str">
        <f aca="false">IF(B36="","",IFERROR(INDEX(代理店一覧!$B$5:$B$204,MATCH(B36,代理店一覧!$A$5:$A$204,0)),"※未登録のID"))</f>
        <v/>
      </c>
      <c r="D36" s="20"/>
      <c r="E36" s="20"/>
      <c r="F36" s="20"/>
      <c r="G36" s="20"/>
      <c r="H36" s="20"/>
      <c r="I36" s="21"/>
    </row>
    <row r="37" customFormat="false" ht="15" hidden="false" customHeight="false" outlineLevel="0" collapsed="false">
      <c r="A37" s="30"/>
      <c r="B37" s="21"/>
      <c r="C37" s="21" t="str">
        <f aca="false">IF(B37="","",IFERROR(INDEX(代理店一覧!$B$5:$B$204,MATCH(B37,代理店一覧!$A$5:$A$204,0)),"※未登録のID"))</f>
        <v/>
      </c>
      <c r="D37" s="20"/>
      <c r="E37" s="20"/>
      <c r="F37" s="20"/>
      <c r="G37" s="20"/>
      <c r="H37" s="20"/>
      <c r="I37" s="21"/>
    </row>
    <row r="38" customFormat="false" ht="15" hidden="false" customHeight="false" outlineLevel="0" collapsed="false">
      <c r="A38" s="30"/>
      <c r="B38" s="21"/>
      <c r="C38" s="21" t="str">
        <f aca="false">IF(B38="","",IFERROR(INDEX(代理店一覧!$B$5:$B$204,MATCH(B38,代理店一覧!$A$5:$A$204,0)),"※未登録のID"))</f>
        <v/>
      </c>
      <c r="D38" s="20"/>
      <c r="E38" s="20"/>
      <c r="F38" s="20"/>
      <c r="G38" s="20"/>
      <c r="H38" s="20"/>
      <c r="I38" s="21"/>
    </row>
    <row r="39" customFormat="false" ht="15" hidden="false" customHeight="false" outlineLevel="0" collapsed="false">
      <c r="A39" s="30"/>
      <c r="B39" s="21"/>
      <c r="C39" s="21" t="str">
        <f aca="false">IF(B39="","",IFERROR(INDEX(代理店一覧!$B$5:$B$204,MATCH(B39,代理店一覧!$A$5:$A$204,0)),"※未登録のID"))</f>
        <v/>
      </c>
      <c r="D39" s="20"/>
      <c r="E39" s="20"/>
      <c r="F39" s="20"/>
      <c r="G39" s="20"/>
      <c r="H39" s="20"/>
      <c r="I39" s="21"/>
    </row>
    <row r="40" customFormat="false" ht="15" hidden="false" customHeight="false" outlineLevel="0" collapsed="false">
      <c r="A40" s="30"/>
      <c r="B40" s="21"/>
      <c r="C40" s="21" t="str">
        <f aca="false">IF(B40="","",IFERROR(INDEX(代理店一覧!$B$5:$B$204,MATCH(B40,代理店一覧!$A$5:$A$204,0)),"※未登録のID"))</f>
        <v/>
      </c>
      <c r="D40" s="20"/>
      <c r="E40" s="20"/>
      <c r="F40" s="20"/>
      <c r="G40" s="20"/>
      <c r="H40" s="20"/>
      <c r="I40" s="21"/>
    </row>
    <row r="41" customFormat="false" ht="15" hidden="false" customHeight="false" outlineLevel="0" collapsed="false">
      <c r="A41" s="30"/>
      <c r="B41" s="21"/>
      <c r="C41" s="21" t="str">
        <f aca="false">IF(B41="","",IFERROR(INDEX(代理店一覧!$B$5:$B$204,MATCH(B41,代理店一覧!$A$5:$A$204,0)),"※未登録のID"))</f>
        <v/>
      </c>
      <c r="D41" s="20"/>
      <c r="E41" s="20"/>
      <c r="F41" s="20"/>
      <c r="G41" s="20"/>
      <c r="H41" s="20"/>
      <c r="I41" s="21"/>
    </row>
    <row r="42" customFormat="false" ht="15" hidden="false" customHeight="false" outlineLevel="0" collapsed="false">
      <c r="A42" s="30"/>
      <c r="B42" s="21"/>
      <c r="C42" s="21" t="str">
        <f aca="false">IF(B42="","",IFERROR(INDEX(代理店一覧!$B$5:$B$204,MATCH(B42,代理店一覧!$A$5:$A$204,0)),"※未登録のID"))</f>
        <v/>
      </c>
      <c r="D42" s="20"/>
      <c r="E42" s="20"/>
      <c r="F42" s="20"/>
      <c r="G42" s="20"/>
      <c r="H42" s="20"/>
      <c r="I42" s="21"/>
    </row>
    <row r="43" customFormat="false" ht="15" hidden="false" customHeight="false" outlineLevel="0" collapsed="false">
      <c r="A43" s="30"/>
      <c r="B43" s="21"/>
      <c r="C43" s="21" t="str">
        <f aca="false">IF(B43="","",IFERROR(INDEX(代理店一覧!$B$5:$B$204,MATCH(B43,代理店一覧!$A$5:$A$204,0)),"※未登録のID"))</f>
        <v/>
      </c>
      <c r="D43" s="20"/>
      <c r="E43" s="20"/>
      <c r="F43" s="20"/>
      <c r="G43" s="20"/>
      <c r="H43" s="20"/>
      <c r="I43" s="21"/>
    </row>
    <row r="44" customFormat="false" ht="15" hidden="false" customHeight="false" outlineLevel="0" collapsed="false">
      <c r="A44" s="30"/>
      <c r="B44" s="21"/>
      <c r="C44" s="21" t="str">
        <f aca="false">IF(B44="","",IFERROR(INDEX(代理店一覧!$B$5:$B$204,MATCH(B44,代理店一覧!$A$5:$A$204,0)),"※未登録のID"))</f>
        <v/>
      </c>
      <c r="D44" s="20"/>
      <c r="E44" s="20"/>
      <c r="F44" s="20"/>
      <c r="G44" s="20"/>
      <c r="H44" s="20"/>
      <c r="I44" s="21"/>
    </row>
    <row r="45" customFormat="false" ht="15" hidden="false" customHeight="false" outlineLevel="0" collapsed="false">
      <c r="A45" s="30"/>
      <c r="B45" s="21"/>
      <c r="C45" s="21" t="str">
        <f aca="false">IF(B45="","",IFERROR(INDEX(代理店一覧!$B$5:$B$204,MATCH(B45,代理店一覧!$A$5:$A$204,0)),"※未登録のID"))</f>
        <v/>
      </c>
      <c r="D45" s="20"/>
      <c r="E45" s="20"/>
      <c r="F45" s="20"/>
      <c r="G45" s="20"/>
      <c r="H45" s="20"/>
      <c r="I45" s="21"/>
    </row>
    <row r="46" customFormat="false" ht="15" hidden="false" customHeight="false" outlineLevel="0" collapsed="false">
      <c r="A46" s="30"/>
      <c r="B46" s="21"/>
      <c r="C46" s="21" t="str">
        <f aca="false">IF(B46="","",IFERROR(INDEX(代理店一覧!$B$5:$B$204,MATCH(B46,代理店一覧!$A$5:$A$204,0)),"※未登録のID"))</f>
        <v/>
      </c>
      <c r="D46" s="20"/>
      <c r="E46" s="20"/>
      <c r="F46" s="20"/>
      <c r="G46" s="20"/>
      <c r="H46" s="20"/>
      <c r="I46" s="21"/>
    </row>
    <row r="47" customFormat="false" ht="15" hidden="false" customHeight="false" outlineLevel="0" collapsed="false">
      <c r="A47" s="30"/>
      <c r="B47" s="21"/>
      <c r="C47" s="21" t="str">
        <f aca="false">IF(B47="","",IFERROR(INDEX(代理店一覧!$B$5:$B$204,MATCH(B47,代理店一覧!$A$5:$A$204,0)),"※未登録のID"))</f>
        <v/>
      </c>
      <c r="D47" s="20"/>
      <c r="E47" s="20"/>
      <c r="F47" s="20"/>
      <c r="G47" s="20"/>
      <c r="H47" s="20"/>
      <c r="I47" s="21"/>
    </row>
    <row r="48" customFormat="false" ht="15" hidden="false" customHeight="false" outlineLevel="0" collapsed="false">
      <c r="A48" s="30"/>
      <c r="B48" s="21"/>
      <c r="C48" s="21" t="str">
        <f aca="false">IF(B48="","",IFERROR(INDEX(代理店一覧!$B$5:$B$204,MATCH(B48,代理店一覧!$A$5:$A$204,0)),"※未登録のID"))</f>
        <v/>
      </c>
      <c r="D48" s="20"/>
      <c r="E48" s="20"/>
      <c r="F48" s="20"/>
      <c r="G48" s="20"/>
      <c r="H48" s="20"/>
      <c r="I48" s="21"/>
    </row>
    <row r="49" customFormat="false" ht="15" hidden="false" customHeight="false" outlineLevel="0" collapsed="false">
      <c r="A49" s="30"/>
      <c r="B49" s="21"/>
      <c r="C49" s="21" t="str">
        <f aca="false">IF(B49="","",IFERROR(INDEX(代理店一覧!$B$5:$B$204,MATCH(B49,代理店一覧!$A$5:$A$204,0)),"※未登録のID"))</f>
        <v/>
      </c>
      <c r="D49" s="20"/>
      <c r="E49" s="20"/>
      <c r="F49" s="20"/>
      <c r="G49" s="20"/>
      <c r="H49" s="20"/>
      <c r="I49" s="21"/>
    </row>
    <row r="50" customFormat="false" ht="15" hidden="false" customHeight="false" outlineLevel="0" collapsed="false">
      <c r="A50" s="30"/>
      <c r="B50" s="21"/>
      <c r="C50" s="21" t="str">
        <f aca="false">IF(B50="","",IFERROR(INDEX(代理店一覧!$B$5:$B$204,MATCH(B50,代理店一覧!$A$5:$A$204,0)),"※未登録のID"))</f>
        <v/>
      </c>
      <c r="D50" s="20"/>
      <c r="E50" s="20"/>
      <c r="F50" s="20"/>
      <c r="G50" s="20"/>
      <c r="H50" s="20"/>
      <c r="I50" s="21"/>
    </row>
    <row r="51" customFormat="false" ht="15" hidden="false" customHeight="false" outlineLevel="0" collapsed="false">
      <c r="A51" s="30"/>
      <c r="B51" s="21"/>
      <c r="C51" s="21" t="str">
        <f aca="false">IF(B51="","",IFERROR(INDEX(代理店一覧!$B$5:$B$204,MATCH(B51,代理店一覧!$A$5:$A$204,0)),"※未登録のID"))</f>
        <v/>
      </c>
      <c r="D51" s="20"/>
      <c r="E51" s="20"/>
      <c r="F51" s="20"/>
      <c r="G51" s="20"/>
      <c r="H51" s="20"/>
      <c r="I51" s="21"/>
    </row>
    <row r="52" customFormat="false" ht="15" hidden="false" customHeight="false" outlineLevel="0" collapsed="false">
      <c r="A52" s="30"/>
      <c r="B52" s="21"/>
      <c r="C52" s="21" t="str">
        <f aca="false">IF(B52="","",IFERROR(INDEX(代理店一覧!$B$5:$B$204,MATCH(B52,代理店一覧!$A$5:$A$204,0)),"※未登録のID"))</f>
        <v/>
      </c>
      <c r="D52" s="20"/>
      <c r="E52" s="20"/>
      <c r="F52" s="20"/>
      <c r="G52" s="20"/>
      <c r="H52" s="20"/>
      <c r="I52" s="21"/>
    </row>
    <row r="53" customFormat="false" ht="15" hidden="false" customHeight="false" outlineLevel="0" collapsed="false">
      <c r="A53" s="30"/>
      <c r="B53" s="21"/>
      <c r="C53" s="21" t="str">
        <f aca="false">IF(B53="","",IFERROR(INDEX(代理店一覧!$B$5:$B$204,MATCH(B53,代理店一覧!$A$5:$A$204,0)),"※未登録のID"))</f>
        <v/>
      </c>
      <c r="D53" s="20"/>
      <c r="E53" s="20"/>
      <c r="F53" s="20"/>
      <c r="G53" s="20"/>
      <c r="H53" s="20"/>
      <c r="I53" s="21"/>
    </row>
    <row r="54" customFormat="false" ht="15" hidden="false" customHeight="false" outlineLevel="0" collapsed="false">
      <c r="A54" s="30"/>
      <c r="B54" s="21"/>
      <c r="C54" s="21" t="str">
        <f aca="false">IF(B54="","",IFERROR(INDEX(代理店一覧!$B$5:$B$204,MATCH(B54,代理店一覧!$A$5:$A$204,0)),"※未登録のID"))</f>
        <v/>
      </c>
      <c r="D54" s="20"/>
      <c r="E54" s="20"/>
      <c r="F54" s="20"/>
      <c r="G54" s="20"/>
      <c r="H54" s="20"/>
      <c r="I54" s="21"/>
    </row>
    <row r="55" customFormat="false" ht="15" hidden="false" customHeight="false" outlineLevel="0" collapsed="false">
      <c r="A55" s="30"/>
      <c r="B55" s="21"/>
      <c r="C55" s="21" t="str">
        <f aca="false">IF(B55="","",IFERROR(INDEX(代理店一覧!$B$5:$B$204,MATCH(B55,代理店一覧!$A$5:$A$204,0)),"※未登録のID"))</f>
        <v/>
      </c>
      <c r="D55" s="20"/>
      <c r="E55" s="20"/>
      <c r="F55" s="20"/>
      <c r="G55" s="20"/>
      <c r="H55" s="20"/>
      <c r="I55" s="21"/>
    </row>
    <row r="56" customFormat="false" ht="15" hidden="false" customHeight="false" outlineLevel="0" collapsed="false">
      <c r="A56" s="30"/>
      <c r="B56" s="21"/>
      <c r="C56" s="21" t="str">
        <f aca="false">IF(B56="","",IFERROR(INDEX(代理店一覧!$B$5:$B$204,MATCH(B56,代理店一覧!$A$5:$A$204,0)),"※未登録のID"))</f>
        <v/>
      </c>
      <c r="D56" s="20"/>
      <c r="E56" s="20"/>
      <c r="F56" s="20"/>
      <c r="G56" s="20"/>
      <c r="H56" s="20"/>
      <c r="I56" s="21"/>
    </row>
    <row r="57" customFormat="false" ht="15" hidden="false" customHeight="false" outlineLevel="0" collapsed="false">
      <c r="A57" s="30"/>
      <c r="B57" s="21"/>
      <c r="C57" s="21" t="str">
        <f aca="false">IF(B57="","",IFERROR(INDEX(代理店一覧!$B$5:$B$204,MATCH(B57,代理店一覧!$A$5:$A$204,0)),"※未登録のID"))</f>
        <v/>
      </c>
      <c r="D57" s="20"/>
      <c r="E57" s="20"/>
      <c r="F57" s="20"/>
      <c r="G57" s="20"/>
      <c r="H57" s="20"/>
      <c r="I57" s="21"/>
    </row>
    <row r="58" customFormat="false" ht="15" hidden="false" customHeight="false" outlineLevel="0" collapsed="false">
      <c r="A58" s="30"/>
      <c r="B58" s="21"/>
      <c r="C58" s="21" t="str">
        <f aca="false">IF(B58="","",IFERROR(INDEX(代理店一覧!$B$5:$B$204,MATCH(B58,代理店一覧!$A$5:$A$204,0)),"※未登録のID"))</f>
        <v/>
      </c>
      <c r="D58" s="20"/>
      <c r="E58" s="20"/>
      <c r="F58" s="20"/>
      <c r="G58" s="20"/>
      <c r="H58" s="20"/>
      <c r="I58" s="21"/>
    </row>
    <row r="59" customFormat="false" ht="15" hidden="false" customHeight="false" outlineLevel="0" collapsed="false">
      <c r="A59" s="30"/>
      <c r="B59" s="21"/>
      <c r="C59" s="21" t="str">
        <f aca="false">IF(B59="","",IFERROR(INDEX(代理店一覧!$B$5:$B$204,MATCH(B59,代理店一覧!$A$5:$A$204,0)),"※未登録のID"))</f>
        <v/>
      </c>
      <c r="D59" s="20"/>
      <c r="E59" s="20"/>
      <c r="F59" s="20"/>
      <c r="G59" s="20"/>
      <c r="H59" s="20"/>
      <c r="I59" s="21"/>
    </row>
    <row r="60" customFormat="false" ht="15" hidden="false" customHeight="false" outlineLevel="0" collapsed="false">
      <c r="A60" s="30"/>
      <c r="B60" s="21"/>
      <c r="C60" s="21" t="str">
        <f aca="false">IF(B60="","",IFERROR(INDEX(代理店一覧!$B$5:$B$204,MATCH(B60,代理店一覧!$A$5:$A$204,0)),"※未登録のID"))</f>
        <v/>
      </c>
      <c r="D60" s="20"/>
      <c r="E60" s="20"/>
      <c r="F60" s="20"/>
      <c r="G60" s="20"/>
      <c r="H60" s="20"/>
      <c r="I60" s="21"/>
    </row>
    <row r="61" customFormat="false" ht="15" hidden="false" customHeight="false" outlineLevel="0" collapsed="false">
      <c r="A61" s="30"/>
      <c r="B61" s="21"/>
      <c r="C61" s="21" t="str">
        <f aca="false">IF(B61="","",IFERROR(INDEX(代理店一覧!$B$5:$B$204,MATCH(B61,代理店一覧!$A$5:$A$204,0)),"※未登録のID"))</f>
        <v/>
      </c>
      <c r="D61" s="20"/>
      <c r="E61" s="20"/>
      <c r="F61" s="20"/>
      <c r="G61" s="20"/>
      <c r="H61" s="20"/>
      <c r="I61" s="21"/>
    </row>
    <row r="62" customFormat="false" ht="15" hidden="false" customHeight="false" outlineLevel="0" collapsed="false">
      <c r="A62" s="30"/>
      <c r="B62" s="21"/>
      <c r="C62" s="21" t="str">
        <f aca="false">IF(B62="","",IFERROR(INDEX(代理店一覧!$B$5:$B$204,MATCH(B62,代理店一覧!$A$5:$A$204,0)),"※未登録のID"))</f>
        <v/>
      </c>
      <c r="D62" s="20"/>
      <c r="E62" s="20"/>
      <c r="F62" s="20"/>
      <c r="G62" s="20"/>
      <c r="H62" s="20"/>
      <c r="I62" s="21"/>
    </row>
    <row r="63" customFormat="false" ht="15" hidden="false" customHeight="false" outlineLevel="0" collapsed="false">
      <c r="A63" s="30"/>
      <c r="B63" s="21"/>
      <c r="C63" s="21" t="str">
        <f aca="false">IF(B63="","",IFERROR(INDEX(代理店一覧!$B$5:$B$204,MATCH(B63,代理店一覧!$A$5:$A$204,0)),"※未登録のID"))</f>
        <v/>
      </c>
      <c r="D63" s="20"/>
      <c r="E63" s="20"/>
      <c r="F63" s="20"/>
      <c r="G63" s="20"/>
      <c r="H63" s="20"/>
      <c r="I63" s="21"/>
    </row>
    <row r="64" customFormat="false" ht="15" hidden="false" customHeight="false" outlineLevel="0" collapsed="false">
      <c r="A64" s="30"/>
      <c r="B64" s="21"/>
      <c r="C64" s="21" t="str">
        <f aca="false">IF(B64="","",IFERROR(INDEX(代理店一覧!$B$5:$B$204,MATCH(B64,代理店一覧!$A$5:$A$204,0)),"※未登録のID"))</f>
        <v/>
      </c>
      <c r="D64" s="20"/>
      <c r="E64" s="20"/>
      <c r="F64" s="20"/>
      <c r="G64" s="20"/>
      <c r="H64" s="20"/>
      <c r="I64" s="21"/>
    </row>
    <row r="65" customFormat="false" ht="15" hidden="false" customHeight="false" outlineLevel="0" collapsed="false">
      <c r="A65" s="30"/>
      <c r="B65" s="21"/>
      <c r="C65" s="21" t="str">
        <f aca="false">IF(B65="","",IFERROR(INDEX(代理店一覧!$B$5:$B$204,MATCH(B65,代理店一覧!$A$5:$A$204,0)),"※未登録のID"))</f>
        <v/>
      </c>
      <c r="D65" s="20"/>
      <c r="E65" s="20"/>
      <c r="F65" s="20"/>
      <c r="G65" s="20"/>
      <c r="H65" s="20"/>
      <c r="I65" s="21"/>
    </row>
    <row r="66" customFormat="false" ht="15" hidden="false" customHeight="false" outlineLevel="0" collapsed="false">
      <c r="A66" s="30"/>
      <c r="B66" s="21"/>
      <c r="C66" s="21" t="str">
        <f aca="false">IF(B66="","",IFERROR(INDEX(代理店一覧!$B$5:$B$204,MATCH(B66,代理店一覧!$A$5:$A$204,0)),"※未登録のID"))</f>
        <v/>
      </c>
      <c r="D66" s="20"/>
      <c r="E66" s="20"/>
      <c r="F66" s="20"/>
      <c r="G66" s="20"/>
      <c r="H66" s="20"/>
      <c r="I66" s="21"/>
    </row>
    <row r="67" customFormat="false" ht="15" hidden="false" customHeight="false" outlineLevel="0" collapsed="false">
      <c r="A67" s="30"/>
      <c r="B67" s="21"/>
      <c r="C67" s="21" t="str">
        <f aca="false">IF(B67="","",IFERROR(INDEX(代理店一覧!$B$5:$B$204,MATCH(B67,代理店一覧!$A$5:$A$204,0)),"※未登録のID"))</f>
        <v/>
      </c>
      <c r="D67" s="20"/>
      <c r="E67" s="20"/>
      <c r="F67" s="20"/>
      <c r="G67" s="20"/>
      <c r="H67" s="20"/>
      <c r="I67" s="21"/>
    </row>
    <row r="68" customFormat="false" ht="15" hidden="false" customHeight="false" outlineLevel="0" collapsed="false">
      <c r="A68" s="30"/>
      <c r="B68" s="21"/>
      <c r="C68" s="21" t="str">
        <f aca="false">IF(B68="","",IFERROR(INDEX(代理店一覧!$B$5:$B$204,MATCH(B68,代理店一覧!$A$5:$A$204,0)),"※未登録のID"))</f>
        <v/>
      </c>
      <c r="D68" s="20"/>
      <c r="E68" s="20"/>
      <c r="F68" s="20"/>
      <c r="G68" s="20"/>
      <c r="H68" s="20"/>
      <c r="I68" s="21"/>
    </row>
    <row r="69" customFormat="false" ht="15" hidden="false" customHeight="false" outlineLevel="0" collapsed="false">
      <c r="A69" s="30"/>
      <c r="B69" s="21"/>
      <c r="C69" s="21" t="str">
        <f aca="false">IF(B69="","",IFERROR(INDEX(代理店一覧!$B$5:$B$204,MATCH(B69,代理店一覧!$A$5:$A$204,0)),"※未登録のID"))</f>
        <v/>
      </c>
      <c r="D69" s="20"/>
      <c r="E69" s="20"/>
      <c r="F69" s="20"/>
      <c r="G69" s="20"/>
      <c r="H69" s="20"/>
      <c r="I69" s="21"/>
    </row>
    <row r="70" customFormat="false" ht="15" hidden="false" customHeight="false" outlineLevel="0" collapsed="false">
      <c r="A70" s="30"/>
      <c r="B70" s="21"/>
      <c r="C70" s="21" t="str">
        <f aca="false">IF(B70="","",IFERROR(INDEX(代理店一覧!$B$5:$B$204,MATCH(B70,代理店一覧!$A$5:$A$204,0)),"※未登録のID"))</f>
        <v/>
      </c>
      <c r="D70" s="20"/>
      <c r="E70" s="20"/>
      <c r="F70" s="20"/>
      <c r="G70" s="20"/>
      <c r="H70" s="20"/>
      <c r="I70" s="21"/>
    </row>
    <row r="71" customFormat="false" ht="15" hidden="false" customHeight="false" outlineLevel="0" collapsed="false">
      <c r="A71" s="30"/>
      <c r="B71" s="21"/>
      <c r="C71" s="21" t="str">
        <f aca="false">IF(B71="","",IFERROR(INDEX(代理店一覧!$B$5:$B$204,MATCH(B71,代理店一覧!$A$5:$A$204,0)),"※未登録のID"))</f>
        <v/>
      </c>
      <c r="D71" s="20"/>
      <c r="E71" s="20"/>
      <c r="F71" s="20"/>
      <c r="G71" s="20"/>
      <c r="H71" s="20"/>
      <c r="I71" s="21"/>
    </row>
    <row r="72" customFormat="false" ht="15" hidden="false" customHeight="false" outlineLevel="0" collapsed="false">
      <c r="A72" s="30"/>
      <c r="B72" s="21"/>
      <c r="C72" s="21" t="str">
        <f aca="false">IF(B72="","",IFERROR(INDEX(代理店一覧!$B$5:$B$204,MATCH(B72,代理店一覧!$A$5:$A$204,0)),"※未登録のID"))</f>
        <v/>
      </c>
      <c r="D72" s="20"/>
      <c r="E72" s="20"/>
      <c r="F72" s="20"/>
      <c r="G72" s="20"/>
      <c r="H72" s="20"/>
      <c r="I72" s="21"/>
    </row>
    <row r="73" customFormat="false" ht="15" hidden="false" customHeight="false" outlineLevel="0" collapsed="false">
      <c r="A73" s="30"/>
      <c r="B73" s="21"/>
      <c r="C73" s="21" t="str">
        <f aca="false">IF(B73="","",IFERROR(INDEX(代理店一覧!$B$5:$B$204,MATCH(B73,代理店一覧!$A$5:$A$204,0)),"※未登録のID"))</f>
        <v/>
      </c>
      <c r="D73" s="20"/>
      <c r="E73" s="20"/>
      <c r="F73" s="20"/>
      <c r="G73" s="20"/>
      <c r="H73" s="20"/>
      <c r="I73" s="21"/>
    </row>
    <row r="74" customFormat="false" ht="15" hidden="false" customHeight="false" outlineLevel="0" collapsed="false">
      <c r="A74" s="30"/>
      <c r="B74" s="21"/>
      <c r="C74" s="21" t="str">
        <f aca="false">IF(B74="","",IFERROR(INDEX(代理店一覧!$B$5:$B$204,MATCH(B74,代理店一覧!$A$5:$A$204,0)),"※未登録のID"))</f>
        <v/>
      </c>
      <c r="D74" s="20"/>
      <c r="E74" s="20"/>
      <c r="F74" s="20"/>
      <c r="G74" s="20"/>
      <c r="H74" s="20"/>
      <c r="I74" s="21"/>
    </row>
    <row r="75" customFormat="false" ht="15" hidden="false" customHeight="false" outlineLevel="0" collapsed="false">
      <c r="A75" s="30"/>
      <c r="B75" s="21"/>
      <c r="C75" s="21" t="str">
        <f aca="false">IF(B75="","",IFERROR(INDEX(代理店一覧!$B$5:$B$204,MATCH(B75,代理店一覧!$A$5:$A$204,0)),"※未登録のID"))</f>
        <v/>
      </c>
      <c r="D75" s="20"/>
      <c r="E75" s="20"/>
      <c r="F75" s="20"/>
      <c r="G75" s="20"/>
      <c r="H75" s="20"/>
      <c r="I75" s="21"/>
    </row>
    <row r="76" customFormat="false" ht="15" hidden="false" customHeight="false" outlineLevel="0" collapsed="false">
      <c r="A76" s="30"/>
      <c r="B76" s="21"/>
      <c r="C76" s="21" t="str">
        <f aca="false">IF(B76="","",IFERROR(INDEX(代理店一覧!$B$5:$B$204,MATCH(B76,代理店一覧!$A$5:$A$204,0)),"※未登録のID"))</f>
        <v/>
      </c>
      <c r="D76" s="20"/>
      <c r="E76" s="20"/>
      <c r="F76" s="20"/>
      <c r="G76" s="20"/>
      <c r="H76" s="20"/>
      <c r="I76" s="21"/>
    </row>
    <row r="77" customFormat="false" ht="15" hidden="false" customHeight="false" outlineLevel="0" collapsed="false">
      <c r="A77" s="30"/>
      <c r="B77" s="21"/>
      <c r="C77" s="21" t="str">
        <f aca="false">IF(B77="","",IFERROR(INDEX(代理店一覧!$B$5:$B$204,MATCH(B77,代理店一覧!$A$5:$A$204,0)),"※未登録のID"))</f>
        <v/>
      </c>
      <c r="D77" s="20"/>
      <c r="E77" s="20"/>
      <c r="F77" s="20"/>
      <c r="G77" s="20"/>
      <c r="H77" s="20"/>
      <c r="I77" s="21"/>
    </row>
    <row r="78" customFormat="false" ht="15" hidden="false" customHeight="false" outlineLevel="0" collapsed="false">
      <c r="A78" s="30"/>
      <c r="B78" s="21"/>
      <c r="C78" s="21" t="str">
        <f aca="false">IF(B78="","",IFERROR(INDEX(代理店一覧!$B$5:$B$204,MATCH(B78,代理店一覧!$A$5:$A$204,0)),"※未登録のID"))</f>
        <v/>
      </c>
      <c r="D78" s="20"/>
      <c r="E78" s="20"/>
      <c r="F78" s="20"/>
      <c r="G78" s="20"/>
      <c r="H78" s="20"/>
      <c r="I78" s="21"/>
    </row>
    <row r="79" customFormat="false" ht="15" hidden="false" customHeight="false" outlineLevel="0" collapsed="false">
      <c r="A79" s="30"/>
      <c r="B79" s="21"/>
      <c r="C79" s="21" t="str">
        <f aca="false">IF(B79="","",IFERROR(INDEX(代理店一覧!$B$5:$B$204,MATCH(B79,代理店一覧!$A$5:$A$204,0)),"※未登録のID"))</f>
        <v/>
      </c>
      <c r="D79" s="20"/>
      <c r="E79" s="20"/>
      <c r="F79" s="20"/>
      <c r="G79" s="20"/>
      <c r="H79" s="20"/>
      <c r="I79" s="21"/>
    </row>
    <row r="80" customFormat="false" ht="15" hidden="false" customHeight="false" outlineLevel="0" collapsed="false">
      <c r="A80" s="30"/>
      <c r="B80" s="21"/>
      <c r="C80" s="21" t="str">
        <f aca="false">IF(B80="","",IFERROR(INDEX(代理店一覧!$B$5:$B$204,MATCH(B80,代理店一覧!$A$5:$A$204,0)),"※未登録のID"))</f>
        <v/>
      </c>
      <c r="D80" s="20"/>
      <c r="E80" s="20"/>
      <c r="F80" s="20"/>
      <c r="G80" s="20"/>
      <c r="H80" s="20"/>
      <c r="I80" s="21"/>
    </row>
    <row r="81" customFormat="false" ht="15" hidden="false" customHeight="false" outlineLevel="0" collapsed="false">
      <c r="A81" s="30"/>
      <c r="B81" s="21"/>
      <c r="C81" s="21" t="str">
        <f aca="false">IF(B81="","",IFERROR(INDEX(代理店一覧!$B$5:$B$204,MATCH(B81,代理店一覧!$A$5:$A$204,0)),"※未登録のID"))</f>
        <v/>
      </c>
      <c r="D81" s="20"/>
      <c r="E81" s="20"/>
      <c r="F81" s="20"/>
      <c r="G81" s="20"/>
      <c r="H81" s="20"/>
      <c r="I81" s="21"/>
    </row>
    <row r="82" customFormat="false" ht="15" hidden="false" customHeight="false" outlineLevel="0" collapsed="false">
      <c r="A82" s="30"/>
      <c r="B82" s="21"/>
      <c r="C82" s="21" t="str">
        <f aca="false">IF(B82="","",IFERROR(INDEX(代理店一覧!$B$5:$B$204,MATCH(B82,代理店一覧!$A$5:$A$204,0)),"※未登録のID"))</f>
        <v/>
      </c>
      <c r="D82" s="20"/>
      <c r="E82" s="20"/>
      <c r="F82" s="20"/>
      <c r="G82" s="20"/>
      <c r="H82" s="20"/>
      <c r="I82" s="21"/>
    </row>
    <row r="83" customFormat="false" ht="15" hidden="false" customHeight="false" outlineLevel="0" collapsed="false">
      <c r="A83" s="30"/>
      <c r="B83" s="21"/>
      <c r="C83" s="21" t="str">
        <f aca="false">IF(B83="","",IFERROR(INDEX(代理店一覧!$B$5:$B$204,MATCH(B83,代理店一覧!$A$5:$A$204,0)),"※未登録のID"))</f>
        <v/>
      </c>
      <c r="D83" s="20"/>
      <c r="E83" s="20"/>
      <c r="F83" s="20"/>
      <c r="G83" s="20"/>
      <c r="H83" s="20"/>
      <c r="I83" s="21"/>
    </row>
    <row r="84" customFormat="false" ht="15" hidden="false" customHeight="false" outlineLevel="0" collapsed="false">
      <c r="A84" s="30"/>
      <c r="B84" s="21"/>
      <c r="C84" s="21" t="str">
        <f aca="false">IF(B84="","",IFERROR(INDEX(代理店一覧!$B$5:$B$204,MATCH(B84,代理店一覧!$A$5:$A$204,0)),"※未登録のID"))</f>
        <v/>
      </c>
      <c r="D84" s="20"/>
      <c r="E84" s="20"/>
      <c r="F84" s="20"/>
      <c r="G84" s="20"/>
      <c r="H84" s="20"/>
      <c r="I84" s="21"/>
    </row>
    <row r="85" customFormat="false" ht="15" hidden="false" customHeight="false" outlineLevel="0" collapsed="false">
      <c r="A85" s="30"/>
      <c r="B85" s="21"/>
      <c r="C85" s="21" t="str">
        <f aca="false">IF(B85="","",IFERROR(INDEX(代理店一覧!$B$5:$B$204,MATCH(B85,代理店一覧!$A$5:$A$204,0)),"※未登録のID"))</f>
        <v/>
      </c>
      <c r="D85" s="20"/>
      <c r="E85" s="20"/>
      <c r="F85" s="20"/>
      <c r="G85" s="20"/>
      <c r="H85" s="20"/>
      <c r="I85" s="21"/>
    </row>
    <row r="86" customFormat="false" ht="15" hidden="false" customHeight="false" outlineLevel="0" collapsed="false">
      <c r="A86" s="30"/>
      <c r="B86" s="21"/>
      <c r="C86" s="21" t="str">
        <f aca="false">IF(B86="","",IFERROR(INDEX(代理店一覧!$B$5:$B$204,MATCH(B86,代理店一覧!$A$5:$A$204,0)),"※未登録のID"))</f>
        <v/>
      </c>
      <c r="D86" s="20"/>
      <c r="E86" s="20"/>
      <c r="F86" s="20"/>
      <c r="G86" s="20"/>
      <c r="H86" s="20"/>
      <c r="I86" s="21"/>
    </row>
    <row r="87" customFormat="false" ht="15" hidden="false" customHeight="false" outlineLevel="0" collapsed="false">
      <c r="A87" s="30"/>
      <c r="B87" s="21"/>
      <c r="C87" s="21" t="str">
        <f aca="false">IF(B87="","",IFERROR(INDEX(代理店一覧!$B$5:$B$204,MATCH(B87,代理店一覧!$A$5:$A$204,0)),"※未登録のID"))</f>
        <v/>
      </c>
      <c r="D87" s="20"/>
      <c r="E87" s="20"/>
      <c r="F87" s="20"/>
      <c r="G87" s="20"/>
      <c r="H87" s="20"/>
      <c r="I87" s="21"/>
    </row>
    <row r="88" customFormat="false" ht="15" hidden="false" customHeight="false" outlineLevel="0" collapsed="false">
      <c r="A88" s="30"/>
      <c r="B88" s="21"/>
      <c r="C88" s="21" t="str">
        <f aca="false">IF(B88="","",IFERROR(INDEX(代理店一覧!$B$5:$B$204,MATCH(B88,代理店一覧!$A$5:$A$204,0)),"※未登録のID"))</f>
        <v/>
      </c>
      <c r="D88" s="20"/>
      <c r="E88" s="20"/>
      <c r="F88" s="20"/>
      <c r="G88" s="20"/>
      <c r="H88" s="20"/>
      <c r="I88" s="21"/>
    </row>
    <row r="89" customFormat="false" ht="15" hidden="false" customHeight="false" outlineLevel="0" collapsed="false">
      <c r="A89" s="30"/>
      <c r="B89" s="21"/>
      <c r="C89" s="21" t="str">
        <f aca="false">IF(B89="","",IFERROR(INDEX(代理店一覧!$B$5:$B$204,MATCH(B89,代理店一覧!$A$5:$A$204,0)),"※未登録のID"))</f>
        <v/>
      </c>
      <c r="D89" s="20"/>
      <c r="E89" s="20"/>
      <c r="F89" s="20"/>
      <c r="G89" s="20"/>
      <c r="H89" s="20"/>
      <c r="I89" s="21"/>
    </row>
    <row r="90" customFormat="false" ht="15" hidden="false" customHeight="false" outlineLevel="0" collapsed="false">
      <c r="A90" s="30"/>
      <c r="B90" s="21"/>
      <c r="C90" s="21" t="str">
        <f aca="false">IF(B90="","",IFERROR(INDEX(代理店一覧!$B$5:$B$204,MATCH(B90,代理店一覧!$A$5:$A$204,0)),"※未登録のID"))</f>
        <v/>
      </c>
      <c r="D90" s="20"/>
      <c r="E90" s="20"/>
      <c r="F90" s="20"/>
      <c r="G90" s="20"/>
      <c r="H90" s="20"/>
      <c r="I90" s="21"/>
    </row>
    <row r="91" customFormat="false" ht="15" hidden="false" customHeight="false" outlineLevel="0" collapsed="false">
      <c r="A91" s="30"/>
      <c r="B91" s="21"/>
      <c r="C91" s="21" t="str">
        <f aca="false">IF(B91="","",IFERROR(INDEX(代理店一覧!$B$5:$B$204,MATCH(B91,代理店一覧!$A$5:$A$204,0)),"※未登録のID"))</f>
        <v/>
      </c>
      <c r="D91" s="20"/>
      <c r="E91" s="20"/>
      <c r="F91" s="20"/>
      <c r="G91" s="20"/>
      <c r="H91" s="20"/>
      <c r="I91" s="21"/>
    </row>
    <row r="92" customFormat="false" ht="15" hidden="false" customHeight="false" outlineLevel="0" collapsed="false">
      <c r="A92" s="30"/>
      <c r="B92" s="21"/>
      <c r="C92" s="21" t="str">
        <f aca="false">IF(B92="","",IFERROR(INDEX(代理店一覧!$B$5:$B$204,MATCH(B92,代理店一覧!$A$5:$A$204,0)),"※未登録のID"))</f>
        <v/>
      </c>
      <c r="D92" s="20"/>
      <c r="E92" s="20"/>
      <c r="F92" s="20"/>
      <c r="G92" s="20"/>
      <c r="H92" s="20"/>
      <c r="I92" s="21"/>
    </row>
    <row r="93" customFormat="false" ht="15" hidden="false" customHeight="false" outlineLevel="0" collapsed="false">
      <c r="A93" s="30"/>
      <c r="B93" s="21"/>
      <c r="C93" s="21" t="str">
        <f aca="false">IF(B93="","",IFERROR(INDEX(代理店一覧!$B$5:$B$204,MATCH(B93,代理店一覧!$A$5:$A$204,0)),"※未登録のID"))</f>
        <v/>
      </c>
      <c r="D93" s="20"/>
      <c r="E93" s="20"/>
      <c r="F93" s="20"/>
      <c r="G93" s="20"/>
      <c r="H93" s="20"/>
      <c r="I93" s="21"/>
    </row>
    <row r="94" customFormat="false" ht="15" hidden="false" customHeight="false" outlineLevel="0" collapsed="false">
      <c r="A94" s="30"/>
      <c r="B94" s="21"/>
      <c r="C94" s="21" t="str">
        <f aca="false">IF(B94="","",IFERROR(INDEX(代理店一覧!$B$5:$B$204,MATCH(B94,代理店一覧!$A$5:$A$204,0)),"※未登録のID"))</f>
        <v/>
      </c>
      <c r="D94" s="20"/>
      <c r="E94" s="20"/>
      <c r="F94" s="20"/>
      <c r="G94" s="20"/>
      <c r="H94" s="20"/>
      <c r="I94" s="21"/>
    </row>
    <row r="95" customFormat="false" ht="15" hidden="false" customHeight="false" outlineLevel="0" collapsed="false">
      <c r="A95" s="30"/>
      <c r="B95" s="21"/>
      <c r="C95" s="21" t="str">
        <f aca="false">IF(B95="","",IFERROR(INDEX(代理店一覧!$B$5:$B$204,MATCH(B95,代理店一覧!$A$5:$A$204,0)),"※未登録のID"))</f>
        <v/>
      </c>
      <c r="D95" s="20"/>
      <c r="E95" s="20"/>
      <c r="F95" s="20"/>
      <c r="G95" s="20"/>
      <c r="H95" s="20"/>
      <c r="I95" s="21"/>
    </row>
    <row r="96" customFormat="false" ht="15" hidden="false" customHeight="false" outlineLevel="0" collapsed="false">
      <c r="A96" s="30"/>
      <c r="B96" s="21"/>
      <c r="C96" s="21" t="str">
        <f aca="false">IF(B96="","",IFERROR(INDEX(代理店一覧!$B$5:$B$204,MATCH(B96,代理店一覧!$A$5:$A$204,0)),"※未登録のID"))</f>
        <v/>
      </c>
      <c r="D96" s="20"/>
      <c r="E96" s="20"/>
      <c r="F96" s="20"/>
      <c r="G96" s="20"/>
      <c r="H96" s="20"/>
      <c r="I96" s="21"/>
    </row>
    <row r="97" customFormat="false" ht="15" hidden="false" customHeight="false" outlineLevel="0" collapsed="false">
      <c r="A97" s="30"/>
      <c r="B97" s="21"/>
      <c r="C97" s="21" t="str">
        <f aca="false">IF(B97="","",IFERROR(INDEX(代理店一覧!$B$5:$B$204,MATCH(B97,代理店一覧!$A$5:$A$204,0)),"※未登録のID"))</f>
        <v/>
      </c>
      <c r="D97" s="20"/>
      <c r="E97" s="20"/>
      <c r="F97" s="20"/>
      <c r="G97" s="20"/>
      <c r="H97" s="20"/>
      <c r="I97" s="21"/>
    </row>
    <row r="98" customFormat="false" ht="15" hidden="false" customHeight="false" outlineLevel="0" collapsed="false">
      <c r="A98" s="30"/>
      <c r="B98" s="21"/>
      <c r="C98" s="21" t="str">
        <f aca="false">IF(B98="","",IFERROR(INDEX(代理店一覧!$B$5:$B$204,MATCH(B98,代理店一覧!$A$5:$A$204,0)),"※未登録のID"))</f>
        <v/>
      </c>
      <c r="D98" s="20"/>
      <c r="E98" s="20"/>
      <c r="F98" s="20"/>
      <c r="G98" s="20"/>
      <c r="H98" s="20"/>
      <c r="I98" s="21"/>
    </row>
    <row r="99" customFormat="false" ht="15" hidden="false" customHeight="false" outlineLevel="0" collapsed="false">
      <c r="A99" s="30"/>
      <c r="B99" s="21"/>
      <c r="C99" s="21" t="str">
        <f aca="false">IF(B99="","",IFERROR(INDEX(代理店一覧!$B$5:$B$204,MATCH(B99,代理店一覧!$A$5:$A$204,0)),"※未登録のID"))</f>
        <v/>
      </c>
      <c r="D99" s="20"/>
      <c r="E99" s="20"/>
      <c r="F99" s="20"/>
      <c r="G99" s="20"/>
      <c r="H99" s="20"/>
      <c r="I99" s="21"/>
    </row>
    <row r="100" customFormat="false" ht="15" hidden="false" customHeight="false" outlineLevel="0" collapsed="false">
      <c r="A100" s="30"/>
      <c r="B100" s="21"/>
      <c r="C100" s="21" t="str">
        <f aca="false">IF(B100="","",IFERROR(INDEX(代理店一覧!$B$5:$B$204,MATCH(B100,代理店一覧!$A$5:$A$204,0)),"※未登録のID"))</f>
        <v/>
      </c>
      <c r="D100" s="20"/>
      <c r="E100" s="20"/>
      <c r="F100" s="20"/>
      <c r="G100" s="20"/>
      <c r="H100" s="20"/>
      <c r="I100" s="21"/>
    </row>
    <row r="101" customFormat="false" ht="15" hidden="false" customHeight="false" outlineLevel="0" collapsed="false">
      <c r="A101" s="30"/>
      <c r="B101" s="21"/>
      <c r="C101" s="21" t="str">
        <f aca="false">IF(B101="","",IFERROR(INDEX(代理店一覧!$B$5:$B$204,MATCH(B101,代理店一覧!$A$5:$A$204,0)),"※未登録のID"))</f>
        <v/>
      </c>
      <c r="D101" s="20"/>
      <c r="E101" s="20"/>
      <c r="F101" s="20"/>
      <c r="G101" s="20"/>
      <c r="H101" s="20"/>
      <c r="I101" s="21"/>
    </row>
    <row r="102" customFormat="false" ht="15" hidden="false" customHeight="false" outlineLevel="0" collapsed="false">
      <c r="A102" s="30"/>
      <c r="B102" s="21"/>
      <c r="C102" s="21" t="str">
        <f aca="false">IF(B102="","",IFERROR(INDEX(代理店一覧!$B$5:$B$204,MATCH(B102,代理店一覧!$A$5:$A$204,0)),"※未登録のID"))</f>
        <v/>
      </c>
      <c r="D102" s="20"/>
      <c r="E102" s="20"/>
      <c r="F102" s="20"/>
      <c r="G102" s="20"/>
      <c r="H102" s="20"/>
      <c r="I102" s="21"/>
    </row>
    <row r="103" customFormat="false" ht="15" hidden="false" customHeight="false" outlineLevel="0" collapsed="false">
      <c r="A103" s="30"/>
      <c r="B103" s="21"/>
      <c r="C103" s="21" t="str">
        <f aca="false">IF(B103="","",IFERROR(INDEX(代理店一覧!$B$5:$B$204,MATCH(B103,代理店一覧!$A$5:$A$204,0)),"※未登録のID"))</f>
        <v/>
      </c>
      <c r="D103" s="20"/>
      <c r="E103" s="20"/>
      <c r="F103" s="20"/>
      <c r="G103" s="20"/>
      <c r="H103" s="20"/>
      <c r="I103" s="21"/>
    </row>
    <row r="104" customFormat="false" ht="15" hidden="false" customHeight="false" outlineLevel="0" collapsed="false">
      <c r="A104" s="30"/>
      <c r="B104" s="21"/>
      <c r="C104" s="21" t="str">
        <f aca="false">IF(B104="","",IFERROR(INDEX(代理店一覧!$B$5:$B$204,MATCH(B104,代理店一覧!$A$5:$A$204,0)),"※未登録のID"))</f>
        <v/>
      </c>
      <c r="D104" s="20"/>
      <c r="E104" s="20"/>
      <c r="F104" s="20"/>
      <c r="G104" s="20"/>
      <c r="H104" s="20"/>
      <c r="I104" s="21"/>
    </row>
    <row r="105" customFormat="false" ht="15" hidden="false" customHeight="false" outlineLevel="0" collapsed="false">
      <c r="A105" s="30"/>
      <c r="B105" s="21"/>
      <c r="C105" s="21" t="str">
        <f aca="false">IF(B105="","",IFERROR(INDEX(代理店一覧!$B$5:$B$204,MATCH(B105,代理店一覧!$A$5:$A$204,0)),"※未登録のID"))</f>
        <v/>
      </c>
      <c r="D105" s="20"/>
      <c r="E105" s="20"/>
      <c r="F105" s="20"/>
      <c r="G105" s="20"/>
      <c r="H105" s="20"/>
      <c r="I105" s="21"/>
    </row>
    <row r="106" customFormat="false" ht="15" hidden="false" customHeight="false" outlineLevel="0" collapsed="false">
      <c r="A106" s="30"/>
      <c r="B106" s="21"/>
      <c r="C106" s="21" t="str">
        <f aca="false">IF(B106="","",IFERROR(INDEX(代理店一覧!$B$5:$B$204,MATCH(B106,代理店一覧!$A$5:$A$204,0)),"※未登録のID"))</f>
        <v/>
      </c>
      <c r="D106" s="20"/>
      <c r="E106" s="20"/>
      <c r="F106" s="20"/>
      <c r="G106" s="20"/>
      <c r="H106" s="20"/>
      <c r="I106" s="21"/>
    </row>
    <row r="107" customFormat="false" ht="15" hidden="false" customHeight="false" outlineLevel="0" collapsed="false">
      <c r="A107" s="30"/>
      <c r="B107" s="21"/>
      <c r="C107" s="21" t="str">
        <f aca="false">IF(B107="","",IFERROR(INDEX(代理店一覧!$B$5:$B$204,MATCH(B107,代理店一覧!$A$5:$A$204,0)),"※未登録のID"))</f>
        <v/>
      </c>
      <c r="D107" s="20"/>
      <c r="E107" s="20"/>
      <c r="F107" s="20"/>
      <c r="G107" s="20"/>
      <c r="H107" s="20"/>
      <c r="I107" s="21"/>
    </row>
    <row r="108" customFormat="false" ht="15" hidden="false" customHeight="false" outlineLevel="0" collapsed="false">
      <c r="A108" s="30"/>
      <c r="B108" s="21"/>
      <c r="C108" s="21" t="str">
        <f aca="false">IF(B108="","",IFERROR(INDEX(代理店一覧!$B$5:$B$204,MATCH(B108,代理店一覧!$A$5:$A$204,0)),"※未登録のID"))</f>
        <v/>
      </c>
      <c r="D108" s="20"/>
      <c r="E108" s="20"/>
      <c r="F108" s="20"/>
      <c r="G108" s="20"/>
      <c r="H108" s="20"/>
      <c r="I108" s="21"/>
    </row>
    <row r="109" customFormat="false" ht="15" hidden="false" customHeight="false" outlineLevel="0" collapsed="false">
      <c r="A109" s="30"/>
      <c r="B109" s="21"/>
      <c r="C109" s="21" t="str">
        <f aca="false">IF(B109="","",IFERROR(INDEX(代理店一覧!$B$5:$B$204,MATCH(B109,代理店一覧!$A$5:$A$204,0)),"※未登録のID"))</f>
        <v/>
      </c>
      <c r="D109" s="20"/>
      <c r="E109" s="20"/>
      <c r="F109" s="20"/>
      <c r="G109" s="20"/>
      <c r="H109" s="20"/>
      <c r="I109" s="21"/>
    </row>
    <row r="110" customFormat="false" ht="15" hidden="false" customHeight="false" outlineLevel="0" collapsed="false">
      <c r="A110" s="30"/>
      <c r="B110" s="21"/>
      <c r="C110" s="21" t="str">
        <f aca="false">IF(B110="","",IFERROR(INDEX(代理店一覧!$B$5:$B$204,MATCH(B110,代理店一覧!$A$5:$A$204,0)),"※未登録のID"))</f>
        <v/>
      </c>
      <c r="D110" s="20"/>
      <c r="E110" s="20"/>
      <c r="F110" s="20"/>
      <c r="G110" s="20"/>
      <c r="H110" s="20"/>
      <c r="I110" s="21"/>
    </row>
    <row r="111" customFormat="false" ht="15" hidden="false" customHeight="false" outlineLevel="0" collapsed="false">
      <c r="A111" s="30"/>
      <c r="B111" s="21"/>
      <c r="C111" s="21" t="str">
        <f aca="false">IF(B111="","",IFERROR(INDEX(代理店一覧!$B$5:$B$204,MATCH(B111,代理店一覧!$A$5:$A$204,0)),"※未登録のID"))</f>
        <v/>
      </c>
      <c r="D111" s="20"/>
      <c r="E111" s="20"/>
      <c r="F111" s="20"/>
      <c r="G111" s="20"/>
      <c r="H111" s="20"/>
      <c r="I111" s="21"/>
    </row>
    <row r="112" customFormat="false" ht="15" hidden="false" customHeight="false" outlineLevel="0" collapsed="false">
      <c r="A112" s="30"/>
      <c r="B112" s="21"/>
      <c r="C112" s="21" t="str">
        <f aca="false">IF(B112="","",IFERROR(INDEX(代理店一覧!$B$5:$B$204,MATCH(B112,代理店一覧!$A$5:$A$204,0)),"※未登録のID"))</f>
        <v/>
      </c>
      <c r="D112" s="20"/>
      <c r="E112" s="20"/>
      <c r="F112" s="20"/>
      <c r="G112" s="20"/>
      <c r="H112" s="20"/>
      <c r="I112" s="21"/>
    </row>
    <row r="113" customFormat="false" ht="15" hidden="false" customHeight="false" outlineLevel="0" collapsed="false">
      <c r="A113" s="30"/>
      <c r="B113" s="21"/>
      <c r="C113" s="21" t="str">
        <f aca="false">IF(B113="","",IFERROR(INDEX(代理店一覧!$B$5:$B$204,MATCH(B113,代理店一覧!$A$5:$A$204,0)),"※未登録のID"))</f>
        <v/>
      </c>
      <c r="D113" s="20"/>
      <c r="E113" s="20"/>
      <c r="F113" s="20"/>
      <c r="G113" s="20"/>
      <c r="H113" s="20"/>
      <c r="I113" s="21"/>
    </row>
    <row r="114" customFormat="false" ht="15" hidden="false" customHeight="false" outlineLevel="0" collapsed="false">
      <c r="A114" s="30"/>
      <c r="B114" s="21"/>
      <c r="C114" s="21" t="str">
        <f aca="false">IF(B114="","",IFERROR(INDEX(代理店一覧!$B$5:$B$204,MATCH(B114,代理店一覧!$A$5:$A$204,0)),"※未登録のID"))</f>
        <v/>
      </c>
      <c r="D114" s="20"/>
      <c r="E114" s="20"/>
      <c r="F114" s="20"/>
      <c r="G114" s="20"/>
      <c r="H114" s="20"/>
      <c r="I114" s="21"/>
    </row>
    <row r="115" customFormat="false" ht="15" hidden="false" customHeight="false" outlineLevel="0" collapsed="false">
      <c r="A115" s="30"/>
      <c r="B115" s="21"/>
      <c r="C115" s="21" t="str">
        <f aca="false">IF(B115="","",IFERROR(INDEX(代理店一覧!$B$5:$B$204,MATCH(B115,代理店一覧!$A$5:$A$204,0)),"※未登録のID"))</f>
        <v/>
      </c>
      <c r="D115" s="20"/>
      <c r="E115" s="20"/>
      <c r="F115" s="20"/>
      <c r="G115" s="20"/>
      <c r="H115" s="20"/>
      <c r="I115" s="21"/>
    </row>
    <row r="116" customFormat="false" ht="15" hidden="false" customHeight="false" outlineLevel="0" collapsed="false">
      <c r="A116" s="30"/>
      <c r="B116" s="21"/>
      <c r="C116" s="21" t="str">
        <f aca="false">IF(B116="","",IFERROR(INDEX(代理店一覧!$B$5:$B$204,MATCH(B116,代理店一覧!$A$5:$A$204,0)),"※未登録のID"))</f>
        <v/>
      </c>
      <c r="D116" s="20"/>
      <c r="E116" s="20"/>
      <c r="F116" s="20"/>
      <c r="G116" s="20"/>
      <c r="H116" s="20"/>
      <c r="I116" s="21"/>
    </row>
    <row r="117" customFormat="false" ht="15" hidden="false" customHeight="false" outlineLevel="0" collapsed="false">
      <c r="A117" s="30"/>
      <c r="B117" s="21"/>
      <c r="C117" s="21" t="str">
        <f aca="false">IF(B117="","",IFERROR(INDEX(代理店一覧!$B$5:$B$204,MATCH(B117,代理店一覧!$A$5:$A$204,0)),"※未登録のID"))</f>
        <v/>
      </c>
      <c r="D117" s="20"/>
      <c r="E117" s="20"/>
      <c r="F117" s="20"/>
      <c r="G117" s="20"/>
      <c r="H117" s="20"/>
      <c r="I117" s="21"/>
    </row>
    <row r="118" customFormat="false" ht="15" hidden="false" customHeight="false" outlineLevel="0" collapsed="false">
      <c r="A118" s="30"/>
      <c r="B118" s="21"/>
      <c r="C118" s="21" t="str">
        <f aca="false">IF(B118="","",IFERROR(INDEX(代理店一覧!$B$5:$B$204,MATCH(B118,代理店一覧!$A$5:$A$204,0)),"※未登録のID"))</f>
        <v/>
      </c>
      <c r="D118" s="20"/>
      <c r="E118" s="20"/>
      <c r="F118" s="20"/>
      <c r="G118" s="20"/>
      <c r="H118" s="20"/>
      <c r="I118" s="21"/>
    </row>
    <row r="119" customFormat="false" ht="15" hidden="false" customHeight="false" outlineLevel="0" collapsed="false">
      <c r="A119" s="30"/>
      <c r="B119" s="21"/>
      <c r="C119" s="21" t="str">
        <f aca="false">IF(B119="","",IFERROR(INDEX(代理店一覧!$B$5:$B$204,MATCH(B119,代理店一覧!$A$5:$A$204,0)),"※未登録のID"))</f>
        <v/>
      </c>
      <c r="D119" s="20"/>
      <c r="E119" s="20"/>
      <c r="F119" s="20"/>
      <c r="G119" s="20"/>
      <c r="H119" s="20"/>
      <c r="I119" s="21"/>
    </row>
    <row r="120" customFormat="false" ht="15" hidden="false" customHeight="false" outlineLevel="0" collapsed="false">
      <c r="A120" s="30"/>
      <c r="B120" s="21"/>
      <c r="C120" s="21" t="str">
        <f aca="false">IF(B120="","",IFERROR(INDEX(代理店一覧!$B$5:$B$204,MATCH(B120,代理店一覧!$A$5:$A$204,0)),"※未登録のID"))</f>
        <v/>
      </c>
      <c r="D120" s="20"/>
      <c r="E120" s="20"/>
      <c r="F120" s="20"/>
      <c r="G120" s="20"/>
      <c r="H120" s="20"/>
      <c r="I120" s="21"/>
    </row>
    <row r="121" customFormat="false" ht="15" hidden="false" customHeight="false" outlineLevel="0" collapsed="false">
      <c r="A121" s="30"/>
      <c r="B121" s="21"/>
      <c r="C121" s="21" t="str">
        <f aca="false">IF(B121="","",IFERROR(INDEX(代理店一覧!$B$5:$B$204,MATCH(B121,代理店一覧!$A$5:$A$204,0)),"※未登録のID"))</f>
        <v/>
      </c>
      <c r="D121" s="20"/>
      <c r="E121" s="20"/>
      <c r="F121" s="20"/>
      <c r="G121" s="20"/>
      <c r="H121" s="20"/>
      <c r="I121" s="21"/>
    </row>
    <row r="122" customFormat="false" ht="15" hidden="false" customHeight="false" outlineLevel="0" collapsed="false">
      <c r="A122" s="30"/>
      <c r="B122" s="21"/>
      <c r="C122" s="21" t="str">
        <f aca="false">IF(B122="","",IFERROR(INDEX(代理店一覧!$B$5:$B$204,MATCH(B122,代理店一覧!$A$5:$A$204,0)),"※未登録のID"))</f>
        <v/>
      </c>
      <c r="D122" s="20"/>
      <c r="E122" s="20"/>
      <c r="F122" s="20"/>
      <c r="G122" s="20"/>
      <c r="H122" s="20"/>
      <c r="I122" s="21"/>
    </row>
    <row r="123" customFormat="false" ht="15" hidden="false" customHeight="false" outlineLevel="0" collapsed="false">
      <c r="A123" s="30"/>
      <c r="B123" s="21"/>
      <c r="C123" s="21" t="str">
        <f aca="false">IF(B123="","",IFERROR(INDEX(代理店一覧!$B$5:$B$204,MATCH(B123,代理店一覧!$A$5:$A$204,0)),"※未登録のID"))</f>
        <v/>
      </c>
      <c r="D123" s="20"/>
      <c r="E123" s="20"/>
      <c r="F123" s="20"/>
      <c r="G123" s="20"/>
      <c r="H123" s="20"/>
      <c r="I123" s="21"/>
    </row>
    <row r="124" customFormat="false" ht="15" hidden="false" customHeight="false" outlineLevel="0" collapsed="false">
      <c r="A124" s="30"/>
      <c r="B124" s="21"/>
      <c r="C124" s="21" t="str">
        <f aca="false">IF(B124="","",IFERROR(INDEX(代理店一覧!$B$5:$B$204,MATCH(B124,代理店一覧!$A$5:$A$204,0)),"※未登録のID"))</f>
        <v/>
      </c>
      <c r="D124" s="20"/>
      <c r="E124" s="20"/>
      <c r="F124" s="20"/>
      <c r="G124" s="20"/>
      <c r="H124" s="20"/>
      <c r="I124" s="21"/>
    </row>
    <row r="125" customFormat="false" ht="15" hidden="false" customHeight="false" outlineLevel="0" collapsed="false">
      <c r="A125" s="30"/>
      <c r="B125" s="21"/>
      <c r="C125" s="21" t="str">
        <f aca="false">IF(B125="","",IFERROR(INDEX(代理店一覧!$B$5:$B$204,MATCH(B125,代理店一覧!$A$5:$A$204,0)),"※未登録のID"))</f>
        <v/>
      </c>
      <c r="D125" s="20"/>
      <c r="E125" s="20"/>
      <c r="F125" s="20"/>
      <c r="G125" s="20"/>
      <c r="H125" s="20"/>
      <c r="I125" s="21"/>
    </row>
    <row r="126" customFormat="false" ht="15" hidden="false" customHeight="false" outlineLevel="0" collapsed="false">
      <c r="A126" s="30"/>
      <c r="B126" s="21"/>
      <c r="C126" s="21" t="str">
        <f aca="false">IF(B126="","",IFERROR(INDEX(代理店一覧!$B$5:$B$204,MATCH(B126,代理店一覧!$A$5:$A$204,0)),"※未登録のID"))</f>
        <v/>
      </c>
      <c r="D126" s="20"/>
      <c r="E126" s="20"/>
      <c r="F126" s="20"/>
      <c r="G126" s="20"/>
      <c r="H126" s="20"/>
      <c r="I126" s="21"/>
    </row>
    <row r="127" customFormat="false" ht="15" hidden="false" customHeight="false" outlineLevel="0" collapsed="false">
      <c r="A127" s="30"/>
      <c r="B127" s="21"/>
      <c r="C127" s="21" t="str">
        <f aca="false">IF(B127="","",IFERROR(INDEX(代理店一覧!$B$5:$B$204,MATCH(B127,代理店一覧!$A$5:$A$204,0)),"※未登録のID"))</f>
        <v/>
      </c>
      <c r="D127" s="20"/>
      <c r="E127" s="20"/>
      <c r="F127" s="20"/>
      <c r="G127" s="20"/>
      <c r="H127" s="20"/>
      <c r="I127" s="21"/>
    </row>
    <row r="128" customFormat="false" ht="15" hidden="false" customHeight="false" outlineLevel="0" collapsed="false">
      <c r="A128" s="30"/>
      <c r="B128" s="21"/>
      <c r="C128" s="21" t="str">
        <f aca="false">IF(B128="","",IFERROR(INDEX(代理店一覧!$B$5:$B$204,MATCH(B128,代理店一覧!$A$5:$A$204,0)),"※未登録のID"))</f>
        <v/>
      </c>
      <c r="D128" s="20"/>
      <c r="E128" s="20"/>
      <c r="F128" s="20"/>
      <c r="G128" s="20"/>
      <c r="H128" s="20"/>
      <c r="I128" s="21"/>
    </row>
    <row r="129" customFormat="false" ht="15" hidden="false" customHeight="false" outlineLevel="0" collapsed="false">
      <c r="A129" s="30"/>
      <c r="B129" s="21"/>
      <c r="C129" s="21" t="str">
        <f aca="false">IF(B129="","",IFERROR(INDEX(代理店一覧!$B$5:$B$204,MATCH(B129,代理店一覧!$A$5:$A$204,0)),"※未登録のID"))</f>
        <v/>
      </c>
      <c r="D129" s="20"/>
      <c r="E129" s="20"/>
      <c r="F129" s="20"/>
      <c r="G129" s="20"/>
      <c r="H129" s="20"/>
      <c r="I129" s="21"/>
    </row>
    <row r="130" customFormat="false" ht="15" hidden="false" customHeight="false" outlineLevel="0" collapsed="false">
      <c r="A130" s="30"/>
      <c r="B130" s="21"/>
      <c r="C130" s="21" t="str">
        <f aca="false">IF(B130="","",IFERROR(INDEX(代理店一覧!$B$5:$B$204,MATCH(B130,代理店一覧!$A$5:$A$204,0)),"※未登録のID"))</f>
        <v/>
      </c>
      <c r="D130" s="20"/>
      <c r="E130" s="20"/>
      <c r="F130" s="20"/>
      <c r="G130" s="20"/>
      <c r="H130" s="20"/>
      <c r="I130" s="21"/>
    </row>
    <row r="131" customFormat="false" ht="15" hidden="false" customHeight="false" outlineLevel="0" collapsed="false">
      <c r="A131" s="30"/>
      <c r="B131" s="21"/>
      <c r="C131" s="21" t="str">
        <f aca="false">IF(B131="","",IFERROR(INDEX(代理店一覧!$B$5:$B$204,MATCH(B131,代理店一覧!$A$5:$A$204,0)),"※未登録のID"))</f>
        <v/>
      </c>
      <c r="D131" s="20"/>
      <c r="E131" s="20"/>
      <c r="F131" s="20"/>
      <c r="G131" s="20"/>
      <c r="H131" s="20"/>
      <c r="I131" s="21"/>
    </row>
    <row r="132" customFormat="false" ht="15" hidden="false" customHeight="false" outlineLevel="0" collapsed="false">
      <c r="A132" s="30"/>
      <c r="B132" s="21"/>
      <c r="C132" s="21" t="str">
        <f aca="false">IF(B132="","",IFERROR(INDEX(代理店一覧!$B$5:$B$204,MATCH(B132,代理店一覧!$A$5:$A$204,0)),"※未登録のID"))</f>
        <v/>
      </c>
      <c r="D132" s="20"/>
      <c r="E132" s="20"/>
      <c r="F132" s="20"/>
      <c r="G132" s="20"/>
      <c r="H132" s="20"/>
      <c r="I132" s="21"/>
    </row>
    <row r="133" customFormat="false" ht="15" hidden="false" customHeight="false" outlineLevel="0" collapsed="false">
      <c r="A133" s="30"/>
      <c r="B133" s="21"/>
      <c r="C133" s="21" t="str">
        <f aca="false">IF(B133="","",IFERROR(INDEX(代理店一覧!$B$5:$B$204,MATCH(B133,代理店一覧!$A$5:$A$204,0)),"※未登録のID"))</f>
        <v/>
      </c>
      <c r="D133" s="20"/>
      <c r="E133" s="20"/>
      <c r="F133" s="20"/>
      <c r="G133" s="20"/>
      <c r="H133" s="20"/>
      <c r="I133" s="21"/>
    </row>
    <row r="134" customFormat="false" ht="15" hidden="false" customHeight="false" outlineLevel="0" collapsed="false">
      <c r="A134" s="30"/>
      <c r="B134" s="21"/>
      <c r="C134" s="21" t="str">
        <f aca="false">IF(B134="","",IFERROR(INDEX(代理店一覧!$B$5:$B$204,MATCH(B134,代理店一覧!$A$5:$A$204,0)),"※未登録のID"))</f>
        <v/>
      </c>
      <c r="D134" s="20"/>
      <c r="E134" s="20"/>
      <c r="F134" s="20"/>
      <c r="G134" s="20"/>
      <c r="H134" s="20"/>
      <c r="I134" s="21"/>
    </row>
    <row r="135" customFormat="false" ht="15" hidden="false" customHeight="false" outlineLevel="0" collapsed="false">
      <c r="A135" s="30"/>
      <c r="B135" s="21"/>
      <c r="C135" s="21" t="str">
        <f aca="false">IF(B135="","",IFERROR(INDEX(代理店一覧!$B$5:$B$204,MATCH(B135,代理店一覧!$A$5:$A$204,0)),"※未登録のID"))</f>
        <v/>
      </c>
      <c r="D135" s="20"/>
      <c r="E135" s="20"/>
      <c r="F135" s="20"/>
      <c r="G135" s="20"/>
      <c r="H135" s="20"/>
      <c r="I135" s="21"/>
    </row>
    <row r="136" customFormat="false" ht="15" hidden="false" customHeight="false" outlineLevel="0" collapsed="false">
      <c r="A136" s="30"/>
      <c r="B136" s="21"/>
      <c r="C136" s="21" t="str">
        <f aca="false">IF(B136="","",IFERROR(INDEX(代理店一覧!$B$5:$B$204,MATCH(B136,代理店一覧!$A$5:$A$204,0)),"※未登録のID"))</f>
        <v/>
      </c>
      <c r="D136" s="20"/>
      <c r="E136" s="20"/>
      <c r="F136" s="20"/>
      <c r="G136" s="20"/>
      <c r="H136" s="20"/>
      <c r="I136" s="21"/>
    </row>
    <row r="137" customFormat="false" ht="15" hidden="false" customHeight="false" outlineLevel="0" collapsed="false">
      <c r="A137" s="30"/>
      <c r="B137" s="21"/>
      <c r="C137" s="21" t="str">
        <f aca="false">IF(B137="","",IFERROR(INDEX(代理店一覧!$B$5:$B$204,MATCH(B137,代理店一覧!$A$5:$A$204,0)),"※未登録のID"))</f>
        <v/>
      </c>
      <c r="D137" s="20"/>
      <c r="E137" s="20"/>
      <c r="F137" s="20"/>
      <c r="G137" s="20"/>
      <c r="H137" s="20"/>
      <c r="I137" s="21"/>
    </row>
    <row r="138" customFormat="false" ht="15" hidden="false" customHeight="false" outlineLevel="0" collapsed="false">
      <c r="A138" s="30"/>
      <c r="B138" s="21"/>
      <c r="C138" s="21" t="str">
        <f aca="false">IF(B138="","",IFERROR(INDEX(代理店一覧!$B$5:$B$204,MATCH(B138,代理店一覧!$A$5:$A$204,0)),"※未登録のID"))</f>
        <v/>
      </c>
      <c r="D138" s="20"/>
      <c r="E138" s="20"/>
      <c r="F138" s="20"/>
      <c r="G138" s="20"/>
      <c r="H138" s="20"/>
      <c r="I138" s="21"/>
    </row>
    <row r="139" customFormat="false" ht="15" hidden="false" customHeight="false" outlineLevel="0" collapsed="false">
      <c r="A139" s="30"/>
      <c r="B139" s="21"/>
      <c r="C139" s="21" t="str">
        <f aca="false">IF(B139="","",IFERROR(INDEX(代理店一覧!$B$5:$B$204,MATCH(B139,代理店一覧!$A$5:$A$204,0)),"※未登録のID"))</f>
        <v/>
      </c>
      <c r="D139" s="20"/>
      <c r="E139" s="20"/>
      <c r="F139" s="20"/>
      <c r="G139" s="20"/>
      <c r="H139" s="20"/>
      <c r="I139" s="21"/>
    </row>
    <row r="140" customFormat="false" ht="15" hidden="false" customHeight="false" outlineLevel="0" collapsed="false">
      <c r="A140" s="30"/>
      <c r="B140" s="21"/>
      <c r="C140" s="21" t="str">
        <f aca="false">IF(B140="","",IFERROR(INDEX(代理店一覧!$B$5:$B$204,MATCH(B140,代理店一覧!$A$5:$A$204,0)),"※未登録のID"))</f>
        <v/>
      </c>
      <c r="D140" s="20"/>
      <c r="E140" s="20"/>
      <c r="F140" s="20"/>
      <c r="G140" s="20"/>
      <c r="H140" s="20"/>
      <c r="I140" s="21"/>
    </row>
    <row r="141" customFormat="false" ht="15" hidden="false" customHeight="false" outlineLevel="0" collapsed="false">
      <c r="A141" s="30"/>
      <c r="B141" s="21"/>
      <c r="C141" s="21" t="str">
        <f aca="false">IF(B141="","",IFERROR(INDEX(代理店一覧!$B$5:$B$204,MATCH(B141,代理店一覧!$A$5:$A$204,0)),"※未登録のID"))</f>
        <v/>
      </c>
      <c r="D141" s="20"/>
      <c r="E141" s="20"/>
      <c r="F141" s="20"/>
      <c r="G141" s="20"/>
      <c r="H141" s="20"/>
      <c r="I141" s="21"/>
    </row>
    <row r="142" customFormat="false" ht="15" hidden="false" customHeight="false" outlineLevel="0" collapsed="false">
      <c r="A142" s="30"/>
      <c r="B142" s="21"/>
      <c r="C142" s="21" t="str">
        <f aca="false">IF(B142="","",IFERROR(INDEX(代理店一覧!$B$5:$B$204,MATCH(B142,代理店一覧!$A$5:$A$204,0)),"※未登録のID"))</f>
        <v/>
      </c>
      <c r="D142" s="20"/>
      <c r="E142" s="20"/>
      <c r="F142" s="20"/>
      <c r="G142" s="20"/>
      <c r="H142" s="20"/>
      <c r="I142" s="21"/>
    </row>
    <row r="143" customFormat="false" ht="15" hidden="false" customHeight="false" outlineLevel="0" collapsed="false">
      <c r="A143" s="30"/>
      <c r="B143" s="21"/>
      <c r="C143" s="21" t="str">
        <f aca="false">IF(B143="","",IFERROR(INDEX(代理店一覧!$B$5:$B$204,MATCH(B143,代理店一覧!$A$5:$A$204,0)),"※未登録のID"))</f>
        <v/>
      </c>
      <c r="D143" s="20"/>
      <c r="E143" s="20"/>
      <c r="F143" s="20"/>
      <c r="G143" s="20"/>
      <c r="H143" s="20"/>
      <c r="I143" s="21"/>
    </row>
    <row r="144" customFormat="false" ht="15" hidden="false" customHeight="false" outlineLevel="0" collapsed="false">
      <c r="A144" s="30"/>
      <c r="B144" s="21"/>
      <c r="C144" s="21" t="str">
        <f aca="false">IF(B144="","",IFERROR(INDEX(代理店一覧!$B$5:$B$204,MATCH(B144,代理店一覧!$A$5:$A$204,0)),"※未登録のID"))</f>
        <v/>
      </c>
      <c r="D144" s="20"/>
      <c r="E144" s="20"/>
      <c r="F144" s="20"/>
      <c r="G144" s="20"/>
      <c r="H144" s="20"/>
      <c r="I144" s="21"/>
    </row>
    <row r="145" customFormat="false" ht="15" hidden="false" customHeight="false" outlineLevel="0" collapsed="false">
      <c r="A145" s="30"/>
      <c r="B145" s="21"/>
      <c r="C145" s="21" t="str">
        <f aca="false">IF(B145="","",IFERROR(INDEX(代理店一覧!$B$5:$B$204,MATCH(B145,代理店一覧!$A$5:$A$204,0)),"※未登録のID"))</f>
        <v/>
      </c>
      <c r="D145" s="20"/>
      <c r="E145" s="20"/>
      <c r="F145" s="20"/>
      <c r="G145" s="20"/>
      <c r="H145" s="20"/>
      <c r="I145" s="21"/>
    </row>
    <row r="146" customFormat="false" ht="15" hidden="false" customHeight="false" outlineLevel="0" collapsed="false">
      <c r="A146" s="30"/>
      <c r="B146" s="21"/>
      <c r="C146" s="21" t="str">
        <f aca="false">IF(B146="","",IFERROR(INDEX(代理店一覧!$B$5:$B$204,MATCH(B146,代理店一覧!$A$5:$A$204,0)),"※未登録のID"))</f>
        <v/>
      </c>
      <c r="D146" s="20"/>
      <c r="E146" s="20"/>
      <c r="F146" s="20"/>
      <c r="G146" s="20"/>
      <c r="H146" s="20"/>
      <c r="I146" s="21"/>
    </row>
    <row r="147" customFormat="false" ht="15" hidden="false" customHeight="false" outlineLevel="0" collapsed="false">
      <c r="A147" s="30"/>
      <c r="B147" s="21"/>
      <c r="C147" s="21" t="str">
        <f aca="false">IF(B147="","",IFERROR(INDEX(代理店一覧!$B$5:$B$204,MATCH(B147,代理店一覧!$A$5:$A$204,0)),"※未登録のID"))</f>
        <v/>
      </c>
      <c r="D147" s="20"/>
      <c r="E147" s="20"/>
      <c r="F147" s="20"/>
      <c r="G147" s="20"/>
      <c r="H147" s="20"/>
      <c r="I147" s="21"/>
    </row>
    <row r="148" customFormat="false" ht="15" hidden="false" customHeight="false" outlineLevel="0" collapsed="false">
      <c r="A148" s="30"/>
      <c r="B148" s="21"/>
      <c r="C148" s="21" t="str">
        <f aca="false">IF(B148="","",IFERROR(INDEX(代理店一覧!$B$5:$B$204,MATCH(B148,代理店一覧!$A$5:$A$204,0)),"※未登録のID"))</f>
        <v/>
      </c>
      <c r="D148" s="20"/>
      <c r="E148" s="20"/>
      <c r="F148" s="20"/>
      <c r="G148" s="20"/>
      <c r="H148" s="20"/>
      <c r="I148" s="21"/>
    </row>
    <row r="149" customFormat="false" ht="15" hidden="false" customHeight="false" outlineLevel="0" collapsed="false">
      <c r="A149" s="30"/>
      <c r="B149" s="21"/>
      <c r="C149" s="21" t="str">
        <f aca="false">IF(B149="","",IFERROR(INDEX(代理店一覧!$B$5:$B$204,MATCH(B149,代理店一覧!$A$5:$A$204,0)),"※未登録のID"))</f>
        <v/>
      </c>
      <c r="D149" s="20"/>
      <c r="E149" s="20"/>
      <c r="F149" s="20"/>
      <c r="G149" s="20"/>
      <c r="H149" s="20"/>
      <c r="I149" s="21"/>
    </row>
    <row r="150" customFormat="false" ht="15" hidden="false" customHeight="false" outlineLevel="0" collapsed="false">
      <c r="A150" s="30"/>
      <c r="B150" s="21"/>
      <c r="C150" s="21" t="str">
        <f aca="false">IF(B150="","",IFERROR(INDEX(代理店一覧!$B$5:$B$204,MATCH(B150,代理店一覧!$A$5:$A$204,0)),"※未登録のID"))</f>
        <v/>
      </c>
      <c r="D150" s="20"/>
      <c r="E150" s="20"/>
      <c r="F150" s="20"/>
      <c r="G150" s="20"/>
      <c r="H150" s="20"/>
      <c r="I150" s="21"/>
    </row>
    <row r="151" customFormat="false" ht="15" hidden="false" customHeight="false" outlineLevel="0" collapsed="false">
      <c r="A151" s="30"/>
      <c r="B151" s="21"/>
      <c r="C151" s="21" t="str">
        <f aca="false">IF(B151="","",IFERROR(INDEX(代理店一覧!$B$5:$B$204,MATCH(B151,代理店一覧!$A$5:$A$204,0)),"※未登録のID"))</f>
        <v/>
      </c>
      <c r="D151" s="20"/>
      <c r="E151" s="20"/>
      <c r="F151" s="20"/>
      <c r="G151" s="20"/>
      <c r="H151" s="20"/>
      <c r="I151" s="21"/>
    </row>
    <row r="152" customFormat="false" ht="15" hidden="false" customHeight="false" outlineLevel="0" collapsed="false">
      <c r="A152" s="30"/>
      <c r="B152" s="21"/>
      <c r="C152" s="21" t="str">
        <f aca="false">IF(B152="","",IFERROR(INDEX(代理店一覧!$B$5:$B$204,MATCH(B152,代理店一覧!$A$5:$A$204,0)),"※未登録のID"))</f>
        <v/>
      </c>
      <c r="D152" s="20"/>
      <c r="E152" s="20"/>
      <c r="F152" s="20"/>
      <c r="G152" s="20"/>
      <c r="H152" s="20"/>
      <c r="I152" s="21"/>
    </row>
    <row r="153" customFormat="false" ht="15" hidden="false" customHeight="false" outlineLevel="0" collapsed="false">
      <c r="A153" s="30"/>
      <c r="B153" s="21"/>
      <c r="C153" s="21" t="str">
        <f aca="false">IF(B153="","",IFERROR(INDEX(代理店一覧!$B$5:$B$204,MATCH(B153,代理店一覧!$A$5:$A$204,0)),"※未登録のID"))</f>
        <v/>
      </c>
      <c r="D153" s="20"/>
      <c r="E153" s="20"/>
      <c r="F153" s="20"/>
      <c r="G153" s="20"/>
      <c r="H153" s="20"/>
      <c r="I153" s="21"/>
    </row>
    <row r="154" customFormat="false" ht="15" hidden="false" customHeight="false" outlineLevel="0" collapsed="false">
      <c r="A154" s="30"/>
      <c r="B154" s="21"/>
      <c r="C154" s="21" t="str">
        <f aca="false">IF(B154="","",IFERROR(INDEX(代理店一覧!$B$5:$B$204,MATCH(B154,代理店一覧!$A$5:$A$204,0)),"※未登録のID"))</f>
        <v/>
      </c>
      <c r="D154" s="20"/>
      <c r="E154" s="20"/>
      <c r="F154" s="20"/>
      <c r="G154" s="20"/>
      <c r="H154" s="20"/>
      <c r="I154" s="21"/>
    </row>
    <row r="155" customFormat="false" ht="15" hidden="false" customHeight="false" outlineLevel="0" collapsed="false">
      <c r="A155" s="30"/>
      <c r="B155" s="21"/>
      <c r="C155" s="21" t="str">
        <f aca="false">IF(B155="","",IFERROR(INDEX(代理店一覧!$B$5:$B$204,MATCH(B155,代理店一覧!$A$5:$A$204,0)),"※未登録のID"))</f>
        <v/>
      </c>
      <c r="D155" s="20"/>
      <c r="E155" s="20"/>
      <c r="F155" s="20"/>
      <c r="G155" s="20"/>
      <c r="H155" s="20"/>
      <c r="I155" s="21"/>
    </row>
    <row r="156" customFormat="false" ht="15" hidden="false" customHeight="false" outlineLevel="0" collapsed="false">
      <c r="A156" s="30"/>
      <c r="B156" s="21"/>
      <c r="C156" s="21" t="str">
        <f aca="false">IF(B156="","",IFERROR(INDEX(代理店一覧!$B$5:$B$204,MATCH(B156,代理店一覧!$A$5:$A$204,0)),"※未登録のID"))</f>
        <v/>
      </c>
      <c r="D156" s="20"/>
      <c r="E156" s="20"/>
      <c r="F156" s="20"/>
      <c r="G156" s="20"/>
      <c r="H156" s="20"/>
      <c r="I156" s="21"/>
    </row>
    <row r="157" customFormat="false" ht="15" hidden="false" customHeight="false" outlineLevel="0" collapsed="false">
      <c r="A157" s="30"/>
      <c r="B157" s="21"/>
      <c r="C157" s="21" t="str">
        <f aca="false">IF(B157="","",IFERROR(INDEX(代理店一覧!$B$5:$B$204,MATCH(B157,代理店一覧!$A$5:$A$204,0)),"※未登録のID"))</f>
        <v/>
      </c>
      <c r="D157" s="20"/>
      <c r="E157" s="20"/>
      <c r="F157" s="20"/>
      <c r="G157" s="20"/>
      <c r="H157" s="20"/>
      <c r="I157" s="21"/>
    </row>
    <row r="158" customFormat="false" ht="15" hidden="false" customHeight="false" outlineLevel="0" collapsed="false">
      <c r="A158" s="30"/>
      <c r="B158" s="21"/>
      <c r="C158" s="21" t="str">
        <f aca="false">IF(B158="","",IFERROR(INDEX(代理店一覧!$B$5:$B$204,MATCH(B158,代理店一覧!$A$5:$A$204,0)),"※未登録のID"))</f>
        <v/>
      </c>
      <c r="D158" s="20"/>
      <c r="E158" s="20"/>
      <c r="F158" s="20"/>
      <c r="G158" s="20"/>
      <c r="H158" s="20"/>
      <c r="I158" s="21"/>
    </row>
    <row r="159" customFormat="false" ht="15" hidden="false" customHeight="false" outlineLevel="0" collapsed="false">
      <c r="A159" s="30"/>
      <c r="B159" s="21"/>
      <c r="C159" s="21" t="str">
        <f aca="false">IF(B159="","",IFERROR(INDEX(代理店一覧!$B$5:$B$204,MATCH(B159,代理店一覧!$A$5:$A$204,0)),"※未登録のID"))</f>
        <v/>
      </c>
      <c r="D159" s="20"/>
      <c r="E159" s="20"/>
      <c r="F159" s="20"/>
      <c r="G159" s="20"/>
      <c r="H159" s="20"/>
      <c r="I159" s="21"/>
    </row>
    <row r="160" customFormat="false" ht="15" hidden="false" customHeight="false" outlineLevel="0" collapsed="false">
      <c r="A160" s="30"/>
      <c r="B160" s="21"/>
      <c r="C160" s="21" t="str">
        <f aca="false">IF(B160="","",IFERROR(INDEX(代理店一覧!$B$5:$B$204,MATCH(B160,代理店一覧!$A$5:$A$204,0)),"※未登録のID"))</f>
        <v/>
      </c>
      <c r="D160" s="20"/>
      <c r="E160" s="20"/>
      <c r="F160" s="20"/>
      <c r="G160" s="20"/>
      <c r="H160" s="20"/>
      <c r="I160" s="21"/>
    </row>
    <row r="161" customFormat="false" ht="15" hidden="false" customHeight="false" outlineLevel="0" collapsed="false">
      <c r="A161" s="30"/>
      <c r="B161" s="21"/>
      <c r="C161" s="21" t="str">
        <f aca="false">IF(B161="","",IFERROR(INDEX(代理店一覧!$B$5:$B$204,MATCH(B161,代理店一覧!$A$5:$A$204,0)),"※未登録のID"))</f>
        <v/>
      </c>
      <c r="D161" s="20"/>
      <c r="E161" s="20"/>
      <c r="F161" s="20"/>
      <c r="G161" s="20"/>
      <c r="H161" s="20"/>
      <c r="I161" s="21"/>
    </row>
    <row r="162" customFormat="false" ht="15" hidden="false" customHeight="false" outlineLevel="0" collapsed="false">
      <c r="A162" s="30"/>
      <c r="B162" s="21"/>
      <c r="C162" s="21" t="str">
        <f aca="false">IF(B162="","",IFERROR(INDEX(代理店一覧!$B$5:$B$204,MATCH(B162,代理店一覧!$A$5:$A$204,0)),"※未登録のID"))</f>
        <v/>
      </c>
      <c r="D162" s="20"/>
      <c r="E162" s="20"/>
      <c r="F162" s="20"/>
      <c r="G162" s="20"/>
      <c r="H162" s="20"/>
      <c r="I162" s="21"/>
    </row>
    <row r="163" customFormat="false" ht="15" hidden="false" customHeight="false" outlineLevel="0" collapsed="false">
      <c r="A163" s="30"/>
      <c r="B163" s="21"/>
      <c r="C163" s="21" t="str">
        <f aca="false">IF(B163="","",IFERROR(INDEX(代理店一覧!$B$5:$B$204,MATCH(B163,代理店一覧!$A$5:$A$204,0)),"※未登録のID"))</f>
        <v/>
      </c>
      <c r="D163" s="20"/>
      <c r="E163" s="20"/>
      <c r="F163" s="20"/>
      <c r="G163" s="20"/>
      <c r="H163" s="20"/>
      <c r="I163" s="21"/>
    </row>
    <row r="164" customFormat="false" ht="15" hidden="false" customHeight="false" outlineLevel="0" collapsed="false">
      <c r="A164" s="30"/>
      <c r="B164" s="21"/>
      <c r="C164" s="21" t="str">
        <f aca="false">IF(B164="","",IFERROR(INDEX(代理店一覧!$B$5:$B$204,MATCH(B164,代理店一覧!$A$5:$A$204,0)),"※未登録のID"))</f>
        <v/>
      </c>
      <c r="D164" s="20"/>
      <c r="E164" s="20"/>
      <c r="F164" s="20"/>
      <c r="G164" s="20"/>
      <c r="H164" s="20"/>
      <c r="I164" s="21"/>
    </row>
    <row r="165" customFormat="false" ht="15" hidden="false" customHeight="false" outlineLevel="0" collapsed="false">
      <c r="A165" s="30"/>
      <c r="B165" s="21"/>
      <c r="C165" s="21" t="str">
        <f aca="false">IF(B165="","",IFERROR(INDEX(代理店一覧!$B$5:$B$204,MATCH(B165,代理店一覧!$A$5:$A$204,0)),"※未登録のID"))</f>
        <v/>
      </c>
      <c r="D165" s="20"/>
      <c r="E165" s="20"/>
      <c r="F165" s="20"/>
      <c r="G165" s="20"/>
      <c r="H165" s="20"/>
      <c r="I165" s="21"/>
    </row>
    <row r="166" customFormat="false" ht="15" hidden="false" customHeight="false" outlineLevel="0" collapsed="false">
      <c r="A166" s="30"/>
      <c r="B166" s="21"/>
      <c r="C166" s="21" t="str">
        <f aca="false">IF(B166="","",IFERROR(INDEX(代理店一覧!$B$5:$B$204,MATCH(B166,代理店一覧!$A$5:$A$204,0)),"※未登録のID"))</f>
        <v/>
      </c>
      <c r="D166" s="20"/>
      <c r="E166" s="20"/>
      <c r="F166" s="20"/>
      <c r="G166" s="20"/>
      <c r="H166" s="20"/>
      <c r="I166" s="21"/>
    </row>
    <row r="167" customFormat="false" ht="15" hidden="false" customHeight="false" outlineLevel="0" collapsed="false">
      <c r="A167" s="30"/>
      <c r="B167" s="21"/>
      <c r="C167" s="21" t="str">
        <f aca="false">IF(B167="","",IFERROR(INDEX(代理店一覧!$B$5:$B$204,MATCH(B167,代理店一覧!$A$5:$A$204,0)),"※未登録のID"))</f>
        <v/>
      </c>
      <c r="D167" s="20"/>
      <c r="E167" s="20"/>
      <c r="F167" s="20"/>
      <c r="G167" s="20"/>
      <c r="H167" s="20"/>
      <c r="I167" s="21"/>
    </row>
    <row r="168" customFormat="false" ht="15" hidden="false" customHeight="false" outlineLevel="0" collapsed="false">
      <c r="A168" s="30"/>
      <c r="B168" s="21"/>
      <c r="C168" s="21" t="str">
        <f aca="false">IF(B168="","",IFERROR(INDEX(代理店一覧!$B$5:$B$204,MATCH(B168,代理店一覧!$A$5:$A$204,0)),"※未登録のID"))</f>
        <v/>
      </c>
      <c r="D168" s="20"/>
      <c r="E168" s="20"/>
      <c r="F168" s="20"/>
      <c r="G168" s="20"/>
      <c r="H168" s="20"/>
      <c r="I168" s="21"/>
    </row>
    <row r="169" customFormat="false" ht="15" hidden="false" customHeight="false" outlineLevel="0" collapsed="false">
      <c r="A169" s="30"/>
      <c r="B169" s="21"/>
      <c r="C169" s="21" t="str">
        <f aca="false">IF(B169="","",IFERROR(INDEX(代理店一覧!$B$5:$B$204,MATCH(B169,代理店一覧!$A$5:$A$204,0)),"※未登録のID"))</f>
        <v/>
      </c>
      <c r="D169" s="20"/>
      <c r="E169" s="20"/>
      <c r="F169" s="20"/>
      <c r="G169" s="20"/>
      <c r="H169" s="20"/>
      <c r="I169" s="21"/>
    </row>
    <row r="170" customFormat="false" ht="15" hidden="false" customHeight="false" outlineLevel="0" collapsed="false">
      <c r="A170" s="30"/>
      <c r="B170" s="21"/>
      <c r="C170" s="21" t="str">
        <f aca="false">IF(B170="","",IFERROR(INDEX(代理店一覧!$B$5:$B$204,MATCH(B170,代理店一覧!$A$5:$A$204,0)),"※未登録のID"))</f>
        <v/>
      </c>
      <c r="D170" s="20"/>
      <c r="E170" s="20"/>
      <c r="F170" s="20"/>
      <c r="G170" s="20"/>
      <c r="H170" s="20"/>
      <c r="I170" s="21"/>
    </row>
    <row r="171" customFormat="false" ht="15" hidden="false" customHeight="false" outlineLevel="0" collapsed="false">
      <c r="A171" s="30"/>
      <c r="B171" s="21"/>
      <c r="C171" s="21" t="str">
        <f aca="false">IF(B171="","",IFERROR(INDEX(代理店一覧!$B$5:$B$204,MATCH(B171,代理店一覧!$A$5:$A$204,0)),"※未登録のID"))</f>
        <v/>
      </c>
      <c r="D171" s="20"/>
      <c r="E171" s="20"/>
      <c r="F171" s="20"/>
      <c r="G171" s="20"/>
      <c r="H171" s="20"/>
      <c r="I171" s="21"/>
    </row>
    <row r="172" customFormat="false" ht="15" hidden="false" customHeight="false" outlineLevel="0" collapsed="false">
      <c r="A172" s="30"/>
      <c r="B172" s="21"/>
      <c r="C172" s="21" t="str">
        <f aca="false">IF(B172="","",IFERROR(INDEX(代理店一覧!$B$5:$B$204,MATCH(B172,代理店一覧!$A$5:$A$204,0)),"※未登録のID"))</f>
        <v/>
      </c>
      <c r="D172" s="20"/>
      <c r="E172" s="20"/>
      <c r="F172" s="20"/>
      <c r="G172" s="20"/>
      <c r="H172" s="20"/>
      <c r="I172" s="21"/>
    </row>
    <row r="173" customFormat="false" ht="15" hidden="false" customHeight="false" outlineLevel="0" collapsed="false">
      <c r="A173" s="30"/>
      <c r="B173" s="21"/>
      <c r="C173" s="21" t="str">
        <f aca="false">IF(B173="","",IFERROR(INDEX(代理店一覧!$B$5:$B$204,MATCH(B173,代理店一覧!$A$5:$A$204,0)),"※未登録のID"))</f>
        <v/>
      </c>
      <c r="D173" s="20"/>
      <c r="E173" s="20"/>
      <c r="F173" s="20"/>
      <c r="G173" s="20"/>
      <c r="H173" s="20"/>
      <c r="I173" s="21"/>
    </row>
    <row r="174" customFormat="false" ht="15" hidden="false" customHeight="false" outlineLevel="0" collapsed="false">
      <c r="A174" s="30"/>
      <c r="B174" s="21"/>
      <c r="C174" s="21" t="str">
        <f aca="false">IF(B174="","",IFERROR(INDEX(代理店一覧!$B$5:$B$204,MATCH(B174,代理店一覧!$A$5:$A$204,0)),"※未登録のID"))</f>
        <v/>
      </c>
      <c r="D174" s="20"/>
      <c r="E174" s="20"/>
      <c r="F174" s="20"/>
      <c r="G174" s="20"/>
      <c r="H174" s="20"/>
      <c r="I174" s="21"/>
    </row>
    <row r="175" customFormat="false" ht="15" hidden="false" customHeight="false" outlineLevel="0" collapsed="false">
      <c r="A175" s="30"/>
      <c r="B175" s="21"/>
      <c r="C175" s="21" t="str">
        <f aca="false">IF(B175="","",IFERROR(INDEX(代理店一覧!$B$5:$B$204,MATCH(B175,代理店一覧!$A$5:$A$204,0)),"※未登録のID"))</f>
        <v/>
      </c>
      <c r="D175" s="20"/>
      <c r="E175" s="20"/>
      <c r="F175" s="20"/>
      <c r="G175" s="20"/>
      <c r="H175" s="20"/>
      <c r="I175" s="21"/>
    </row>
    <row r="176" customFormat="false" ht="15" hidden="false" customHeight="false" outlineLevel="0" collapsed="false">
      <c r="A176" s="30"/>
      <c r="B176" s="21"/>
      <c r="C176" s="21" t="str">
        <f aca="false">IF(B176="","",IFERROR(INDEX(代理店一覧!$B$5:$B$204,MATCH(B176,代理店一覧!$A$5:$A$204,0)),"※未登録のID"))</f>
        <v/>
      </c>
      <c r="D176" s="20"/>
      <c r="E176" s="20"/>
      <c r="F176" s="20"/>
      <c r="G176" s="20"/>
      <c r="H176" s="20"/>
      <c r="I176" s="21"/>
    </row>
    <row r="177" customFormat="false" ht="15" hidden="false" customHeight="false" outlineLevel="0" collapsed="false">
      <c r="A177" s="30"/>
      <c r="B177" s="21"/>
      <c r="C177" s="21" t="str">
        <f aca="false">IF(B177="","",IFERROR(INDEX(代理店一覧!$B$5:$B$204,MATCH(B177,代理店一覧!$A$5:$A$204,0)),"※未登録のID"))</f>
        <v/>
      </c>
      <c r="D177" s="20"/>
      <c r="E177" s="20"/>
      <c r="F177" s="20"/>
      <c r="G177" s="20"/>
      <c r="H177" s="20"/>
      <c r="I177" s="21"/>
    </row>
    <row r="178" customFormat="false" ht="15" hidden="false" customHeight="false" outlineLevel="0" collapsed="false">
      <c r="A178" s="30"/>
      <c r="B178" s="21"/>
      <c r="C178" s="21" t="str">
        <f aca="false">IF(B178="","",IFERROR(INDEX(代理店一覧!$B$5:$B$204,MATCH(B178,代理店一覧!$A$5:$A$204,0)),"※未登録のID"))</f>
        <v/>
      </c>
      <c r="D178" s="20"/>
      <c r="E178" s="20"/>
      <c r="F178" s="20"/>
      <c r="G178" s="20"/>
      <c r="H178" s="20"/>
      <c r="I178" s="21"/>
    </row>
    <row r="179" customFormat="false" ht="15" hidden="false" customHeight="false" outlineLevel="0" collapsed="false">
      <c r="A179" s="30"/>
      <c r="B179" s="21"/>
      <c r="C179" s="21" t="str">
        <f aca="false">IF(B179="","",IFERROR(INDEX(代理店一覧!$B$5:$B$204,MATCH(B179,代理店一覧!$A$5:$A$204,0)),"※未登録のID"))</f>
        <v/>
      </c>
      <c r="D179" s="20"/>
      <c r="E179" s="20"/>
      <c r="F179" s="20"/>
      <c r="G179" s="20"/>
      <c r="H179" s="20"/>
      <c r="I179" s="21"/>
    </row>
    <row r="180" customFormat="false" ht="15" hidden="false" customHeight="false" outlineLevel="0" collapsed="false">
      <c r="A180" s="30"/>
      <c r="B180" s="21"/>
      <c r="C180" s="21" t="str">
        <f aca="false">IF(B180="","",IFERROR(INDEX(代理店一覧!$B$5:$B$204,MATCH(B180,代理店一覧!$A$5:$A$204,0)),"※未登録のID"))</f>
        <v/>
      </c>
      <c r="D180" s="20"/>
      <c r="E180" s="20"/>
      <c r="F180" s="20"/>
      <c r="G180" s="20"/>
      <c r="H180" s="20"/>
      <c r="I180" s="21"/>
    </row>
    <row r="181" customFormat="false" ht="15" hidden="false" customHeight="false" outlineLevel="0" collapsed="false">
      <c r="A181" s="30"/>
      <c r="B181" s="21"/>
      <c r="C181" s="21" t="str">
        <f aca="false">IF(B181="","",IFERROR(INDEX(代理店一覧!$B$5:$B$204,MATCH(B181,代理店一覧!$A$5:$A$204,0)),"※未登録のID"))</f>
        <v/>
      </c>
      <c r="D181" s="20"/>
      <c r="E181" s="20"/>
      <c r="F181" s="20"/>
      <c r="G181" s="20"/>
      <c r="H181" s="20"/>
      <c r="I181" s="21"/>
    </row>
    <row r="182" customFormat="false" ht="15" hidden="false" customHeight="false" outlineLevel="0" collapsed="false">
      <c r="A182" s="30"/>
      <c r="B182" s="21"/>
      <c r="C182" s="21" t="str">
        <f aca="false">IF(B182="","",IFERROR(INDEX(代理店一覧!$B$5:$B$204,MATCH(B182,代理店一覧!$A$5:$A$204,0)),"※未登録のID"))</f>
        <v/>
      </c>
      <c r="D182" s="20"/>
      <c r="E182" s="20"/>
      <c r="F182" s="20"/>
      <c r="G182" s="20"/>
      <c r="H182" s="20"/>
      <c r="I182" s="21"/>
    </row>
    <row r="183" customFormat="false" ht="15" hidden="false" customHeight="false" outlineLevel="0" collapsed="false">
      <c r="A183" s="30"/>
      <c r="B183" s="21"/>
      <c r="C183" s="21" t="str">
        <f aca="false">IF(B183="","",IFERROR(INDEX(代理店一覧!$B$5:$B$204,MATCH(B183,代理店一覧!$A$5:$A$204,0)),"※未登録のID"))</f>
        <v/>
      </c>
      <c r="D183" s="20"/>
      <c r="E183" s="20"/>
      <c r="F183" s="20"/>
      <c r="G183" s="20"/>
      <c r="H183" s="20"/>
      <c r="I183" s="21"/>
    </row>
    <row r="184" customFormat="false" ht="15" hidden="false" customHeight="false" outlineLevel="0" collapsed="false">
      <c r="A184" s="30"/>
      <c r="B184" s="21"/>
      <c r="C184" s="21" t="str">
        <f aca="false">IF(B184="","",IFERROR(INDEX(代理店一覧!$B$5:$B$204,MATCH(B184,代理店一覧!$A$5:$A$204,0)),"※未登録のID"))</f>
        <v/>
      </c>
      <c r="D184" s="20"/>
      <c r="E184" s="20"/>
      <c r="F184" s="20"/>
      <c r="G184" s="20"/>
      <c r="H184" s="20"/>
      <c r="I184" s="21"/>
    </row>
    <row r="185" customFormat="false" ht="15" hidden="false" customHeight="false" outlineLevel="0" collapsed="false">
      <c r="A185" s="30"/>
      <c r="B185" s="21"/>
      <c r="C185" s="21" t="str">
        <f aca="false">IF(B185="","",IFERROR(INDEX(代理店一覧!$B$5:$B$204,MATCH(B185,代理店一覧!$A$5:$A$204,0)),"※未登録のID"))</f>
        <v/>
      </c>
      <c r="D185" s="20"/>
      <c r="E185" s="20"/>
      <c r="F185" s="20"/>
      <c r="G185" s="20"/>
      <c r="H185" s="20"/>
      <c r="I185" s="21"/>
    </row>
    <row r="186" customFormat="false" ht="15" hidden="false" customHeight="false" outlineLevel="0" collapsed="false">
      <c r="A186" s="30"/>
      <c r="B186" s="21"/>
      <c r="C186" s="21" t="str">
        <f aca="false">IF(B186="","",IFERROR(INDEX(代理店一覧!$B$5:$B$204,MATCH(B186,代理店一覧!$A$5:$A$204,0)),"※未登録のID"))</f>
        <v/>
      </c>
      <c r="D186" s="20"/>
      <c r="E186" s="20"/>
      <c r="F186" s="20"/>
      <c r="G186" s="20"/>
      <c r="H186" s="20"/>
      <c r="I186" s="21"/>
    </row>
    <row r="187" customFormat="false" ht="15" hidden="false" customHeight="false" outlineLevel="0" collapsed="false">
      <c r="A187" s="30"/>
      <c r="B187" s="21"/>
      <c r="C187" s="21" t="str">
        <f aca="false">IF(B187="","",IFERROR(INDEX(代理店一覧!$B$5:$B$204,MATCH(B187,代理店一覧!$A$5:$A$204,0)),"※未登録のID"))</f>
        <v/>
      </c>
      <c r="D187" s="20"/>
      <c r="E187" s="20"/>
      <c r="F187" s="20"/>
      <c r="G187" s="20"/>
      <c r="H187" s="20"/>
      <c r="I187" s="21"/>
    </row>
    <row r="188" customFormat="false" ht="15" hidden="false" customHeight="false" outlineLevel="0" collapsed="false">
      <c r="A188" s="30"/>
      <c r="B188" s="21"/>
      <c r="C188" s="21" t="str">
        <f aca="false">IF(B188="","",IFERROR(INDEX(代理店一覧!$B$5:$B$204,MATCH(B188,代理店一覧!$A$5:$A$204,0)),"※未登録のID"))</f>
        <v/>
      </c>
      <c r="D188" s="20"/>
      <c r="E188" s="20"/>
      <c r="F188" s="20"/>
      <c r="G188" s="20"/>
      <c r="H188" s="20"/>
      <c r="I188" s="21"/>
    </row>
    <row r="189" customFormat="false" ht="15" hidden="false" customHeight="false" outlineLevel="0" collapsed="false">
      <c r="A189" s="30"/>
      <c r="B189" s="21"/>
      <c r="C189" s="21" t="str">
        <f aca="false">IF(B189="","",IFERROR(INDEX(代理店一覧!$B$5:$B$204,MATCH(B189,代理店一覧!$A$5:$A$204,0)),"※未登録のID"))</f>
        <v/>
      </c>
      <c r="D189" s="20"/>
      <c r="E189" s="20"/>
      <c r="F189" s="20"/>
      <c r="G189" s="20"/>
      <c r="H189" s="20"/>
      <c r="I189" s="21"/>
    </row>
    <row r="190" customFormat="false" ht="15" hidden="false" customHeight="false" outlineLevel="0" collapsed="false">
      <c r="A190" s="30"/>
      <c r="B190" s="21"/>
      <c r="C190" s="21" t="str">
        <f aca="false">IF(B190="","",IFERROR(INDEX(代理店一覧!$B$5:$B$204,MATCH(B190,代理店一覧!$A$5:$A$204,0)),"※未登録のID"))</f>
        <v/>
      </c>
      <c r="D190" s="20"/>
      <c r="E190" s="20"/>
      <c r="F190" s="20"/>
      <c r="G190" s="20"/>
      <c r="H190" s="20"/>
      <c r="I190" s="21"/>
    </row>
    <row r="191" customFormat="false" ht="15" hidden="false" customHeight="false" outlineLevel="0" collapsed="false">
      <c r="A191" s="30"/>
      <c r="B191" s="21"/>
      <c r="C191" s="21" t="str">
        <f aca="false">IF(B191="","",IFERROR(INDEX(代理店一覧!$B$5:$B$204,MATCH(B191,代理店一覧!$A$5:$A$204,0)),"※未登録のID"))</f>
        <v/>
      </c>
      <c r="D191" s="20"/>
      <c r="E191" s="20"/>
      <c r="F191" s="20"/>
      <c r="G191" s="20"/>
      <c r="H191" s="20"/>
      <c r="I191" s="21"/>
    </row>
    <row r="192" customFormat="false" ht="15" hidden="false" customHeight="false" outlineLevel="0" collapsed="false">
      <c r="A192" s="30"/>
      <c r="B192" s="21"/>
      <c r="C192" s="21" t="str">
        <f aca="false">IF(B192="","",IFERROR(INDEX(代理店一覧!$B$5:$B$204,MATCH(B192,代理店一覧!$A$5:$A$204,0)),"※未登録のID"))</f>
        <v/>
      </c>
      <c r="D192" s="20"/>
      <c r="E192" s="20"/>
      <c r="F192" s="20"/>
      <c r="G192" s="20"/>
      <c r="H192" s="20"/>
      <c r="I192" s="21"/>
    </row>
    <row r="193" customFormat="false" ht="15" hidden="false" customHeight="false" outlineLevel="0" collapsed="false">
      <c r="A193" s="30"/>
      <c r="B193" s="21"/>
      <c r="C193" s="21" t="str">
        <f aca="false">IF(B193="","",IFERROR(INDEX(代理店一覧!$B$5:$B$204,MATCH(B193,代理店一覧!$A$5:$A$204,0)),"※未登録のID"))</f>
        <v/>
      </c>
      <c r="D193" s="20"/>
      <c r="E193" s="20"/>
      <c r="F193" s="20"/>
      <c r="G193" s="20"/>
      <c r="H193" s="20"/>
      <c r="I193" s="21"/>
    </row>
    <row r="194" customFormat="false" ht="15" hidden="false" customHeight="false" outlineLevel="0" collapsed="false">
      <c r="A194" s="30"/>
      <c r="B194" s="21"/>
      <c r="C194" s="21" t="str">
        <f aca="false">IF(B194="","",IFERROR(INDEX(代理店一覧!$B$5:$B$204,MATCH(B194,代理店一覧!$A$5:$A$204,0)),"※未登録のID"))</f>
        <v/>
      </c>
      <c r="D194" s="20"/>
      <c r="E194" s="20"/>
      <c r="F194" s="20"/>
      <c r="G194" s="20"/>
      <c r="H194" s="20"/>
      <c r="I194" s="21"/>
    </row>
    <row r="195" customFormat="false" ht="15" hidden="false" customHeight="false" outlineLevel="0" collapsed="false">
      <c r="A195" s="30"/>
      <c r="B195" s="21"/>
      <c r="C195" s="21" t="str">
        <f aca="false">IF(B195="","",IFERROR(INDEX(代理店一覧!$B$5:$B$204,MATCH(B195,代理店一覧!$A$5:$A$204,0)),"※未登録のID"))</f>
        <v/>
      </c>
      <c r="D195" s="20"/>
      <c r="E195" s="20"/>
      <c r="F195" s="20"/>
      <c r="G195" s="20"/>
      <c r="H195" s="20"/>
      <c r="I195" s="21"/>
    </row>
    <row r="196" customFormat="false" ht="15" hidden="false" customHeight="false" outlineLevel="0" collapsed="false">
      <c r="A196" s="30"/>
      <c r="B196" s="21"/>
      <c r="C196" s="21" t="str">
        <f aca="false">IF(B196="","",IFERROR(INDEX(代理店一覧!$B$5:$B$204,MATCH(B196,代理店一覧!$A$5:$A$204,0)),"※未登録のID"))</f>
        <v/>
      </c>
      <c r="D196" s="20"/>
      <c r="E196" s="20"/>
      <c r="F196" s="20"/>
      <c r="G196" s="20"/>
      <c r="H196" s="20"/>
      <c r="I196" s="21"/>
    </row>
    <row r="197" customFormat="false" ht="15" hidden="false" customHeight="false" outlineLevel="0" collapsed="false">
      <c r="A197" s="30"/>
      <c r="B197" s="21"/>
      <c r="C197" s="21" t="str">
        <f aca="false">IF(B197="","",IFERROR(INDEX(代理店一覧!$B$5:$B$204,MATCH(B197,代理店一覧!$A$5:$A$204,0)),"※未登録のID"))</f>
        <v/>
      </c>
      <c r="D197" s="20"/>
      <c r="E197" s="20"/>
      <c r="F197" s="20"/>
      <c r="G197" s="20"/>
      <c r="H197" s="20"/>
      <c r="I197" s="21"/>
    </row>
    <row r="198" customFormat="false" ht="15" hidden="false" customHeight="false" outlineLevel="0" collapsed="false">
      <c r="A198" s="30"/>
      <c r="B198" s="21"/>
      <c r="C198" s="21" t="str">
        <f aca="false">IF(B198="","",IFERROR(INDEX(代理店一覧!$B$5:$B$204,MATCH(B198,代理店一覧!$A$5:$A$204,0)),"※未登録のID"))</f>
        <v/>
      </c>
      <c r="D198" s="20"/>
      <c r="E198" s="20"/>
      <c r="F198" s="20"/>
      <c r="G198" s="20"/>
      <c r="H198" s="20"/>
      <c r="I198" s="21"/>
    </row>
    <row r="199" customFormat="false" ht="15" hidden="false" customHeight="false" outlineLevel="0" collapsed="false">
      <c r="A199" s="30"/>
      <c r="B199" s="21"/>
      <c r="C199" s="21" t="str">
        <f aca="false">IF(B199="","",IFERROR(INDEX(代理店一覧!$B$5:$B$204,MATCH(B199,代理店一覧!$A$5:$A$204,0)),"※未登録のID"))</f>
        <v/>
      </c>
      <c r="D199" s="20"/>
      <c r="E199" s="20"/>
      <c r="F199" s="20"/>
      <c r="G199" s="20"/>
      <c r="H199" s="20"/>
      <c r="I199" s="21"/>
    </row>
    <row r="200" customFormat="false" ht="15" hidden="false" customHeight="false" outlineLevel="0" collapsed="false">
      <c r="A200" s="30"/>
      <c r="B200" s="21"/>
      <c r="C200" s="21" t="str">
        <f aca="false">IF(B200="","",IFERROR(INDEX(代理店一覧!$B$5:$B$204,MATCH(B200,代理店一覧!$A$5:$A$204,0)),"※未登録のID"))</f>
        <v/>
      </c>
      <c r="D200" s="20"/>
      <c r="E200" s="20"/>
      <c r="F200" s="20"/>
      <c r="G200" s="20"/>
      <c r="H200" s="20"/>
      <c r="I200" s="21"/>
    </row>
    <row r="201" customFormat="false" ht="15" hidden="false" customHeight="false" outlineLevel="0" collapsed="false">
      <c r="A201" s="30"/>
      <c r="B201" s="21"/>
      <c r="C201" s="21" t="str">
        <f aca="false">IF(B201="","",IFERROR(INDEX(代理店一覧!$B$5:$B$204,MATCH(B201,代理店一覧!$A$5:$A$204,0)),"※未登録のID"))</f>
        <v/>
      </c>
      <c r="D201" s="20"/>
      <c r="E201" s="20"/>
      <c r="F201" s="20"/>
      <c r="G201" s="20"/>
      <c r="H201" s="20"/>
      <c r="I201" s="21"/>
    </row>
    <row r="202" customFormat="false" ht="15" hidden="false" customHeight="false" outlineLevel="0" collapsed="false">
      <c r="A202" s="30"/>
      <c r="B202" s="21"/>
      <c r="C202" s="21" t="str">
        <f aca="false">IF(B202="","",IFERROR(INDEX(代理店一覧!$B$5:$B$204,MATCH(B202,代理店一覧!$A$5:$A$204,0)),"※未登録のID"))</f>
        <v/>
      </c>
      <c r="D202" s="20"/>
      <c r="E202" s="20"/>
      <c r="F202" s="20"/>
      <c r="G202" s="20"/>
      <c r="H202" s="20"/>
      <c r="I202" s="21"/>
    </row>
    <row r="203" customFormat="false" ht="15" hidden="false" customHeight="false" outlineLevel="0" collapsed="false">
      <c r="A203" s="30"/>
      <c r="B203" s="21"/>
      <c r="C203" s="21" t="str">
        <f aca="false">IF(B203="","",IFERROR(INDEX(代理店一覧!$B$5:$B$204,MATCH(B203,代理店一覧!$A$5:$A$204,0)),"※未登録のID"))</f>
        <v/>
      </c>
      <c r="D203" s="20"/>
      <c r="E203" s="20"/>
      <c r="F203" s="20"/>
      <c r="G203" s="20"/>
      <c r="H203" s="20"/>
      <c r="I203" s="21"/>
    </row>
    <row r="204" customFormat="false" ht="15" hidden="false" customHeight="false" outlineLevel="0" collapsed="false">
      <c r="A204" s="30"/>
      <c r="B204" s="21"/>
      <c r="C204" s="21" t="str">
        <f aca="false">IF(B204="","",IFERROR(INDEX(代理店一覧!$B$5:$B$204,MATCH(B204,代理店一覧!$A$5:$A$204,0)),"※未登録のID"))</f>
        <v/>
      </c>
      <c r="D204" s="20"/>
      <c r="E204" s="20"/>
      <c r="F204" s="20"/>
      <c r="G204" s="20"/>
      <c r="H204" s="20"/>
      <c r="I204" s="21"/>
    </row>
    <row r="205" customFormat="false" ht="15" hidden="false" customHeight="false" outlineLevel="0" collapsed="false">
      <c r="A205" s="30"/>
      <c r="B205" s="21"/>
      <c r="C205" s="21" t="str">
        <f aca="false">IF(B205="","",IFERROR(INDEX(代理店一覧!$B$5:$B$204,MATCH(B205,代理店一覧!$A$5:$A$204,0)),"※未登録のID"))</f>
        <v/>
      </c>
      <c r="D205" s="20"/>
      <c r="E205" s="20"/>
      <c r="F205" s="20"/>
      <c r="G205" s="20"/>
      <c r="H205" s="20"/>
      <c r="I205" s="21"/>
    </row>
    <row r="206" customFormat="false" ht="15" hidden="false" customHeight="false" outlineLevel="0" collapsed="false">
      <c r="A206" s="30"/>
      <c r="B206" s="21"/>
      <c r="C206" s="21" t="str">
        <f aca="false">IF(B206="","",IFERROR(INDEX(代理店一覧!$B$5:$B$204,MATCH(B206,代理店一覧!$A$5:$A$204,0)),"※未登録のID"))</f>
        <v/>
      </c>
      <c r="D206" s="20"/>
      <c r="E206" s="20"/>
      <c r="F206" s="20"/>
      <c r="G206" s="20"/>
      <c r="H206" s="20"/>
      <c r="I206" s="21"/>
    </row>
    <row r="207" customFormat="false" ht="15" hidden="false" customHeight="false" outlineLevel="0" collapsed="false">
      <c r="A207" s="30"/>
      <c r="B207" s="21"/>
      <c r="C207" s="21" t="str">
        <f aca="false">IF(B207="","",IFERROR(INDEX(代理店一覧!$B$5:$B$204,MATCH(B207,代理店一覧!$A$5:$A$204,0)),"※未登録のID"))</f>
        <v/>
      </c>
      <c r="D207" s="20"/>
      <c r="E207" s="20"/>
      <c r="F207" s="20"/>
      <c r="G207" s="20"/>
      <c r="H207" s="20"/>
      <c r="I207" s="21"/>
    </row>
    <row r="208" customFormat="false" ht="15" hidden="false" customHeight="false" outlineLevel="0" collapsed="false">
      <c r="A208" s="30"/>
      <c r="B208" s="21"/>
      <c r="C208" s="21" t="str">
        <f aca="false">IF(B208="","",IFERROR(INDEX(代理店一覧!$B$5:$B$204,MATCH(B208,代理店一覧!$A$5:$A$204,0)),"※未登録のID"))</f>
        <v/>
      </c>
      <c r="D208" s="20"/>
      <c r="E208" s="20"/>
      <c r="F208" s="20"/>
      <c r="G208" s="20"/>
      <c r="H208" s="20"/>
      <c r="I208" s="21"/>
    </row>
    <row r="209" customFormat="false" ht="15" hidden="false" customHeight="false" outlineLevel="0" collapsed="false">
      <c r="A209" s="30"/>
      <c r="B209" s="21"/>
      <c r="C209" s="21" t="str">
        <f aca="false">IF(B209="","",IFERROR(INDEX(代理店一覧!$B$5:$B$204,MATCH(B209,代理店一覧!$A$5:$A$204,0)),"※未登録のID"))</f>
        <v/>
      </c>
      <c r="D209" s="20"/>
      <c r="E209" s="20"/>
      <c r="F209" s="20"/>
      <c r="G209" s="20"/>
      <c r="H209" s="20"/>
      <c r="I209" s="21"/>
    </row>
    <row r="210" customFormat="false" ht="15" hidden="false" customHeight="false" outlineLevel="0" collapsed="false">
      <c r="A210" s="30"/>
      <c r="B210" s="21"/>
      <c r="C210" s="21" t="str">
        <f aca="false">IF(B210="","",IFERROR(INDEX(代理店一覧!$B$5:$B$204,MATCH(B210,代理店一覧!$A$5:$A$204,0)),"※未登録のID"))</f>
        <v/>
      </c>
      <c r="D210" s="20"/>
      <c r="E210" s="20"/>
      <c r="F210" s="20"/>
      <c r="G210" s="20"/>
      <c r="H210" s="20"/>
      <c r="I210" s="21"/>
    </row>
    <row r="211" customFormat="false" ht="15" hidden="false" customHeight="false" outlineLevel="0" collapsed="false">
      <c r="A211" s="30"/>
      <c r="B211" s="21"/>
      <c r="C211" s="21" t="str">
        <f aca="false">IF(B211="","",IFERROR(INDEX(代理店一覧!$B$5:$B$204,MATCH(B211,代理店一覧!$A$5:$A$204,0)),"※未登録のID"))</f>
        <v/>
      </c>
      <c r="D211" s="20"/>
      <c r="E211" s="20"/>
      <c r="F211" s="20"/>
      <c r="G211" s="20"/>
      <c r="H211" s="20"/>
      <c r="I211" s="21"/>
    </row>
    <row r="212" customFormat="false" ht="15" hidden="false" customHeight="false" outlineLevel="0" collapsed="false">
      <c r="A212" s="30"/>
      <c r="B212" s="21"/>
      <c r="C212" s="21" t="str">
        <f aca="false">IF(B212="","",IFERROR(INDEX(代理店一覧!$B$5:$B$204,MATCH(B212,代理店一覧!$A$5:$A$204,0)),"※未登録のID"))</f>
        <v/>
      </c>
      <c r="D212" s="20"/>
      <c r="E212" s="20"/>
      <c r="F212" s="20"/>
      <c r="G212" s="20"/>
      <c r="H212" s="20"/>
      <c r="I212" s="21"/>
    </row>
    <row r="213" customFormat="false" ht="15" hidden="false" customHeight="false" outlineLevel="0" collapsed="false">
      <c r="A213" s="30"/>
      <c r="B213" s="21"/>
      <c r="C213" s="21" t="str">
        <f aca="false">IF(B213="","",IFERROR(INDEX(代理店一覧!$B$5:$B$204,MATCH(B213,代理店一覧!$A$5:$A$204,0)),"※未登録のID"))</f>
        <v/>
      </c>
      <c r="D213" s="20"/>
      <c r="E213" s="20"/>
      <c r="F213" s="20"/>
      <c r="G213" s="20"/>
      <c r="H213" s="20"/>
      <c r="I213" s="21"/>
    </row>
    <row r="214" customFormat="false" ht="15" hidden="false" customHeight="false" outlineLevel="0" collapsed="false">
      <c r="A214" s="30"/>
      <c r="B214" s="21"/>
      <c r="C214" s="21" t="str">
        <f aca="false">IF(B214="","",IFERROR(INDEX(代理店一覧!$B$5:$B$204,MATCH(B214,代理店一覧!$A$5:$A$204,0)),"※未登録のID"))</f>
        <v/>
      </c>
      <c r="D214" s="20"/>
      <c r="E214" s="20"/>
      <c r="F214" s="20"/>
      <c r="G214" s="20"/>
      <c r="H214" s="20"/>
      <c r="I214" s="21"/>
    </row>
    <row r="215" customFormat="false" ht="15" hidden="false" customHeight="false" outlineLevel="0" collapsed="false">
      <c r="A215" s="30"/>
      <c r="B215" s="21"/>
      <c r="C215" s="21" t="str">
        <f aca="false">IF(B215="","",IFERROR(INDEX(代理店一覧!$B$5:$B$204,MATCH(B215,代理店一覧!$A$5:$A$204,0)),"※未登録のID"))</f>
        <v/>
      </c>
      <c r="D215" s="20"/>
      <c r="E215" s="20"/>
      <c r="F215" s="20"/>
      <c r="G215" s="20"/>
      <c r="H215" s="20"/>
      <c r="I215" s="21"/>
    </row>
    <row r="216" customFormat="false" ht="15" hidden="false" customHeight="false" outlineLevel="0" collapsed="false">
      <c r="A216" s="30"/>
      <c r="B216" s="21"/>
      <c r="C216" s="21" t="str">
        <f aca="false">IF(B216="","",IFERROR(INDEX(代理店一覧!$B$5:$B$204,MATCH(B216,代理店一覧!$A$5:$A$204,0)),"※未登録のID"))</f>
        <v/>
      </c>
      <c r="D216" s="20"/>
      <c r="E216" s="20"/>
      <c r="F216" s="20"/>
      <c r="G216" s="20"/>
      <c r="H216" s="20"/>
      <c r="I216" s="21"/>
    </row>
    <row r="217" customFormat="false" ht="15" hidden="false" customHeight="false" outlineLevel="0" collapsed="false">
      <c r="A217" s="30"/>
      <c r="B217" s="21"/>
      <c r="C217" s="21" t="str">
        <f aca="false">IF(B217="","",IFERROR(INDEX(代理店一覧!$B$5:$B$204,MATCH(B217,代理店一覧!$A$5:$A$204,0)),"※未登録のID"))</f>
        <v/>
      </c>
      <c r="D217" s="20"/>
      <c r="E217" s="20"/>
      <c r="F217" s="20"/>
      <c r="G217" s="20"/>
      <c r="H217" s="20"/>
      <c r="I217" s="21"/>
    </row>
    <row r="218" customFormat="false" ht="15" hidden="false" customHeight="false" outlineLevel="0" collapsed="false">
      <c r="A218" s="30"/>
      <c r="B218" s="21"/>
      <c r="C218" s="21" t="str">
        <f aca="false">IF(B218="","",IFERROR(INDEX(代理店一覧!$B$5:$B$204,MATCH(B218,代理店一覧!$A$5:$A$204,0)),"※未登録のID"))</f>
        <v/>
      </c>
      <c r="D218" s="20"/>
      <c r="E218" s="20"/>
      <c r="F218" s="20"/>
      <c r="G218" s="20"/>
      <c r="H218" s="20"/>
      <c r="I218" s="21"/>
    </row>
    <row r="219" customFormat="false" ht="15" hidden="false" customHeight="false" outlineLevel="0" collapsed="false">
      <c r="A219" s="30"/>
      <c r="B219" s="21"/>
      <c r="C219" s="21" t="str">
        <f aca="false">IF(B219="","",IFERROR(INDEX(代理店一覧!$B$5:$B$204,MATCH(B219,代理店一覧!$A$5:$A$204,0)),"※未登録のID"))</f>
        <v/>
      </c>
      <c r="D219" s="20"/>
      <c r="E219" s="20"/>
      <c r="F219" s="20"/>
      <c r="G219" s="20"/>
      <c r="H219" s="20"/>
      <c r="I219" s="21"/>
    </row>
    <row r="220" customFormat="false" ht="15" hidden="false" customHeight="false" outlineLevel="0" collapsed="false">
      <c r="A220" s="30"/>
      <c r="B220" s="21"/>
      <c r="C220" s="21" t="str">
        <f aca="false">IF(B220="","",IFERROR(INDEX(代理店一覧!$B$5:$B$204,MATCH(B220,代理店一覧!$A$5:$A$204,0)),"※未登録のID"))</f>
        <v/>
      </c>
      <c r="D220" s="20"/>
      <c r="E220" s="20"/>
      <c r="F220" s="20"/>
      <c r="G220" s="20"/>
      <c r="H220" s="20"/>
      <c r="I220" s="21"/>
    </row>
    <row r="221" customFormat="false" ht="15" hidden="false" customHeight="false" outlineLevel="0" collapsed="false">
      <c r="A221" s="30"/>
      <c r="B221" s="21"/>
      <c r="C221" s="21" t="str">
        <f aca="false">IF(B221="","",IFERROR(INDEX(代理店一覧!$B$5:$B$204,MATCH(B221,代理店一覧!$A$5:$A$204,0)),"※未登録のID"))</f>
        <v/>
      </c>
      <c r="D221" s="20"/>
      <c r="E221" s="20"/>
      <c r="F221" s="20"/>
      <c r="G221" s="20"/>
      <c r="H221" s="20"/>
      <c r="I221" s="21"/>
    </row>
    <row r="222" customFormat="false" ht="15" hidden="false" customHeight="false" outlineLevel="0" collapsed="false">
      <c r="A222" s="30"/>
      <c r="B222" s="21"/>
      <c r="C222" s="21" t="str">
        <f aca="false">IF(B222="","",IFERROR(INDEX(代理店一覧!$B$5:$B$204,MATCH(B222,代理店一覧!$A$5:$A$204,0)),"※未登録のID"))</f>
        <v/>
      </c>
      <c r="D222" s="20"/>
      <c r="E222" s="20"/>
      <c r="F222" s="20"/>
      <c r="G222" s="20"/>
      <c r="H222" s="20"/>
      <c r="I222" s="21"/>
    </row>
    <row r="223" customFormat="false" ht="15" hidden="false" customHeight="false" outlineLevel="0" collapsed="false">
      <c r="A223" s="30"/>
      <c r="B223" s="21"/>
      <c r="C223" s="21" t="str">
        <f aca="false">IF(B223="","",IFERROR(INDEX(代理店一覧!$B$5:$B$204,MATCH(B223,代理店一覧!$A$5:$A$204,0)),"※未登録のID"))</f>
        <v/>
      </c>
      <c r="D223" s="20"/>
      <c r="E223" s="20"/>
      <c r="F223" s="20"/>
      <c r="G223" s="20"/>
      <c r="H223" s="20"/>
      <c r="I223" s="21"/>
    </row>
    <row r="224" customFormat="false" ht="15" hidden="false" customHeight="false" outlineLevel="0" collapsed="false">
      <c r="A224" s="30"/>
      <c r="B224" s="21"/>
      <c r="C224" s="21" t="str">
        <f aca="false">IF(B224="","",IFERROR(INDEX(代理店一覧!$B$5:$B$204,MATCH(B224,代理店一覧!$A$5:$A$204,0)),"※未登録のID"))</f>
        <v/>
      </c>
      <c r="D224" s="20"/>
      <c r="E224" s="20"/>
      <c r="F224" s="20"/>
      <c r="G224" s="20"/>
      <c r="H224" s="20"/>
      <c r="I224" s="21"/>
    </row>
    <row r="225" customFormat="false" ht="15" hidden="false" customHeight="false" outlineLevel="0" collapsed="false">
      <c r="A225" s="30"/>
      <c r="B225" s="21"/>
      <c r="C225" s="21" t="str">
        <f aca="false">IF(B225="","",IFERROR(INDEX(代理店一覧!$B$5:$B$204,MATCH(B225,代理店一覧!$A$5:$A$204,0)),"※未登録のID"))</f>
        <v/>
      </c>
      <c r="D225" s="20"/>
      <c r="E225" s="20"/>
      <c r="F225" s="20"/>
      <c r="G225" s="20"/>
      <c r="H225" s="20"/>
      <c r="I225" s="21"/>
    </row>
    <row r="226" customFormat="false" ht="15" hidden="false" customHeight="false" outlineLevel="0" collapsed="false">
      <c r="A226" s="30"/>
      <c r="B226" s="21"/>
      <c r="C226" s="21" t="str">
        <f aca="false">IF(B226="","",IFERROR(INDEX(代理店一覧!$B$5:$B$204,MATCH(B226,代理店一覧!$A$5:$A$204,0)),"※未登録のID"))</f>
        <v/>
      </c>
      <c r="D226" s="20"/>
      <c r="E226" s="20"/>
      <c r="F226" s="20"/>
      <c r="G226" s="20"/>
      <c r="H226" s="20"/>
      <c r="I226" s="21"/>
    </row>
    <row r="227" customFormat="false" ht="15" hidden="false" customHeight="false" outlineLevel="0" collapsed="false">
      <c r="A227" s="30"/>
      <c r="B227" s="21"/>
      <c r="C227" s="21" t="str">
        <f aca="false">IF(B227="","",IFERROR(INDEX(代理店一覧!$B$5:$B$204,MATCH(B227,代理店一覧!$A$5:$A$204,0)),"※未登録のID"))</f>
        <v/>
      </c>
      <c r="D227" s="20"/>
      <c r="E227" s="20"/>
      <c r="F227" s="20"/>
      <c r="G227" s="20"/>
      <c r="H227" s="20"/>
      <c r="I227" s="21"/>
    </row>
    <row r="228" customFormat="false" ht="15" hidden="false" customHeight="false" outlineLevel="0" collapsed="false">
      <c r="A228" s="30"/>
      <c r="B228" s="21"/>
      <c r="C228" s="21" t="str">
        <f aca="false">IF(B228="","",IFERROR(INDEX(代理店一覧!$B$5:$B$204,MATCH(B228,代理店一覧!$A$5:$A$204,0)),"※未登録のID"))</f>
        <v/>
      </c>
      <c r="D228" s="20"/>
      <c r="E228" s="20"/>
      <c r="F228" s="20"/>
      <c r="G228" s="20"/>
      <c r="H228" s="20"/>
      <c r="I228" s="21"/>
    </row>
    <row r="229" customFormat="false" ht="15" hidden="false" customHeight="false" outlineLevel="0" collapsed="false">
      <c r="A229" s="30"/>
      <c r="B229" s="21"/>
      <c r="C229" s="21" t="str">
        <f aca="false">IF(B229="","",IFERROR(INDEX(代理店一覧!$B$5:$B$204,MATCH(B229,代理店一覧!$A$5:$A$204,0)),"※未登録のID"))</f>
        <v/>
      </c>
      <c r="D229" s="20"/>
      <c r="E229" s="20"/>
      <c r="F229" s="20"/>
      <c r="G229" s="20"/>
      <c r="H229" s="20"/>
      <c r="I229" s="21"/>
    </row>
    <row r="230" customFormat="false" ht="15" hidden="false" customHeight="false" outlineLevel="0" collapsed="false">
      <c r="A230" s="30"/>
      <c r="B230" s="21"/>
      <c r="C230" s="21" t="str">
        <f aca="false">IF(B230="","",IFERROR(INDEX(代理店一覧!$B$5:$B$204,MATCH(B230,代理店一覧!$A$5:$A$204,0)),"※未登録のID"))</f>
        <v/>
      </c>
      <c r="D230" s="20"/>
      <c r="E230" s="20"/>
      <c r="F230" s="20"/>
      <c r="G230" s="20"/>
      <c r="H230" s="20"/>
      <c r="I230" s="21"/>
    </row>
    <row r="231" customFormat="false" ht="15" hidden="false" customHeight="false" outlineLevel="0" collapsed="false">
      <c r="A231" s="30"/>
      <c r="B231" s="21"/>
      <c r="C231" s="21" t="str">
        <f aca="false">IF(B231="","",IFERROR(INDEX(代理店一覧!$B$5:$B$204,MATCH(B231,代理店一覧!$A$5:$A$204,0)),"※未登録のID"))</f>
        <v/>
      </c>
      <c r="D231" s="20"/>
      <c r="E231" s="20"/>
      <c r="F231" s="20"/>
      <c r="G231" s="20"/>
      <c r="H231" s="20"/>
      <c r="I231" s="21"/>
    </row>
    <row r="232" customFormat="false" ht="15" hidden="false" customHeight="false" outlineLevel="0" collapsed="false">
      <c r="A232" s="30"/>
      <c r="B232" s="21"/>
      <c r="C232" s="21" t="str">
        <f aca="false">IF(B232="","",IFERROR(INDEX(代理店一覧!$B$5:$B$204,MATCH(B232,代理店一覧!$A$5:$A$204,0)),"※未登録のID"))</f>
        <v/>
      </c>
      <c r="D232" s="20"/>
      <c r="E232" s="20"/>
      <c r="F232" s="20"/>
      <c r="G232" s="20"/>
      <c r="H232" s="20"/>
      <c r="I232" s="21"/>
    </row>
    <row r="233" customFormat="false" ht="15" hidden="false" customHeight="false" outlineLevel="0" collapsed="false">
      <c r="A233" s="30"/>
      <c r="B233" s="21"/>
      <c r="C233" s="21" t="str">
        <f aca="false">IF(B233="","",IFERROR(INDEX(代理店一覧!$B$5:$B$204,MATCH(B233,代理店一覧!$A$5:$A$204,0)),"※未登録のID"))</f>
        <v/>
      </c>
      <c r="D233" s="20"/>
      <c r="E233" s="20"/>
      <c r="F233" s="20"/>
      <c r="G233" s="20"/>
      <c r="H233" s="20"/>
      <c r="I233" s="21"/>
    </row>
    <row r="234" customFormat="false" ht="15" hidden="false" customHeight="false" outlineLevel="0" collapsed="false">
      <c r="A234" s="30"/>
      <c r="B234" s="21"/>
      <c r="C234" s="21" t="str">
        <f aca="false">IF(B234="","",IFERROR(INDEX(代理店一覧!$B$5:$B$204,MATCH(B234,代理店一覧!$A$5:$A$204,0)),"※未登録のID"))</f>
        <v/>
      </c>
      <c r="D234" s="20"/>
      <c r="E234" s="20"/>
      <c r="F234" s="20"/>
      <c r="G234" s="20"/>
      <c r="H234" s="20"/>
      <c r="I234" s="21"/>
    </row>
    <row r="235" customFormat="false" ht="15" hidden="false" customHeight="false" outlineLevel="0" collapsed="false">
      <c r="A235" s="30"/>
      <c r="B235" s="21"/>
      <c r="C235" s="21" t="str">
        <f aca="false">IF(B235="","",IFERROR(INDEX(代理店一覧!$B$5:$B$204,MATCH(B235,代理店一覧!$A$5:$A$204,0)),"※未登録のID"))</f>
        <v/>
      </c>
      <c r="D235" s="20"/>
      <c r="E235" s="20"/>
      <c r="F235" s="20"/>
      <c r="G235" s="20"/>
      <c r="H235" s="20"/>
      <c r="I235" s="21"/>
    </row>
    <row r="236" customFormat="false" ht="15" hidden="false" customHeight="false" outlineLevel="0" collapsed="false">
      <c r="A236" s="30"/>
      <c r="B236" s="21"/>
      <c r="C236" s="21" t="str">
        <f aca="false">IF(B236="","",IFERROR(INDEX(代理店一覧!$B$5:$B$204,MATCH(B236,代理店一覧!$A$5:$A$204,0)),"※未登録のID"))</f>
        <v/>
      </c>
      <c r="D236" s="20"/>
      <c r="E236" s="20"/>
      <c r="F236" s="20"/>
      <c r="G236" s="20"/>
      <c r="H236" s="20"/>
      <c r="I236" s="21"/>
    </row>
    <row r="237" customFormat="false" ht="15" hidden="false" customHeight="false" outlineLevel="0" collapsed="false">
      <c r="A237" s="30"/>
      <c r="B237" s="21"/>
      <c r="C237" s="21" t="str">
        <f aca="false">IF(B237="","",IFERROR(INDEX(代理店一覧!$B$5:$B$204,MATCH(B237,代理店一覧!$A$5:$A$204,0)),"※未登録のID"))</f>
        <v/>
      </c>
      <c r="D237" s="20"/>
      <c r="E237" s="20"/>
      <c r="F237" s="20"/>
      <c r="G237" s="20"/>
      <c r="H237" s="20"/>
      <c r="I237" s="21"/>
    </row>
    <row r="238" customFormat="false" ht="15" hidden="false" customHeight="false" outlineLevel="0" collapsed="false">
      <c r="A238" s="30"/>
      <c r="B238" s="21"/>
      <c r="C238" s="21" t="str">
        <f aca="false">IF(B238="","",IFERROR(INDEX(代理店一覧!$B$5:$B$204,MATCH(B238,代理店一覧!$A$5:$A$204,0)),"※未登録のID"))</f>
        <v/>
      </c>
      <c r="D238" s="20"/>
      <c r="E238" s="20"/>
      <c r="F238" s="20"/>
      <c r="G238" s="20"/>
      <c r="H238" s="20"/>
      <c r="I238" s="21"/>
    </row>
    <row r="239" customFormat="false" ht="15" hidden="false" customHeight="false" outlineLevel="0" collapsed="false">
      <c r="A239" s="30"/>
      <c r="B239" s="21"/>
      <c r="C239" s="21" t="str">
        <f aca="false">IF(B239="","",IFERROR(INDEX(代理店一覧!$B$5:$B$204,MATCH(B239,代理店一覧!$A$5:$A$204,0)),"※未登録のID"))</f>
        <v/>
      </c>
      <c r="D239" s="20"/>
      <c r="E239" s="20"/>
      <c r="F239" s="20"/>
      <c r="G239" s="20"/>
      <c r="H239" s="20"/>
      <c r="I239" s="21"/>
    </row>
    <row r="240" customFormat="false" ht="15" hidden="false" customHeight="false" outlineLevel="0" collapsed="false">
      <c r="A240" s="30"/>
      <c r="B240" s="21"/>
      <c r="C240" s="21" t="str">
        <f aca="false">IF(B240="","",IFERROR(INDEX(代理店一覧!$B$5:$B$204,MATCH(B240,代理店一覧!$A$5:$A$204,0)),"※未登録のID"))</f>
        <v/>
      </c>
      <c r="D240" s="20"/>
      <c r="E240" s="20"/>
      <c r="F240" s="20"/>
      <c r="G240" s="20"/>
      <c r="H240" s="20"/>
      <c r="I240" s="21"/>
    </row>
    <row r="241" customFormat="false" ht="15" hidden="false" customHeight="false" outlineLevel="0" collapsed="false">
      <c r="A241" s="30"/>
      <c r="B241" s="21"/>
      <c r="C241" s="21" t="str">
        <f aca="false">IF(B241="","",IFERROR(INDEX(代理店一覧!$B$5:$B$204,MATCH(B241,代理店一覧!$A$5:$A$204,0)),"※未登録のID"))</f>
        <v/>
      </c>
      <c r="D241" s="20"/>
      <c r="E241" s="20"/>
      <c r="F241" s="20"/>
      <c r="G241" s="20"/>
      <c r="H241" s="20"/>
      <c r="I241" s="21"/>
    </row>
    <row r="242" customFormat="false" ht="15" hidden="false" customHeight="false" outlineLevel="0" collapsed="false">
      <c r="A242" s="30"/>
      <c r="B242" s="21"/>
      <c r="C242" s="21" t="str">
        <f aca="false">IF(B242="","",IFERROR(INDEX(代理店一覧!$B$5:$B$204,MATCH(B242,代理店一覧!$A$5:$A$204,0)),"※未登録のID"))</f>
        <v/>
      </c>
      <c r="D242" s="20"/>
      <c r="E242" s="20"/>
      <c r="F242" s="20"/>
      <c r="G242" s="20"/>
      <c r="H242" s="20"/>
      <c r="I242" s="21"/>
    </row>
    <row r="243" customFormat="false" ht="15" hidden="false" customHeight="false" outlineLevel="0" collapsed="false">
      <c r="A243" s="30"/>
      <c r="B243" s="21"/>
      <c r="C243" s="21" t="str">
        <f aca="false">IF(B243="","",IFERROR(INDEX(代理店一覧!$B$5:$B$204,MATCH(B243,代理店一覧!$A$5:$A$204,0)),"※未登録のID"))</f>
        <v/>
      </c>
      <c r="D243" s="20"/>
      <c r="E243" s="20"/>
      <c r="F243" s="20"/>
      <c r="G243" s="20"/>
      <c r="H243" s="20"/>
      <c r="I243" s="21"/>
    </row>
    <row r="244" customFormat="false" ht="15" hidden="false" customHeight="false" outlineLevel="0" collapsed="false">
      <c r="A244" s="30"/>
      <c r="B244" s="21"/>
      <c r="C244" s="21" t="str">
        <f aca="false">IF(B244="","",IFERROR(INDEX(代理店一覧!$B$5:$B$204,MATCH(B244,代理店一覧!$A$5:$A$204,0)),"※未登録のID"))</f>
        <v/>
      </c>
      <c r="D244" s="20"/>
      <c r="E244" s="20"/>
      <c r="F244" s="20"/>
      <c r="G244" s="20"/>
      <c r="H244" s="20"/>
      <c r="I244" s="21"/>
    </row>
    <row r="245" customFormat="false" ht="15" hidden="false" customHeight="false" outlineLevel="0" collapsed="false">
      <c r="A245" s="30"/>
      <c r="B245" s="21"/>
      <c r="C245" s="21" t="str">
        <f aca="false">IF(B245="","",IFERROR(INDEX(代理店一覧!$B$5:$B$204,MATCH(B245,代理店一覧!$A$5:$A$204,0)),"※未登録のID"))</f>
        <v/>
      </c>
      <c r="D245" s="20"/>
      <c r="E245" s="20"/>
      <c r="F245" s="20"/>
      <c r="G245" s="20"/>
      <c r="H245" s="20"/>
      <c r="I245" s="21"/>
    </row>
    <row r="246" customFormat="false" ht="15" hidden="false" customHeight="false" outlineLevel="0" collapsed="false">
      <c r="A246" s="30"/>
      <c r="B246" s="21"/>
      <c r="C246" s="21" t="str">
        <f aca="false">IF(B246="","",IFERROR(INDEX(代理店一覧!$B$5:$B$204,MATCH(B246,代理店一覧!$A$5:$A$204,0)),"※未登録のID"))</f>
        <v/>
      </c>
      <c r="D246" s="20"/>
      <c r="E246" s="20"/>
      <c r="F246" s="20"/>
      <c r="G246" s="20"/>
      <c r="H246" s="20"/>
      <c r="I246" s="21"/>
    </row>
    <row r="247" customFormat="false" ht="15" hidden="false" customHeight="false" outlineLevel="0" collapsed="false">
      <c r="A247" s="30"/>
      <c r="B247" s="21"/>
      <c r="C247" s="21" t="str">
        <f aca="false">IF(B247="","",IFERROR(INDEX(代理店一覧!$B$5:$B$204,MATCH(B247,代理店一覧!$A$5:$A$204,0)),"※未登録のID"))</f>
        <v/>
      </c>
      <c r="D247" s="20"/>
      <c r="E247" s="20"/>
      <c r="F247" s="20"/>
      <c r="G247" s="20"/>
      <c r="H247" s="20"/>
      <c r="I247" s="21"/>
    </row>
    <row r="248" customFormat="false" ht="15" hidden="false" customHeight="false" outlineLevel="0" collapsed="false">
      <c r="A248" s="30"/>
      <c r="B248" s="21"/>
      <c r="C248" s="21" t="str">
        <f aca="false">IF(B248="","",IFERROR(INDEX(代理店一覧!$B$5:$B$204,MATCH(B248,代理店一覧!$A$5:$A$204,0)),"※未登録のID"))</f>
        <v/>
      </c>
      <c r="D248" s="20"/>
      <c r="E248" s="20"/>
      <c r="F248" s="20"/>
      <c r="G248" s="20"/>
      <c r="H248" s="20"/>
      <c r="I248" s="21"/>
    </row>
    <row r="249" customFormat="false" ht="15" hidden="false" customHeight="false" outlineLevel="0" collapsed="false">
      <c r="A249" s="30"/>
      <c r="B249" s="21"/>
      <c r="C249" s="21" t="str">
        <f aca="false">IF(B249="","",IFERROR(INDEX(代理店一覧!$B$5:$B$204,MATCH(B249,代理店一覧!$A$5:$A$204,0)),"※未登録のID"))</f>
        <v/>
      </c>
      <c r="D249" s="20"/>
      <c r="E249" s="20"/>
      <c r="F249" s="20"/>
      <c r="G249" s="20"/>
      <c r="H249" s="20"/>
      <c r="I249" s="21"/>
    </row>
    <row r="250" customFormat="false" ht="15" hidden="false" customHeight="false" outlineLevel="0" collapsed="false">
      <c r="A250" s="30"/>
      <c r="B250" s="21"/>
      <c r="C250" s="21" t="str">
        <f aca="false">IF(B250="","",IFERROR(INDEX(代理店一覧!$B$5:$B$204,MATCH(B250,代理店一覧!$A$5:$A$204,0)),"※未登録のID"))</f>
        <v/>
      </c>
      <c r="D250" s="20"/>
      <c r="E250" s="20"/>
      <c r="F250" s="20"/>
      <c r="G250" s="20"/>
      <c r="H250" s="20"/>
      <c r="I250" s="21"/>
    </row>
    <row r="251" customFormat="false" ht="15" hidden="false" customHeight="false" outlineLevel="0" collapsed="false">
      <c r="A251" s="30"/>
      <c r="B251" s="21"/>
      <c r="C251" s="21" t="str">
        <f aca="false">IF(B251="","",IFERROR(INDEX(代理店一覧!$B$5:$B$204,MATCH(B251,代理店一覧!$A$5:$A$204,0)),"※未登録のID"))</f>
        <v/>
      </c>
      <c r="D251" s="20"/>
      <c r="E251" s="20"/>
      <c r="F251" s="20"/>
      <c r="G251" s="20"/>
      <c r="H251" s="20"/>
      <c r="I251" s="21"/>
    </row>
    <row r="252" customFormat="false" ht="15" hidden="false" customHeight="false" outlineLevel="0" collapsed="false">
      <c r="A252" s="30"/>
      <c r="B252" s="21"/>
      <c r="C252" s="21" t="str">
        <f aca="false">IF(B252="","",IFERROR(INDEX(代理店一覧!$B$5:$B$204,MATCH(B252,代理店一覧!$A$5:$A$204,0)),"※未登録のID"))</f>
        <v/>
      </c>
      <c r="D252" s="20"/>
      <c r="E252" s="20"/>
      <c r="F252" s="20"/>
      <c r="G252" s="20"/>
      <c r="H252" s="20"/>
      <c r="I252" s="21"/>
    </row>
    <row r="253" customFormat="false" ht="15" hidden="false" customHeight="false" outlineLevel="0" collapsed="false">
      <c r="A253" s="30"/>
      <c r="B253" s="21"/>
      <c r="C253" s="21" t="str">
        <f aca="false">IF(B253="","",IFERROR(INDEX(代理店一覧!$B$5:$B$204,MATCH(B253,代理店一覧!$A$5:$A$204,0)),"※未登録のID"))</f>
        <v/>
      </c>
      <c r="D253" s="20"/>
      <c r="E253" s="20"/>
      <c r="F253" s="20"/>
      <c r="G253" s="20"/>
      <c r="H253" s="20"/>
      <c r="I253" s="21"/>
    </row>
    <row r="254" customFormat="false" ht="15" hidden="false" customHeight="false" outlineLevel="0" collapsed="false">
      <c r="A254" s="30"/>
      <c r="B254" s="21"/>
      <c r="C254" s="21" t="str">
        <f aca="false">IF(B254="","",IFERROR(INDEX(代理店一覧!$B$5:$B$204,MATCH(B254,代理店一覧!$A$5:$A$204,0)),"※未登録のID"))</f>
        <v/>
      </c>
      <c r="D254" s="20"/>
      <c r="E254" s="20"/>
      <c r="F254" s="20"/>
      <c r="G254" s="20"/>
      <c r="H254" s="20"/>
      <c r="I254" s="21"/>
    </row>
    <row r="255" customFormat="false" ht="15" hidden="false" customHeight="false" outlineLevel="0" collapsed="false">
      <c r="A255" s="30"/>
      <c r="B255" s="21"/>
      <c r="C255" s="21" t="str">
        <f aca="false">IF(B255="","",IFERROR(INDEX(代理店一覧!$B$5:$B$204,MATCH(B255,代理店一覧!$A$5:$A$204,0)),"※未登録のID"))</f>
        <v/>
      </c>
      <c r="D255" s="20"/>
      <c r="E255" s="20"/>
      <c r="F255" s="20"/>
      <c r="G255" s="20"/>
      <c r="H255" s="20"/>
      <c r="I255" s="21"/>
    </row>
    <row r="256" customFormat="false" ht="15" hidden="false" customHeight="false" outlineLevel="0" collapsed="false">
      <c r="A256" s="30"/>
      <c r="B256" s="21"/>
      <c r="C256" s="21" t="str">
        <f aca="false">IF(B256="","",IFERROR(INDEX(代理店一覧!$B$5:$B$204,MATCH(B256,代理店一覧!$A$5:$A$204,0)),"※未登録のID"))</f>
        <v/>
      </c>
      <c r="D256" s="20"/>
      <c r="E256" s="20"/>
      <c r="F256" s="20"/>
      <c r="G256" s="20"/>
      <c r="H256" s="20"/>
      <c r="I256" s="21"/>
    </row>
    <row r="257" customFormat="false" ht="15" hidden="false" customHeight="false" outlineLevel="0" collapsed="false">
      <c r="A257" s="30"/>
      <c r="B257" s="21"/>
      <c r="C257" s="21" t="str">
        <f aca="false">IF(B257="","",IFERROR(INDEX(代理店一覧!$B$5:$B$204,MATCH(B257,代理店一覧!$A$5:$A$204,0)),"※未登録のID"))</f>
        <v/>
      </c>
      <c r="D257" s="20"/>
      <c r="E257" s="20"/>
      <c r="F257" s="20"/>
      <c r="G257" s="20"/>
      <c r="H257" s="20"/>
      <c r="I257" s="21"/>
    </row>
    <row r="258" customFormat="false" ht="15" hidden="false" customHeight="false" outlineLevel="0" collapsed="false">
      <c r="A258" s="30"/>
      <c r="B258" s="21"/>
      <c r="C258" s="21" t="str">
        <f aca="false">IF(B258="","",IFERROR(INDEX(代理店一覧!$B$5:$B$204,MATCH(B258,代理店一覧!$A$5:$A$204,0)),"※未登録のID"))</f>
        <v/>
      </c>
      <c r="D258" s="20"/>
      <c r="E258" s="20"/>
      <c r="F258" s="20"/>
      <c r="G258" s="20"/>
      <c r="H258" s="20"/>
      <c r="I258" s="21"/>
    </row>
    <row r="259" customFormat="false" ht="15" hidden="false" customHeight="false" outlineLevel="0" collapsed="false">
      <c r="A259" s="30"/>
      <c r="B259" s="21"/>
      <c r="C259" s="21" t="str">
        <f aca="false">IF(B259="","",IFERROR(INDEX(代理店一覧!$B$5:$B$204,MATCH(B259,代理店一覧!$A$5:$A$204,0)),"※未登録のID"))</f>
        <v/>
      </c>
      <c r="D259" s="20"/>
      <c r="E259" s="20"/>
      <c r="F259" s="20"/>
      <c r="G259" s="20"/>
      <c r="H259" s="20"/>
      <c r="I259" s="21"/>
    </row>
    <row r="260" customFormat="false" ht="15" hidden="false" customHeight="false" outlineLevel="0" collapsed="false">
      <c r="A260" s="30"/>
      <c r="B260" s="21"/>
      <c r="C260" s="21" t="str">
        <f aca="false">IF(B260="","",IFERROR(INDEX(代理店一覧!$B$5:$B$204,MATCH(B260,代理店一覧!$A$5:$A$204,0)),"※未登録のID"))</f>
        <v/>
      </c>
      <c r="D260" s="20"/>
      <c r="E260" s="20"/>
      <c r="F260" s="20"/>
      <c r="G260" s="20"/>
      <c r="H260" s="20"/>
      <c r="I260" s="21"/>
    </row>
    <row r="261" customFormat="false" ht="15" hidden="false" customHeight="false" outlineLevel="0" collapsed="false">
      <c r="A261" s="30"/>
      <c r="B261" s="21"/>
      <c r="C261" s="21" t="str">
        <f aca="false">IF(B261="","",IFERROR(INDEX(代理店一覧!$B$5:$B$204,MATCH(B261,代理店一覧!$A$5:$A$204,0)),"※未登録のID"))</f>
        <v/>
      </c>
      <c r="D261" s="20"/>
      <c r="E261" s="20"/>
      <c r="F261" s="20"/>
      <c r="G261" s="20"/>
      <c r="H261" s="20"/>
      <c r="I261" s="21"/>
    </row>
    <row r="262" customFormat="false" ht="15" hidden="false" customHeight="false" outlineLevel="0" collapsed="false">
      <c r="A262" s="30"/>
      <c r="B262" s="21"/>
      <c r="C262" s="21" t="str">
        <f aca="false">IF(B262="","",IFERROR(INDEX(代理店一覧!$B$5:$B$204,MATCH(B262,代理店一覧!$A$5:$A$204,0)),"※未登録のID"))</f>
        <v/>
      </c>
      <c r="D262" s="20"/>
      <c r="E262" s="20"/>
      <c r="F262" s="20"/>
      <c r="G262" s="20"/>
      <c r="H262" s="20"/>
      <c r="I262" s="21"/>
    </row>
    <row r="263" customFormat="false" ht="15" hidden="false" customHeight="false" outlineLevel="0" collapsed="false">
      <c r="A263" s="30"/>
      <c r="B263" s="21"/>
      <c r="C263" s="21" t="str">
        <f aca="false">IF(B263="","",IFERROR(INDEX(代理店一覧!$B$5:$B$204,MATCH(B263,代理店一覧!$A$5:$A$204,0)),"※未登録のID"))</f>
        <v/>
      </c>
      <c r="D263" s="20"/>
      <c r="E263" s="20"/>
      <c r="F263" s="20"/>
      <c r="G263" s="20"/>
      <c r="H263" s="20"/>
      <c r="I263" s="21"/>
    </row>
    <row r="264" customFormat="false" ht="15" hidden="false" customHeight="false" outlineLevel="0" collapsed="false">
      <c r="A264" s="30"/>
      <c r="B264" s="21"/>
      <c r="C264" s="21" t="str">
        <f aca="false">IF(B264="","",IFERROR(INDEX(代理店一覧!$B$5:$B$204,MATCH(B264,代理店一覧!$A$5:$A$204,0)),"※未登録のID"))</f>
        <v/>
      </c>
      <c r="D264" s="20"/>
      <c r="E264" s="20"/>
      <c r="F264" s="20"/>
      <c r="G264" s="20"/>
      <c r="H264" s="20"/>
      <c r="I264" s="21"/>
    </row>
    <row r="265" customFormat="false" ht="15" hidden="false" customHeight="false" outlineLevel="0" collapsed="false">
      <c r="A265" s="30"/>
      <c r="B265" s="21"/>
      <c r="C265" s="21" t="str">
        <f aca="false">IF(B265="","",IFERROR(INDEX(代理店一覧!$B$5:$B$204,MATCH(B265,代理店一覧!$A$5:$A$204,0)),"※未登録のID"))</f>
        <v/>
      </c>
      <c r="D265" s="20"/>
      <c r="E265" s="20"/>
      <c r="F265" s="20"/>
      <c r="G265" s="20"/>
      <c r="H265" s="20"/>
      <c r="I265" s="21"/>
    </row>
    <row r="266" customFormat="false" ht="15" hidden="false" customHeight="false" outlineLevel="0" collapsed="false">
      <c r="A266" s="30"/>
      <c r="B266" s="21"/>
      <c r="C266" s="21" t="str">
        <f aca="false">IF(B266="","",IFERROR(INDEX(代理店一覧!$B$5:$B$204,MATCH(B266,代理店一覧!$A$5:$A$204,0)),"※未登録のID"))</f>
        <v/>
      </c>
      <c r="D266" s="20"/>
      <c r="E266" s="20"/>
      <c r="F266" s="20"/>
      <c r="G266" s="20"/>
      <c r="H266" s="20"/>
      <c r="I266" s="21"/>
    </row>
    <row r="267" customFormat="false" ht="15" hidden="false" customHeight="false" outlineLevel="0" collapsed="false">
      <c r="A267" s="30"/>
      <c r="B267" s="21"/>
      <c r="C267" s="21" t="str">
        <f aca="false">IF(B267="","",IFERROR(INDEX(代理店一覧!$B$5:$B$204,MATCH(B267,代理店一覧!$A$5:$A$204,0)),"※未登録のID"))</f>
        <v/>
      </c>
      <c r="D267" s="20"/>
      <c r="E267" s="20"/>
      <c r="F267" s="20"/>
      <c r="G267" s="20"/>
      <c r="H267" s="20"/>
      <c r="I267" s="21"/>
    </row>
    <row r="268" customFormat="false" ht="15" hidden="false" customHeight="false" outlineLevel="0" collapsed="false">
      <c r="A268" s="30"/>
      <c r="B268" s="21"/>
      <c r="C268" s="21" t="str">
        <f aca="false">IF(B268="","",IFERROR(INDEX(代理店一覧!$B$5:$B$204,MATCH(B268,代理店一覧!$A$5:$A$204,0)),"※未登録のID"))</f>
        <v/>
      </c>
      <c r="D268" s="20"/>
      <c r="E268" s="20"/>
      <c r="F268" s="20"/>
      <c r="G268" s="20"/>
      <c r="H268" s="20"/>
      <c r="I268" s="21"/>
    </row>
    <row r="269" customFormat="false" ht="15" hidden="false" customHeight="false" outlineLevel="0" collapsed="false">
      <c r="A269" s="30"/>
      <c r="B269" s="21"/>
      <c r="C269" s="21" t="str">
        <f aca="false">IF(B269="","",IFERROR(INDEX(代理店一覧!$B$5:$B$204,MATCH(B269,代理店一覧!$A$5:$A$204,0)),"※未登録のID"))</f>
        <v/>
      </c>
      <c r="D269" s="20"/>
      <c r="E269" s="20"/>
      <c r="F269" s="20"/>
      <c r="G269" s="20"/>
      <c r="H269" s="20"/>
      <c r="I269" s="21"/>
    </row>
    <row r="270" customFormat="false" ht="15" hidden="false" customHeight="false" outlineLevel="0" collapsed="false">
      <c r="A270" s="30"/>
      <c r="B270" s="21"/>
      <c r="C270" s="21" t="str">
        <f aca="false">IF(B270="","",IFERROR(INDEX(代理店一覧!$B$5:$B$204,MATCH(B270,代理店一覧!$A$5:$A$204,0)),"※未登録のID"))</f>
        <v/>
      </c>
      <c r="D270" s="20"/>
      <c r="E270" s="20"/>
      <c r="F270" s="20"/>
      <c r="G270" s="20"/>
      <c r="H270" s="20"/>
      <c r="I270" s="21"/>
    </row>
    <row r="271" customFormat="false" ht="15" hidden="false" customHeight="false" outlineLevel="0" collapsed="false">
      <c r="A271" s="30"/>
      <c r="B271" s="21"/>
      <c r="C271" s="21" t="str">
        <f aca="false">IF(B271="","",IFERROR(INDEX(代理店一覧!$B$5:$B$204,MATCH(B271,代理店一覧!$A$5:$A$204,0)),"※未登録のID"))</f>
        <v/>
      </c>
      <c r="D271" s="20"/>
      <c r="E271" s="20"/>
      <c r="F271" s="20"/>
      <c r="G271" s="20"/>
      <c r="H271" s="20"/>
      <c r="I271" s="21"/>
    </row>
    <row r="272" customFormat="false" ht="15" hidden="false" customHeight="false" outlineLevel="0" collapsed="false">
      <c r="A272" s="30"/>
      <c r="B272" s="21"/>
      <c r="C272" s="21" t="str">
        <f aca="false">IF(B272="","",IFERROR(INDEX(代理店一覧!$B$5:$B$204,MATCH(B272,代理店一覧!$A$5:$A$204,0)),"※未登録のID"))</f>
        <v/>
      </c>
      <c r="D272" s="20"/>
      <c r="E272" s="20"/>
      <c r="F272" s="20"/>
      <c r="G272" s="20"/>
      <c r="H272" s="20"/>
      <c r="I272" s="21"/>
    </row>
    <row r="273" customFormat="false" ht="15" hidden="false" customHeight="false" outlineLevel="0" collapsed="false">
      <c r="A273" s="30"/>
      <c r="B273" s="21"/>
      <c r="C273" s="21" t="str">
        <f aca="false">IF(B273="","",IFERROR(INDEX(代理店一覧!$B$5:$B$204,MATCH(B273,代理店一覧!$A$5:$A$204,0)),"※未登録のID"))</f>
        <v/>
      </c>
      <c r="D273" s="20"/>
      <c r="E273" s="20"/>
      <c r="F273" s="20"/>
      <c r="G273" s="20"/>
      <c r="H273" s="20"/>
      <c r="I273" s="21"/>
    </row>
    <row r="274" customFormat="false" ht="15" hidden="false" customHeight="false" outlineLevel="0" collapsed="false">
      <c r="A274" s="30"/>
      <c r="B274" s="21"/>
      <c r="C274" s="21" t="str">
        <f aca="false">IF(B274="","",IFERROR(INDEX(代理店一覧!$B$5:$B$204,MATCH(B274,代理店一覧!$A$5:$A$204,0)),"※未登録のID"))</f>
        <v/>
      </c>
      <c r="D274" s="20"/>
      <c r="E274" s="20"/>
      <c r="F274" s="20"/>
      <c r="G274" s="20"/>
      <c r="H274" s="20"/>
      <c r="I274" s="21"/>
    </row>
    <row r="275" customFormat="false" ht="15" hidden="false" customHeight="false" outlineLevel="0" collapsed="false">
      <c r="A275" s="30"/>
      <c r="B275" s="21"/>
      <c r="C275" s="21" t="str">
        <f aca="false">IF(B275="","",IFERROR(INDEX(代理店一覧!$B$5:$B$204,MATCH(B275,代理店一覧!$A$5:$A$204,0)),"※未登録のID"))</f>
        <v/>
      </c>
      <c r="D275" s="20"/>
      <c r="E275" s="20"/>
      <c r="F275" s="20"/>
      <c r="G275" s="20"/>
      <c r="H275" s="20"/>
      <c r="I275" s="21"/>
    </row>
    <row r="276" customFormat="false" ht="15" hidden="false" customHeight="false" outlineLevel="0" collapsed="false">
      <c r="A276" s="30"/>
      <c r="B276" s="21"/>
      <c r="C276" s="21" t="str">
        <f aca="false">IF(B276="","",IFERROR(INDEX(代理店一覧!$B$5:$B$204,MATCH(B276,代理店一覧!$A$5:$A$204,0)),"※未登録のID"))</f>
        <v/>
      </c>
      <c r="D276" s="20"/>
      <c r="E276" s="20"/>
      <c r="F276" s="20"/>
      <c r="G276" s="20"/>
      <c r="H276" s="20"/>
      <c r="I276" s="21"/>
    </row>
    <row r="277" customFormat="false" ht="15" hidden="false" customHeight="false" outlineLevel="0" collapsed="false">
      <c r="A277" s="30"/>
      <c r="B277" s="21"/>
      <c r="C277" s="21" t="str">
        <f aca="false">IF(B277="","",IFERROR(INDEX(代理店一覧!$B$5:$B$204,MATCH(B277,代理店一覧!$A$5:$A$204,0)),"※未登録のID"))</f>
        <v/>
      </c>
      <c r="D277" s="20"/>
      <c r="E277" s="20"/>
      <c r="F277" s="20"/>
      <c r="G277" s="20"/>
      <c r="H277" s="20"/>
      <c r="I277" s="21"/>
    </row>
    <row r="278" customFormat="false" ht="15" hidden="false" customHeight="false" outlineLevel="0" collapsed="false">
      <c r="A278" s="30"/>
      <c r="B278" s="21"/>
      <c r="C278" s="21" t="str">
        <f aca="false">IF(B278="","",IFERROR(INDEX(代理店一覧!$B$5:$B$204,MATCH(B278,代理店一覧!$A$5:$A$204,0)),"※未登録のID"))</f>
        <v/>
      </c>
      <c r="D278" s="20"/>
      <c r="E278" s="20"/>
      <c r="F278" s="20"/>
      <c r="G278" s="20"/>
      <c r="H278" s="20"/>
      <c r="I278" s="21"/>
    </row>
    <row r="279" customFormat="false" ht="15" hidden="false" customHeight="false" outlineLevel="0" collapsed="false">
      <c r="A279" s="30"/>
      <c r="B279" s="21"/>
      <c r="C279" s="21" t="str">
        <f aca="false">IF(B279="","",IFERROR(INDEX(代理店一覧!$B$5:$B$204,MATCH(B279,代理店一覧!$A$5:$A$204,0)),"※未登録のID"))</f>
        <v/>
      </c>
      <c r="D279" s="20"/>
      <c r="E279" s="20"/>
      <c r="F279" s="20"/>
      <c r="G279" s="20"/>
      <c r="H279" s="20"/>
      <c r="I279" s="21"/>
    </row>
    <row r="280" customFormat="false" ht="15" hidden="false" customHeight="false" outlineLevel="0" collapsed="false">
      <c r="A280" s="30"/>
      <c r="B280" s="21"/>
      <c r="C280" s="21" t="str">
        <f aca="false">IF(B280="","",IFERROR(INDEX(代理店一覧!$B$5:$B$204,MATCH(B280,代理店一覧!$A$5:$A$204,0)),"※未登録のID"))</f>
        <v/>
      </c>
      <c r="D280" s="20"/>
      <c r="E280" s="20"/>
      <c r="F280" s="20"/>
      <c r="G280" s="20"/>
      <c r="H280" s="20"/>
      <c r="I280" s="21"/>
    </row>
    <row r="281" customFormat="false" ht="15" hidden="false" customHeight="false" outlineLevel="0" collapsed="false">
      <c r="A281" s="30"/>
      <c r="B281" s="21"/>
      <c r="C281" s="21" t="str">
        <f aca="false">IF(B281="","",IFERROR(INDEX(代理店一覧!$B$5:$B$204,MATCH(B281,代理店一覧!$A$5:$A$204,0)),"※未登録のID"))</f>
        <v/>
      </c>
      <c r="D281" s="20"/>
      <c r="E281" s="20"/>
      <c r="F281" s="20"/>
      <c r="G281" s="20"/>
      <c r="H281" s="20"/>
      <c r="I281" s="21"/>
    </row>
    <row r="282" customFormat="false" ht="15" hidden="false" customHeight="false" outlineLevel="0" collapsed="false">
      <c r="A282" s="30"/>
      <c r="B282" s="21"/>
      <c r="C282" s="21" t="str">
        <f aca="false">IF(B282="","",IFERROR(INDEX(代理店一覧!$B$5:$B$204,MATCH(B282,代理店一覧!$A$5:$A$204,0)),"※未登録のID"))</f>
        <v/>
      </c>
      <c r="D282" s="20"/>
      <c r="E282" s="20"/>
      <c r="F282" s="20"/>
      <c r="G282" s="20"/>
      <c r="H282" s="20"/>
      <c r="I282" s="21"/>
    </row>
    <row r="283" customFormat="false" ht="15" hidden="false" customHeight="false" outlineLevel="0" collapsed="false">
      <c r="A283" s="30"/>
      <c r="B283" s="21"/>
      <c r="C283" s="21" t="str">
        <f aca="false">IF(B283="","",IFERROR(INDEX(代理店一覧!$B$5:$B$204,MATCH(B283,代理店一覧!$A$5:$A$204,0)),"※未登録のID"))</f>
        <v/>
      </c>
      <c r="D283" s="20"/>
      <c r="E283" s="20"/>
      <c r="F283" s="20"/>
      <c r="G283" s="20"/>
      <c r="H283" s="20"/>
      <c r="I283" s="21"/>
    </row>
    <row r="284" customFormat="false" ht="15" hidden="false" customHeight="false" outlineLevel="0" collapsed="false">
      <c r="A284" s="30"/>
      <c r="B284" s="21"/>
      <c r="C284" s="21" t="str">
        <f aca="false">IF(B284="","",IFERROR(INDEX(代理店一覧!$B$5:$B$204,MATCH(B284,代理店一覧!$A$5:$A$204,0)),"※未登録のID"))</f>
        <v/>
      </c>
      <c r="D284" s="20"/>
      <c r="E284" s="20"/>
      <c r="F284" s="20"/>
      <c r="G284" s="20"/>
      <c r="H284" s="20"/>
      <c r="I284" s="21"/>
    </row>
    <row r="285" customFormat="false" ht="15" hidden="false" customHeight="false" outlineLevel="0" collapsed="false">
      <c r="A285" s="30"/>
      <c r="B285" s="21"/>
      <c r="C285" s="21" t="str">
        <f aca="false">IF(B285="","",IFERROR(INDEX(代理店一覧!$B$5:$B$204,MATCH(B285,代理店一覧!$A$5:$A$204,0)),"※未登録のID"))</f>
        <v/>
      </c>
      <c r="D285" s="20"/>
      <c r="E285" s="20"/>
      <c r="F285" s="20"/>
      <c r="G285" s="20"/>
      <c r="H285" s="20"/>
      <c r="I285" s="21"/>
    </row>
    <row r="286" customFormat="false" ht="15" hidden="false" customHeight="false" outlineLevel="0" collapsed="false">
      <c r="A286" s="30"/>
      <c r="B286" s="21"/>
      <c r="C286" s="21" t="str">
        <f aca="false">IF(B286="","",IFERROR(INDEX(代理店一覧!$B$5:$B$204,MATCH(B286,代理店一覧!$A$5:$A$204,0)),"※未登録のID"))</f>
        <v/>
      </c>
      <c r="D286" s="20"/>
      <c r="E286" s="20"/>
      <c r="F286" s="20"/>
      <c r="G286" s="20"/>
      <c r="H286" s="20"/>
      <c r="I286" s="21"/>
    </row>
    <row r="287" customFormat="false" ht="15" hidden="false" customHeight="false" outlineLevel="0" collapsed="false">
      <c r="A287" s="30"/>
      <c r="B287" s="21"/>
      <c r="C287" s="21" t="str">
        <f aca="false">IF(B287="","",IFERROR(INDEX(代理店一覧!$B$5:$B$204,MATCH(B287,代理店一覧!$A$5:$A$204,0)),"※未登録のID"))</f>
        <v/>
      </c>
      <c r="D287" s="20"/>
      <c r="E287" s="20"/>
      <c r="F287" s="20"/>
      <c r="G287" s="20"/>
      <c r="H287" s="20"/>
      <c r="I287" s="21"/>
    </row>
    <row r="288" customFormat="false" ht="15" hidden="false" customHeight="false" outlineLevel="0" collapsed="false">
      <c r="A288" s="30"/>
      <c r="B288" s="21"/>
      <c r="C288" s="21" t="str">
        <f aca="false">IF(B288="","",IFERROR(INDEX(代理店一覧!$B$5:$B$204,MATCH(B288,代理店一覧!$A$5:$A$204,0)),"※未登録のID"))</f>
        <v/>
      </c>
      <c r="D288" s="20"/>
      <c r="E288" s="20"/>
      <c r="F288" s="20"/>
      <c r="G288" s="20"/>
      <c r="H288" s="20"/>
      <c r="I288" s="21"/>
    </row>
    <row r="289" customFormat="false" ht="15" hidden="false" customHeight="false" outlineLevel="0" collapsed="false">
      <c r="A289" s="30"/>
      <c r="B289" s="21"/>
      <c r="C289" s="21" t="str">
        <f aca="false">IF(B289="","",IFERROR(INDEX(代理店一覧!$B$5:$B$204,MATCH(B289,代理店一覧!$A$5:$A$204,0)),"※未登録のID"))</f>
        <v/>
      </c>
      <c r="D289" s="20"/>
      <c r="E289" s="20"/>
      <c r="F289" s="20"/>
      <c r="G289" s="20"/>
      <c r="H289" s="20"/>
      <c r="I289" s="21"/>
    </row>
    <row r="290" customFormat="false" ht="15" hidden="false" customHeight="false" outlineLevel="0" collapsed="false">
      <c r="A290" s="30"/>
      <c r="B290" s="21"/>
      <c r="C290" s="21" t="str">
        <f aca="false">IF(B290="","",IFERROR(INDEX(代理店一覧!$B$5:$B$204,MATCH(B290,代理店一覧!$A$5:$A$204,0)),"※未登録のID"))</f>
        <v/>
      </c>
      <c r="D290" s="20"/>
      <c r="E290" s="20"/>
      <c r="F290" s="20"/>
      <c r="G290" s="20"/>
      <c r="H290" s="20"/>
      <c r="I290" s="21"/>
    </row>
    <row r="291" customFormat="false" ht="15" hidden="false" customHeight="false" outlineLevel="0" collapsed="false">
      <c r="A291" s="30"/>
      <c r="B291" s="21"/>
      <c r="C291" s="21" t="str">
        <f aca="false">IF(B291="","",IFERROR(INDEX(代理店一覧!$B$5:$B$204,MATCH(B291,代理店一覧!$A$5:$A$204,0)),"※未登録のID"))</f>
        <v/>
      </c>
      <c r="D291" s="20"/>
      <c r="E291" s="20"/>
      <c r="F291" s="20"/>
      <c r="G291" s="20"/>
      <c r="H291" s="20"/>
      <c r="I291" s="21"/>
    </row>
    <row r="292" customFormat="false" ht="15" hidden="false" customHeight="false" outlineLevel="0" collapsed="false">
      <c r="A292" s="30"/>
      <c r="B292" s="21"/>
      <c r="C292" s="21" t="str">
        <f aca="false">IF(B292="","",IFERROR(INDEX(代理店一覧!$B$5:$B$204,MATCH(B292,代理店一覧!$A$5:$A$204,0)),"※未登録のID"))</f>
        <v/>
      </c>
      <c r="D292" s="20"/>
      <c r="E292" s="20"/>
      <c r="F292" s="20"/>
      <c r="G292" s="20"/>
      <c r="H292" s="20"/>
      <c r="I292" s="21"/>
    </row>
    <row r="293" customFormat="false" ht="15" hidden="false" customHeight="false" outlineLevel="0" collapsed="false">
      <c r="A293" s="30"/>
      <c r="B293" s="21"/>
      <c r="C293" s="21" t="str">
        <f aca="false">IF(B293="","",IFERROR(INDEX(代理店一覧!$B$5:$B$204,MATCH(B293,代理店一覧!$A$5:$A$204,0)),"※未登録のID"))</f>
        <v/>
      </c>
      <c r="D293" s="20"/>
      <c r="E293" s="20"/>
      <c r="F293" s="20"/>
      <c r="G293" s="20"/>
      <c r="H293" s="20"/>
      <c r="I293" s="21"/>
    </row>
    <row r="294" customFormat="false" ht="15" hidden="false" customHeight="false" outlineLevel="0" collapsed="false">
      <c r="A294" s="30"/>
      <c r="B294" s="21"/>
      <c r="C294" s="21" t="str">
        <f aca="false">IF(B294="","",IFERROR(INDEX(代理店一覧!$B$5:$B$204,MATCH(B294,代理店一覧!$A$5:$A$204,0)),"※未登録のID"))</f>
        <v/>
      </c>
      <c r="D294" s="20"/>
      <c r="E294" s="20"/>
      <c r="F294" s="20"/>
      <c r="G294" s="20"/>
      <c r="H294" s="20"/>
      <c r="I294" s="21"/>
    </row>
    <row r="295" customFormat="false" ht="15" hidden="false" customHeight="false" outlineLevel="0" collapsed="false">
      <c r="A295" s="30"/>
      <c r="B295" s="21"/>
      <c r="C295" s="21" t="str">
        <f aca="false">IF(B295="","",IFERROR(INDEX(代理店一覧!$B$5:$B$204,MATCH(B295,代理店一覧!$A$5:$A$204,0)),"※未登録のID"))</f>
        <v/>
      </c>
      <c r="D295" s="20"/>
      <c r="E295" s="20"/>
      <c r="F295" s="20"/>
      <c r="G295" s="20"/>
      <c r="H295" s="20"/>
      <c r="I295" s="21"/>
    </row>
    <row r="296" customFormat="false" ht="15" hidden="false" customHeight="false" outlineLevel="0" collapsed="false">
      <c r="A296" s="30"/>
      <c r="B296" s="21"/>
      <c r="C296" s="21" t="str">
        <f aca="false">IF(B296="","",IFERROR(INDEX(代理店一覧!$B$5:$B$204,MATCH(B296,代理店一覧!$A$5:$A$204,0)),"※未登録のID"))</f>
        <v/>
      </c>
      <c r="D296" s="20"/>
      <c r="E296" s="20"/>
      <c r="F296" s="20"/>
      <c r="G296" s="20"/>
      <c r="H296" s="20"/>
      <c r="I296" s="21"/>
    </row>
    <row r="297" customFormat="false" ht="15" hidden="false" customHeight="false" outlineLevel="0" collapsed="false">
      <c r="A297" s="30"/>
      <c r="B297" s="21"/>
      <c r="C297" s="21" t="str">
        <f aca="false">IF(B297="","",IFERROR(INDEX(代理店一覧!$B$5:$B$204,MATCH(B297,代理店一覧!$A$5:$A$204,0)),"※未登録のID"))</f>
        <v/>
      </c>
      <c r="D297" s="20"/>
      <c r="E297" s="20"/>
      <c r="F297" s="20"/>
      <c r="G297" s="20"/>
      <c r="H297" s="20"/>
      <c r="I297" s="21"/>
    </row>
    <row r="298" customFormat="false" ht="15" hidden="false" customHeight="false" outlineLevel="0" collapsed="false">
      <c r="A298" s="30"/>
      <c r="B298" s="21"/>
      <c r="C298" s="21" t="str">
        <f aca="false">IF(B298="","",IFERROR(INDEX(代理店一覧!$B$5:$B$204,MATCH(B298,代理店一覧!$A$5:$A$204,0)),"※未登録のID"))</f>
        <v/>
      </c>
      <c r="D298" s="20"/>
      <c r="E298" s="20"/>
      <c r="F298" s="20"/>
      <c r="G298" s="20"/>
      <c r="H298" s="20"/>
      <c r="I298" s="21"/>
    </row>
    <row r="299" customFormat="false" ht="15" hidden="false" customHeight="false" outlineLevel="0" collapsed="false">
      <c r="A299" s="30"/>
      <c r="B299" s="21"/>
      <c r="C299" s="21" t="str">
        <f aca="false">IF(B299="","",IFERROR(INDEX(代理店一覧!$B$5:$B$204,MATCH(B299,代理店一覧!$A$5:$A$204,0)),"※未登録のID"))</f>
        <v/>
      </c>
      <c r="D299" s="20"/>
      <c r="E299" s="20"/>
      <c r="F299" s="20"/>
      <c r="G299" s="20"/>
      <c r="H299" s="20"/>
      <c r="I299" s="21"/>
    </row>
    <row r="300" customFormat="false" ht="15" hidden="false" customHeight="false" outlineLevel="0" collapsed="false">
      <c r="A300" s="30"/>
      <c r="B300" s="21"/>
      <c r="C300" s="21" t="str">
        <f aca="false">IF(B300="","",IFERROR(INDEX(代理店一覧!$B$5:$B$204,MATCH(B300,代理店一覧!$A$5:$A$204,0)),"※未登録のID"))</f>
        <v/>
      </c>
      <c r="D300" s="20"/>
      <c r="E300" s="20"/>
      <c r="F300" s="20"/>
      <c r="G300" s="20"/>
      <c r="H300" s="20"/>
      <c r="I300" s="21"/>
    </row>
    <row r="301" customFormat="false" ht="15" hidden="false" customHeight="false" outlineLevel="0" collapsed="false">
      <c r="A301" s="30"/>
      <c r="B301" s="21"/>
      <c r="C301" s="21" t="str">
        <f aca="false">IF(B301="","",IFERROR(INDEX(代理店一覧!$B$5:$B$204,MATCH(B301,代理店一覧!$A$5:$A$204,0)),"※未登録のID"))</f>
        <v/>
      </c>
      <c r="D301" s="20"/>
      <c r="E301" s="20"/>
      <c r="F301" s="20"/>
      <c r="G301" s="20"/>
      <c r="H301" s="20"/>
      <c r="I301" s="21"/>
    </row>
    <row r="302" customFormat="false" ht="15" hidden="false" customHeight="false" outlineLevel="0" collapsed="false">
      <c r="A302" s="30"/>
      <c r="B302" s="21"/>
      <c r="C302" s="21" t="str">
        <f aca="false">IF(B302="","",IFERROR(INDEX(代理店一覧!$B$5:$B$204,MATCH(B302,代理店一覧!$A$5:$A$204,0)),"※未登録のID"))</f>
        <v/>
      </c>
      <c r="D302" s="20"/>
      <c r="E302" s="20"/>
      <c r="F302" s="20"/>
      <c r="G302" s="20"/>
      <c r="H302" s="20"/>
      <c r="I302" s="21"/>
    </row>
    <row r="303" customFormat="false" ht="15" hidden="false" customHeight="false" outlineLevel="0" collapsed="false">
      <c r="A303" s="30"/>
      <c r="B303" s="21"/>
      <c r="C303" s="21" t="str">
        <f aca="false">IF(B303="","",IFERROR(INDEX(代理店一覧!$B$5:$B$204,MATCH(B303,代理店一覧!$A$5:$A$204,0)),"※未登録のID"))</f>
        <v/>
      </c>
      <c r="D303" s="20"/>
      <c r="E303" s="20"/>
      <c r="F303" s="20"/>
      <c r="G303" s="20"/>
      <c r="H303" s="20"/>
      <c r="I303" s="21"/>
    </row>
    <row r="304" customFormat="false" ht="15" hidden="false" customHeight="false" outlineLevel="0" collapsed="false">
      <c r="A304" s="30"/>
      <c r="B304" s="21"/>
      <c r="C304" s="21" t="str">
        <f aca="false">IF(B304="","",IFERROR(INDEX(代理店一覧!$B$5:$B$204,MATCH(B304,代理店一覧!$A$5:$A$204,0)),"※未登録のID"))</f>
        <v/>
      </c>
      <c r="D304" s="20"/>
      <c r="E304" s="20"/>
      <c r="F304" s="20"/>
      <c r="G304" s="20"/>
      <c r="H304" s="20"/>
      <c r="I304" s="21"/>
    </row>
    <row r="305" customFormat="false" ht="15" hidden="false" customHeight="false" outlineLevel="0" collapsed="false">
      <c r="A305" s="30"/>
      <c r="B305" s="21"/>
      <c r="C305" s="21" t="str">
        <f aca="false">IF(B305="","",IFERROR(INDEX(代理店一覧!$B$5:$B$204,MATCH(B305,代理店一覧!$A$5:$A$204,0)),"※未登録のID"))</f>
        <v/>
      </c>
      <c r="D305" s="20"/>
      <c r="E305" s="20"/>
      <c r="F305" s="20"/>
      <c r="G305" s="20"/>
      <c r="H305" s="20"/>
      <c r="I305" s="21"/>
    </row>
    <row r="306" customFormat="false" ht="15" hidden="false" customHeight="false" outlineLevel="0" collapsed="false">
      <c r="A306" s="30"/>
      <c r="B306" s="21"/>
      <c r="C306" s="21" t="str">
        <f aca="false">IF(B306="","",IFERROR(INDEX(代理店一覧!$B$5:$B$204,MATCH(B306,代理店一覧!$A$5:$A$204,0)),"※未登録のID"))</f>
        <v/>
      </c>
      <c r="D306" s="20"/>
      <c r="E306" s="20"/>
      <c r="F306" s="20"/>
      <c r="G306" s="20"/>
      <c r="H306" s="20"/>
      <c r="I306" s="21"/>
    </row>
    <row r="307" customFormat="false" ht="15" hidden="false" customHeight="false" outlineLevel="0" collapsed="false">
      <c r="A307" s="30"/>
      <c r="B307" s="21"/>
      <c r="C307" s="21" t="str">
        <f aca="false">IF(B307="","",IFERROR(INDEX(代理店一覧!$B$5:$B$204,MATCH(B307,代理店一覧!$A$5:$A$204,0)),"※未登録のID"))</f>
        <v/>
      </c>
      <c r="D307" s="20"/>
      <c r="E307" s="20"/>
      <c r="F307" s="20"/>
      <c r="G307" s="20"/>
      <c r="H307" s="20"/>
      <c r="I307" s="21"/>
    </row>
    <row r="308" customFormat="false" ht="15" hidden="false" customHeight="false" outlineLevel="0" collapsed="false">
      <c r="A308" s="30"/>
      <c r="B308" s="21"/>
      <c r="C308" s="21" t="str">
        <f aca="false">IF(B308="","",IFERROR(INDEX(代理店一覧!$B$5:$B$204,MATCH(B308,代理店一覧!$A$5:$A$204,0)),"※未登録のID"))</f>
        <v/>
      </c>
      <c r="D308" s="20"/>
      <c r="E308" s="20"/>
      <c r="F308" s="20"/>
      <c r="G308" s="20"/>
      <c r="H308" s="20"/>
      <c r="I308" s="21"/>
    </row>
    <row r="309" customFormat="false" ht="15" hidden="false" customHeight="false" outlineLevel="0" collapsed="false">
      <c r="A309" s="30"/>
      <c r="B309" s="21"/>
      <c r="C309" s="21" t="str">
        <f aca="false">IF(B309="","",IFERROR(INDEX(代理店一覧!$B$5:$B$204,MATCH(B309,代理店一覧!$A$5:$A$204,0)),"※未登録のID"))</f>
        <v/>
      </c>
      <c r="D309" s="20"/>
      <c r="E309" s="20"/>
      <c r="F309" s="20"/>
      <c r="G309" s="20"/>
      <c r="H309" s="20"/>
      <c r="I309" s="21"/>
    </row>
    <row r="310" customFormat="false" ht="15" hidden="false" customHeight="false" outlineLevel="0" collapsed="false">
      <c r="A310" s="30"/>
      <c r="B310" s="21"/>
      <c r="C310" s="21" t="str">
        <f aca="false">IF(B310="","",IFERROR(INDEX(代理店一覧!$B$5:$B$204,MATCH(B310,代理店一覧!$A$5:$A$204,0)),"※未登録のID"))</f>
        <v/>
      </c>
      <c r="D310" s="20"/>
      <c r="E310" s="20"/>
      <c r="F310" s="20"/>
      <c r="G310" s="20"/>
      <c r="H310" s="20"/>
      <c r="I310" s="21"/>
    </row>
    <row r="311" customFormat="false" ht="15" hidden="false" customHeight="false" outlineLevel="0" collapsed="false">
      <c r="A311" s="30"/>
      <c r="B311" s="21"/>
      <c r="C311" s="21" t="str">
        <f aca="false">IF(B311="","",IFERROR(INDEX(代理店一覧!$B$5:$B$204,MATCH(B311,代理店一覧!$A$5:$A$204,0)),"※未登録のID"))</f>
        <v/>
      </c>
      <c r="D311" s="20"/>
      <c r="E311" s="20"/>
      <c r="F311" s="20"/>
      <c r="G311" s="20"/>
      <c r="H311" s="20"/>
      <c r="I311" s="21"/>
    </row>
    <row r="312" customFormat="false" ht="15" hidden="false" customHeight="false" outlineLevel="0" collapsed="false">
      <c r="A312" s="30"/>
      <c r="B312" s="21"/>
      <c r="C312" s="21" t="str">
        <f aca="false">IF(B312="","",IFERROR(INDEX(代理店一覧!$B$5:$B$204,MATCH(B312,代理店一覧!$A$5:$A$204,0)),"※未登録のID"))</f>
        <v/>
      </c>
      <c r="D312" s="20"/>
      <c r="E312" s="20"/>
      <c r="F312" s="20"/>
      <c r="G312" s="20"/>
      <c r="H312" s="20"/>
      <c r="I312" s="21"/>
    </row>
    <row r="313" customFormat="false" ht="15" hidden="false" customHeight="false" outlineLevel="0" collapsed="false">
      <c r="A313" s="30"/>
      <c r="B313" s="21"/>
      <c r="C313" s="21" t="str">
        <f aca="false">IF(B313="","",IFERROR(INDEX(代理店一覧!$B$5:$B$204,MATCH(B313,代理店一覧!$A$5:$A$204,0)),"※未登録のID"))</f>
        <v/>
      </c>
      <c r="D313" s="20"/>
      <c r="E313" s="20"/>
      <c r="F313" s="20"/>
      <c r="G313" s="20"/>
      <c r="H313" s="20"/>
      <c r="I313" s="21"/>
    </row>
    <row r="314" customFormat="false" ht="15" hidden="false" customHeight="false" outlineLevel="0" collapsed="false">
      <c r="A314" s="30"/>
      <c r="B314" s="21"/>
      <c r="C314" s="21" t="str">
        <f aca="false">IF(B314="","",IFERROR(INDEX(代理店一覧!$B$5:$B$204,MATCH(B314,代理店一覧!$A$5:$A$204,0)),"※未登録のID"))</f>
        <v/>
      </c>
      <c r="D314" s="20"/>
      <c r="E314" s="20"/>
      <c r="F314" s="20"/>
      <c r="G314" s="20"/>
      <c r="H314" s="20"/>
      <c r="I314" s="21"/>
    </row>
    <row r="315" customFormat="false" ht="15" hidden="false" customHeight="false" outlineLevel="0" collapsed="false">
      <c r="A315" s="30"/>
      <c r="B315" s="21"/>
      <c r="C315" s="21" t="str">
        <f aca="false">IF(B315="","",IFERROR(INDEX(代理店一覧!$B$5:$B$204,MATCH(B315,代理店一覧!$A$5:$A$204,0)),"※未登録のID"))</f>
        <v/>
      </c>
      <c r="D315" s="20"/>
      <c r="E315" s="20"/>
      <c r="F315" s="20"/>
      <c r="G315" s="20"/>
      <c r="H315" s="20"/>
      <c r="I315" s="21"/>
    </row>
    <row r="316" customFormat="false" ht="15" hidden="false" customHeight="false" outlineLevel="0" collapsed="false">
      <c r="A316" s="30"/>
      <c r="B316" s="21"/>
      <c r="C316" s="21" t="str">
        <f aca="false">IF(B316="","",IFERROR(INDEX(代理店一覧!$B$5:$B$204,MATCH(B316,代理店一覧!$A$5:$A$204,0)),"※未登録のID"))</f>
        <v/>
      </c>
      <c r="D316" s="20"/>
      <c r="E316" s="20"/>
      <c r="F316" s="20"/>
      <c r="G316" s="20"/>
      <c r="H316" s="20"/>
      <c r="I316" s="21"/>
    </row>
    <row r="317" customFormat="false" ht="15" hidden="false" customHeight="false" outlineLevel="0" collapsed="false">
      <c r="A317" s="30"/>
      <c r="B317" s="21"/>
      <c r="C317" s="21" t="str">
        <f aca="false">IF(B317="","",IFERROR(INDEX(代理店一覧!$B$5:$B$204,MATCH(B317,代理店一覧!$A$5:$A$204,0)),"※未登録のID"))</f>
        <v/>
      </c>
      <c r="D317" s="20"/>
      <c r="E317" s="20"/>
      <c r="F317" s="20"/>
      <c r="G317" s="20"/>
      <c r="H317" s="20"/>
      <c r="I317" s="21"/>
    </row>
    <row r="318" customFormat="false" ht="15" hidden="false" customHeight="false" outlineLevel="0" collapsed="false">
      <c r="A318" s="30"/>
      <c r="B318" s="21"/>
      <c r="C318" s="21" t="str">
        <f aca="false">IF(B318="","",IFERROR(INDEX(代理店一覧!$B$5:$B$204,MATCH(B318,代理店一覧!$A$5:$A$204,0)),"※未登録のID"))</f>
        <v/>
      </c>
      <c r="D318" s="20"/>
      <c r="E318" s="20"/>
      <c r="F318" s="20"/>
      <c r="G318" s="20"/>
      <c r="H318" s="20"/>
      <c r="I318" s="21"/>
    </row>
    <row r="319" customFormat="false" ht="15" hidden="false" customHeight="false" outlineLevel="0" collapsed="false">
      <c r="A319" s="30"/>
      <c r="B319" s="21"/>
      <c r="C319" s="21" t="str">
        <f aca="false">IF(B319="","",IFERROR(INDEX(代理店一覧!$B$5:$B$204,MATCH(B319,代理店一覧!$A$5:$A$204,0)),"※未登録のID"))</f>
        <v/>
      </c>
      <c r="D319" s="20"/>
      <c r="E319" s="20"/>
      <c r="F319" s="20"/>
      <c r="G319" s="20"/>
      <c r="H319" s="20"/>
      <c r="I319" s="21"/>
    </row>
    <row r="320" customFormat="false" ht="15" hidden="false" customHeight="false" outlineLevel="0" collapsed="false">
      <c r="A320" s="30"/>
      <c r="B320" s="21"/>
      <c r="C320" s="21" t="str">
        <f aca="false">IF(B320="","",IFERROR(INDEX(代理店一覧!$B$5:$B$204,MATCH(B320,代理店一覧!$A$5:$A$204,0)),"※未登録のID"))</f>
        <v/>
      </c>
      <c r="D320" s="20"/>
      <c r="E320" s="20"/>
      <c r="F320" s="20"/>
      <c r="G320" s="20"/>
      <c r="H320" s="20"/>
      <c r="I320" s="21"/>
    </row>
    <row r="321" customFormat="false" ht="15" hidden="false" customHeight="false" outlineLevel="0" collapsed="false">
      <c r="A321" s="30"/>
      <c r="B321" s="21"/>
      <c r="C321" s="21" t="str">
        <f aca="false">IF(B321="","",IFERROR(INDEX(代理店一覧!$B$5:$B$204,MATCH(B321,代理店一覧!$A$5:$A$204,0)),"※未登録のID"))</f>
        <v/>
      </c>
      <c r="D321" s="20"/>
      <c r="E321" s="20"/>
      <c r="F321" s="20"/>
      <c r="G321" s="20"/>
      <c r="H321" s="20"/>
      <c r="I321" s="21"/>
    </row>
    <row r="322" customFormat="false" ht="15" hidden="false" customHeight="false" outlineLevel="0" collapsed="false">
      <c r="A322" s="30"/>
      <c r="B322" s="21"/>
      <c r="C322" s="21" t="str">
        <f aca="false">IF(B322="","",IFERROR(INDEX(代理店一覧!$B$5:$B$204,MATCH(B322,代理店一覧!$A$5:$A$204,0)),"※未登録のID"))</f>
        <v/>
      </c>
      <c r="D322" s="20"/>
      <c r="E322" s="20"/>
      <c r="F322" s="20"/>
      <c r="G322" s="20"/>
      <c r="H322" s="20"/>
      <c r="I322" s="21"/>
    </row>
    <row r="323" customFormat="false" ht="15" hidden="false" customHeight="false" outlineLevel="0" collapsed="false">
      <c r="A323" s="30"/>
      <c r="B323" s="21"/>
      <c r="C323" s="21" t="str">
        <f aca="false">IF(B323="","",IFERROR(INDEX(代理店一覧!$B$5:$B$204,MATCH(B323,代理店一覧!$A$5:$A$204,0)),"※未登録のID"))</f>
        <v/>
      </c>
      <c r="D323" s="20"/>
      <c r="E323" s="20"/>
      <c r="F323" s="20"/>
      <c r="G323" s="20"/>
      <c r="H323" s="20"/>
      <c r="I323" s="21"/>
    </row>
    <row r="324" customFormat="false" ht="15" hidden="false" customHeight="false" outlineLevel="0" collapsed="false">
      <c r="A324" s="30"/>
      <c r="B324" s="21"/>
      <c r="C324" s="21" t="str">
        <f aca="false">IF(B324="","",IFERROR(INDEX(代理店一覧!$B$5:$B$204,MATCH(B324,代理店一覧!$A$5:$A$204,0)),"※未登録のID"))</f>
        <v/>
      </c>
      <c r="D324" s="20"/>
      <c r="E324" s="20"/>
      <c r="F324" s="20"/>
      <c r="G324" s="20"/>
      <c r="H324" s="20"/>
      <c r="I324" s="21"/>
    </row>
    <row r="325" customFormat="false" ht="15" hidden="false" customHeight="false" outlineLevel="0" collapsed="false">
      <c r="A325" s="30"/>
      <c r="B325" s="21"/>
      <c r="C325" s="21" t="str">
        <f aca="false">IF(B325="","",IFERROR(INDEX(代理店一覧!$B$5:$B$204,MATCH(B325,代理店一覧!$A$5:$A$204,0)),"※未登録のID"))</f>
        <v/>
      </c>
      <c r="D325" s="20"/>
      <c r="E325" s="20"/>
      <c r="F325" s="20"/>
      <c r="G325" s="20"/>
      <c r="H325" s="20"/>
      <c r="I325" s="21"/>
    </row>
    <row r="326" customFormat="false" ht="15" hidden="false" customHeight="false" outlineLevel="0" collapsed="false">
      <c r="A326" s="30"/>
      <c r="B326" s="21"/>
      <c r="C326" s="21" t="str">
        <f aca="false">IF(B326="","",IFERROR(INDEX(代理店一覧!$B$5:$B$204,MATCH(B326,代理店一覧!$A$5:$A$204,0)),"※未登録のID"))</f>
        <v/>
      </c>
      <c r="D326" s="20"/>
      <c r="E326" s="20"/>
      <c r="F326" s="20"/>
      <c r="G326" s="20"/>
      <c r="H326" s="20"/>
      <c r="I326" s="21"/>
    </row>
    <row r="327" customFormat="false" ht="15" hidden="false" customHeight="false" outlineLevel="0" collapsed="false">
      <c r="A327" s="30"/>
      <c r="B327" s="21"/>
      <c r="C327" s="21" t="str">
        <f aca="false">IF(B327="","",IFERROR(INDEX(代理店一覧!$B$5:$B$204,MATCH(B327,代理店一覧!$A$5:$A$204,0)),"※未登録のID"))</f>
        <v/>
      </c>
      <c r="D327" s="20"/>
      <c r="E327" s="20"/>
      <c r="F327" s="20"/>
      <c r="G327" s="20"/>
      <c r="H327" s="20"/>
      <c r="I327" s="21"/>
    </row>
    <row r="328" customFormat="false" ht="15" hidden="false" customHeight="false" outlineLevel="0" collapsed="false">
      <c r="A328" s="30"/>
      <c r="B328" s="21"/>
      <c r="C328" s="21" t="str">
        <f aca="false">IF(B328="","",IFERROR(INDEX(代理店一覧!$B$5:$B$204,MATCH(B328,代理店一覧!$A$5:$A$204,0)),"※未登録のID"))</f>
        <v/>
      </c>
      <c r="D328" s="20"/>
      <c r="E328" s="20"/>
      <c r="F328" s="20"/>
      <c r="G328" s="20"/>
      <c r="H328" s="20"/>
      <c r="I328" s="21"/>
    </row>
    <row r="329" customFormat="false" ht="15" hidden="false" customHeight="false" outlineLevel="0" collapsed="false">
      <c r="A329" s="30"/>
      <c r="B329" s="21"/>
      <c r="C329" s="21" t="str">
        <f aca="false">IF(B329="","",IFERROR(INDEX(代理店一覧!$B$5:$B$204,MATCH(B329,代理店一覧!$A$5:$A$204,0)),"※未登録のID"))</f>
        <v/>
      </c>
      <c r="D329" s="20"/>
      <c r="E329" s="20"/>
      <c r="F329" s="20"/>
      <c r="G329" s="20"/>
      <c r="H329" s="20"/>
      <c r="I329" s="21"/>
    </row>
    <row r="330" customFormat="false" ht="15" hidden="false" customHeight="false" outlineLevel="0" collapsed="false">
      <c r="A330" s="30"/>
      <c r="B330" s="21"/>
      <c r="C330" s="21" t="str">
        <f aca="false">IF(B330="","",IFERROR(INDEX(代理店一覧!$B$5:$B$204,MATCH(B330,代理店一覧!$A$5:$A$204,0)),"※未登録のID"))</f>
        <v/>
      </c>
      <c r="D330" s="20"/>
      <c r="E330" s="20"/>
      <c r="F330" s="20"/>
      <c r="G330" s="20"/>
      <c r="H330" s="20"/>
      <c r="I330" s="21"/>
    </row>
    <row r="331" customFormat="false" ht="15" hidden="false" customHeight="false" outlineLevel="0" collapsed="false">
      <c r="A331" s="30"/>
      <c r="B331" s="21"/>
      <c r="C331" s="21" t="str">
        <f aca="false">IF(B331="","",IFERROR(INDEX(代理店一覧!$B$5:$B$204,MATCH(B331,代理店一覧!$A$5:$A$204,0)),"※未登録のID"))</f>
        <v/>
      </c>
      <c r="D331" s="20"/>
      <c r="E331" s="20"/>
      <c r="F331" s="20"/>
      <c r="G331" s="20"/>
      <c r="H331" s="20"/>
      <c r="I331" s="21"/>
    </row>
    <row r="332" customFormat="false" ht="15" hidden="false" customHeight="false" outlineLevel="0" collapsed="false">
      <c r="A332" s="30"/>
      <c r="B332" s="21"/>
      <c r="C332" s="21" t="str">
        <f aca="false">IF(B332="","",IFERROR(INDEX(代理店一覧!$B$5:$B$204,MATCH(B332,代理店一覧!$A$5:$A$204,0)),"※未登録のID"))</f>
        <v/>
      </c>
      <c r="D332" s="20"/>
      <c r="E332" s="20"/>
      <c r="F332" s="20"/>
      <c r="G332" s="20"/>
      <c r="H332" s="20"/>
      <c r="I332" s="21"/>
    </row>
    <row r="333" customFormat="false" ht="15" hidden="false" customHeight="false" outlineLevel="0" collapsed="false">
      <c r="A333" s="30"/>
      <c r="B333" s="21"/>
      <c r="C333" s="21" t="str">
        <f aca="false">IF(B333="","",IFERROR(INDEX(代理店一覧!$B$5:$B$204,MATCH(B333,代理店一覧!$A$5:$A$204,0)),"※未登録のID"))</f>
        <v/>
      </c>
      <c r="D333" s="20"/>
      <c r="E333" s="20"/>
      <c r="F333" s="20"/>
      <c r="G333" s="20"/>
      <c r="H333" s="20"/>
      <c r="I333" s="21"/>
    </row>
    <row r="334" customFormat="false" ht="15" hidden="false" customHeight="false" outlineLevel="0" collapsed="false">
      <c r="A334" s="30"/>
      <c r="B334" s="21"/>
      <c r="C334" s="21" t="str">
        <f aca="false">IF(B334="","",IFERROR(INDEX(代理店一覧!$B$5:$B$204,MATCH(B334,代理店一覧!$A$5:$A$204,0)),"※未登録のID"))</f>
        <v/>
      </c>
      <c r="D334" s="20"/>
      <c r="E334" s="20"/>
      <c r="F334" s="20"/>
      <c r="G334" s="20"/>
      <c r="H334" s="20"/>
      <c r="I334" s="21"/>
    </row>
    <row r="335" customFormat="false" ht="15" hidden="false" customHeight="false" outlineLevel="0" collapsed="false">
      <c r="A335" s="30"/>
      <c r="B335" s="21"/>
      <c r="C335" s="21" t="str">
        <f aca="false">IF(B335="","",IFERROR(INDEX(代理店一覧!$B$5:$B$204,MATCH(B335,代理店一覧!$A$5:$A$204,0)),"※未登録のID"))</f>
        <v/>
      </c>
      <c r="D335" s="20"/>
      <c r="E335" s="20"/>
      <c r="F335" s="20"/>
      <c r="G335" s="20"/>
      <c r="H335" s="20"/>
      <c r="I335" s="21"/>
    </row>
    <row r="336" customFormat="false" ht="15" hidden="false" customHeight="false" outlineLevel="0" collapsed="false">
      <c r="A336" s="30"/>
      <c r="B336" s="21"/>
      <c r="C336" s="21" t="str">
        <f aca="false">IF(B336="","",IFERROR(INDEX(代理店一覧!$B$5:$B$204,MATCH(B336,代理店一覧!$A$5:$A$204,0)),"※未登録のID"))</f>
        <v/>
      </c>
      <c r="D336" s="20"/>
      <c r="E336" s="20"/>
      <c r="F336" s="20"/>
      <c r="G336" s="20"/>
      <c r="H336" s="20"/>
      <c r="I336" s="21"/>
    </row>
    <row r="337" customFormat="false" ht="15" hidden="false" customHeight="false" outlineLevel="0" collapsed="false">
      <c r="A337" s="30"/>
      <c r="B337" s="21"/>
      <c r="C337" s="21" t="str">
        <f aca="false">IF(B337="","",IFERROR(INDEX(代理店一覧!$B$5:$B$204,MATCH(B337,代理店一覧!$A$5:$A$204,0)),"※未登録のID"))</f>
        <v/>
      </c>
      <c r="D337" s="20"/>
      <c r="E337" s="20"/>
      <c r="F337" s="20"/>
      <c r="G337" s="20"/>
      <c r="H337" s="20"/>
      <c r="I337" s="21"/>
    </row>
    <row r="338" customFormat="false" ht="15" hidden="false" customHeight="false" outlineLevel="0" collapsed="false">
      <c r="A338" s="30"/>
      <c r="B338" s="21"/>
      <c r="C338" s="21" t="str">
        <f aca="false">IF(B338="","",IFERROR(INDEX(代理店一覧!$B$5:$B$204,MATCH(B338,代理店一覧!$A$5:$A$204,0)),"※未登録のID"))</f>
        <v/>
      </c>
      <c r="D338" s="20"/>
      <c r="E338" s="20"/>
      <c r="F338" s="20"/>
      <c r="G338" s="20"/>
      <c r="H338" s="20"/>
      <c r="I338" s="21"/>
    </row>
    <row r="339" customFormat="false" ht="15" hidden="false" customHeight="false" outlineLevel="0" collapsed="false">
      <c r="A339" s="30"/>
      <c r="B339" s="21"/>
      <c r="C339" s="21" t="str">
        <f aca="false">IF(B339="","",IFERROR(INDEX(代理店一覧!$B$5:$B$204,MATCH(B339,代理店一覧!$A$5:$A$204,0)),"※未登録のID"))</f>
        <v/>
      </c>
      <c r="D339" s="20"/>
      <c r="E339" s="20"/>
      <c r="F339" s="20"/>
      <c r="G339" s="20"/>
      <c r="H339" s="20"/>
      <c r="I339" s="21"/>
    </row>
    <row r="340" customFormat="false" ht="15" hidden="false" customHeight="false" outlineLevel="0" collapsed="false">
      <c r="A340" s="30"/>
      <c r="B340" s="21"/>
      <c r="C340" s="21" t="str">
        <f aca="false">IF(B340="","",IFERROR(INDEX(代理店一覧!$B$5:$B$204,MATCH(B340,代理店一覧!$A$5:$A$204,0)),"※未登録のID"))</f>
        <v/>
      </c>
      <c r="D340" s="20"/>
      <c r="E340" s="20"/>
      <c r="F340" s="20"/>
      <c r="G340" s="20"/>
      <c r="H340" s="20"/>
      <c r="I340" s="21"/>
    </row>
    <row r="341" customFormat="false" ht="15" hidden="false" customHeight="false" outlineLevel="0" collapsed="false">
      <c r="A341" s="30"/>
      <c r="B341" s="21"/>
      <c r="C341" s="21" t="str">
        <f aca="false">IF(B341="","",IFERROR(INDEX(代理店一覧!$B$5:$B$204,MATCH(B341,代理店一覧!$A$5:$A$204,0)),"※未登録のID"))</f>
        <v/>
      </c>
      <c r="D341" s="20"/>
      <c r="E341" s="20"/>
      <c r="F341" s="20"/>
      <c r="G341" s="20"/>
      <c r="H341" s="20"/>
      <c r="I341" s="21"/>
    </row>
    <row r="342" customFormat="false" ht="15" hidden="false" customHeight="false" outlineLevel="0" collapsed="false">
      <c r="A342" s="30"/>
      <c r="B342" s="21"/>
      <c r="C342" s="21" t="str">
        <f aca="false">IF(B342="","",IFERROR(INDEX(代理店一覧!$B$5:$B$204,MATCH(B342,代理店一覧!$A$5:$A$204,0)),"※未登録のID"))</f>
        <v/>
      </c>
      <c r="D342" s="20"/>
      <c r="E342" s="20"/>
      <c r="F342" s="20"/>
      <c r="G342" s="20"/>
      <c r="H342" s="20"/>
      <c r="I342" s="21"/>
    </row>
    <row r="343" customFormat="false" ht="15" hidden="false" customHeight="false" outlineLevel="0" collapsed="false">
      <c r="A343" s="30"/>
      <c r="B343" s="21"/>
      <c r="C343" s="21" t="str">
        <f aca="false">IF(B343="","",IFERROR(INDEX(代理店一覧!$B$5:$B$204,MATCH(B343,代理店一覧!$A$5:$A$204,0)),"※未登録のID"))</f>
        <v/>
      </c>
      <c r="D343" s="20"/>
      <c r="E343" s="20"/>
      <c r="F343" s="20"/>
      <c r="G343" s="20"/>
      <c r="H343" s="20"/>
      <c r="I343" s="21"/>
    </row>
    <row r="344" customFormat="false" ht="15" hidden="false" customHeight="false" outlineLevel="0" collapsed="false">
      <c r="A344" s="30"/>
      <c r="B344" s="21"/>
      <c r="C344" s="21" t="str">
        <f aca="false">IF(B344="","",IFERROR(INDEX(代理店一覧!$B$5:$B$204,MATCH(B344,代理店一覧!$A$5:$A$204,0)),"※未登録のID"))</f>
        <v/>
      </c>
      <c r="D344" s="20"/>
      <c r="E344" s="20"/>
      <c r="F344" s="20"/>
      <c r="G344" s="20"/>
      <c r="H344" s="20"/>
      <c r="I344" s="21"/>
    </row>
    <row r="345" customFormat="false" ht="15" hidden="false" customHeight="false" outlineLevel="0" collapsed="false">
      <c r="A345" s="30"/>
      <c r="B345" s="21"/>
      <c r="C345" s="21" t="str">
        <f aca="false">IF(B345="","",IFERROR(INDEX(代理店一覧!$B$5:$B$204,MATCH(B345,代理店一覧!$A$5:$A$204,0)),"※未登録のID"))</f>
        <v/>
      </c>
      <c r="D345" s="20"/>
      <c r="E345" s="20"/>
      <c r="F345" s="20"/>
      <c r="G345" s="20"/>
      <c r="H345" s="20"/>
      <c r="I345" s="21"/>
    </row>
    <row r="346" customFormat="false" ht="15" hidden="false" customHeight="false" outlineLevel="0" collapsed="false">
      <c r="A346" s="30"/>
      <c r="B346" s="21"/>
      <c r="C346" s="21" t="str">
        <f aca="false">IF(B346="","",IFERROR(INDEX(代理店一覧!$B$5:$B$204,MATCH(B346,代理店一覧!$A$5:$A$204,0)),"※未登録のID"))</f>
        <v/>
      </c>
      <c r="D346" s="20"/>
      <c r="E346" s="20"/>
      <c r="F346" s="20"/>
      <c r="G346" s="20"/>
      <c r="H346" s="20"/>
      <c r="I346" s="21"/>
    </row>
    <row r="347" customFormat="false" ht="15" hidden="false" customHeight="false" outlineLevel="0" collapsed="false">
      <c r="A347" s="30"/>
      <c r="B347" s="21"/>
      <c r="C347" s="21" t="str">
        <f aca="false">IF(B347="","",IFERROR(INDEX(代理店一覧!$B$5:$B$204,MATCH(B347,代理店一覧!$A$5:$A$204,0)),"※未登録のID"))</f>
        <v/>
      </c>
      <c r="D347" s="20"/>
      <c r="E347" s="20"/>
      <c r="F347" s="20"/>
      <c r="G347" s="20"/>
      <c r="H347" s="20"/>
      <c r="I347" s="21"/>
    </row>
    <row r="348" customFormat="false" ht="15" hidden="false" customHeight="false" outlineLevel="0" collapsed="false">
      <c r="A348" s="30"/>
      <c r="B348" s="21"/>
      <c r="C348" s="21" t="str">
        <f aca="false">IF(B348="","",IFERROR(INDEX(代理店一覧!$B$5:$B$204,MATCH(B348,代理店一覧!$A$5:$A$204,0)),"※未登録のID"))</f>
        <v/>
      </c>
      <c r="D348" s="20"/>
      <c r="E348" s="20"/>
      <c r="F348" s="20"/>
      <c r="G348" s="20"/>
      <c r="H348" s="20"/>
      <c r="I348" s="21"/>
    </row>
    <row r="349" customFormat="false" ht="15" hidden="false" customHeight="false" outlineLevel="0" collapsed="false">
      <c r="A349" s="30"/>
      <c r="B349" s="21"/>
      <c r="C349" s="21" t="str">
        <f aca="false">IF(B349="","",IFERROR(INDEX(代理店一覧!$B$5:$B$204,MATCH(B349,代理店一覧!$A$5:$A$204,0)),"※未登録のID"))</f>
        <v/>
      </c>
      <c r="D349" s="20"/>
      <c r="E349" s="20"/>
      <c r="F349" s="20"/>
      <c r="G349" s="20"/>
      <c r="H349" s="20"/>
      <c r="I349" s="21"/>
    </row>
    <row r="350" customFormat="false" ht="15" hidden="false" customHeight="false" outlineLevel="0" collapsed="false">
      <c r="A350" s="30"/>
      <c r="B350" s="21"/>
      <c r="C350" s="21" t="str">
        <f aca="false">IF(B350="","",IFERROR(INDEX(代理店一覧!$B$5:$B$204,MATCH(B350,代理店一覧!$A$5:$A$204,0)),"※未登録のID"))</f>
        <v/>
      </c>
      <c r="D350" s="20"/>
      <c r="E350" s="20"/>
      <c r="F350" s="20"/>
      <c r="G350" s="20"/>
      <c r="H350" s="20"/>
      <c r="I350" s="21"/>
    </row>
    <row r="351" customFormat="false" ht="15" hidden="false" customHeight="false" outlineLevel="0" collapsed="false">
      <c r="A351" s="30"/>
      <c r="B351" s="21"/>
      <c r="C351" s="21" t="str">
        <f aca="false">IF(B351="","",IFERROR(INDEX(代理店一覧!$B$5:$B$204,MATCH(B351,代理店一覧!$A$5:$A$204,0)),"※未登録のID"))</f>
        <v/>
      </c>
      <c r="D351" s="20"/>
      <c r="E351" s="20"/>
      <c r="F351" s="20"/>
      <c r="G351" s="20"/>
      <c r="H351" s="20"/>
      <c r="I351" s="21"/>
    </row>
    <row r="352" customFormat="false" ht="15" hidden="false" customHeight="false" outlineLevel="0" collapsed="false">
      <c r="A352" s="30"/>
      <c r="B352" s="21"/>
      <c r="C352" s="21" t="str">
        <f aca="false">IF(B352="","",IFERROR(INDEX(代理店一覧!$B$5:$B$204,MATCH(B352,代理店一覧!$A$5:$A$204,0)),"※未登録のID"))</f>
        <v/>
      </c>
      <c r="D352" s="20"/>
      <c r="E352" s="20"/>
      <c r="F352" s="20"/>
      <c r="G352" s="20"/>
      <c r="H352" s="20"/>
      <c r="I352" s="21"/>
    </row>
    <row r="353" customFormat="false" ht="15" hidden="false" customHeight="false" outlineLevel="0" collapsed="false">
      <c r="A353" s="30"/>
      <c r="B353" s="21"/>
      <c r="C353" s="21" t="str">
        <f aca="false">IF(B353="","",IFERROR(INDEX(代理店一覧!$B$5:$B$204,MATCH(B353,代理店一覧!$A$5:$A$204,0)),"※未登録のID"))</f>
        <v/>
      </c>
      <c r="D353" s="20"/>
      <c r="E353" s="20"/>
      <c r="F353" s="20"/>
      <c r="G353" s="20"/>
      <c r="H353" s="20"/>
      <c r="I353" s="21"/>
    </row>
    <row r="354" customFormat="false" ht="15" hidden="false" customHeight="false" outlineLevel="0" collapsed="false">
      <c r="A354" s="30"/>
      <c r="B354" s="21"/>
      <c r="C354" s="21" t="str">
        <f aca="false">IF(B354="","",IFERROR(INDEX(代理店一覧!$B$5:$B$204,MATCH(B354,代理店一覧!$A$5:$A$204,0)),"※未登録のID"))</f>
        <v/>
      </c>
      <c r="D354" s="20"/>
      <c r="E354" s="20"/>
      <c r="F354" s="20"/>
      <c r="G354" s="20"/>
      <c r="H354" s="20"/>
      <c r="I354" s="21"/>
    </row>
    <row r="355" customFormat="false" ht="15" hidden="false" customHeight="false" outlineLevel="0" collapsed="false">
      <c r="A355" s="30"/>
      <c r="B355" s="21"/>
      <c r="C355" s="21" t="str">
        <f aca="false">IF(B355="","",IFERROR(INDEX(代理店一覧!$B$5:$B$204,MATCH(B355,代理店一覧!$A$5:$A$204,0)),"※未登録のID"))</f>
        <v/>
      </c>
      <c r="D355" s="20"/>
      <c r="E355" s="20"/>
      <c r="F355" s="20"/>
      <c r="G355" s="20"/>
      <c r="H355" s="20"/>
      <c r="I355" s="21"/>
    </row>
    <row r="356" customFormat="false" ht="15" hidden="false" customHeight="false" outlineLevel="0" collapsed="false">
      <c r="A356" s="30"/>
      <c r="B356" s="21"/>
      <c r="C356" s="21" t="str">
        <f aca="false">IF(B356="","",IFERROR(INDEX(代理店一覧!$B$5:$B$204,MATCH(B356,代理店一覧!$A$5:$A$204,0)),"※未登録のID"))</f>
        <v/>
      </c>
      <c r="D356" s="20"/>
      <c r="E356" s="20"/>
      <c r="F356" s="20"/>
      <c r="G356" s="20"/>
      <c r="H356" s="20"/>
      <c r="I356" s="21"/>
    </row>
    <row r="357" customFormat="false" ht="15" hidden="false" customHeight="false" outlineLevel="0" collapsed="false">
      <c r="A357" s="30"/>
      <c r="B357" s="21"/>
      <c r="C357" s="21" t="str">
        <f aca="false">IF(B357="","",IFERROR(INDEX(代理店一覧!$B$5:$B$204,MATCH(B357,代理店一覧!$A$5:$A$204,0)),"※未登録のID"))</f>
        <v/>
      </c>
      <c r="D357" s="20"/>
      <c r="E357" s="20"/>
      <c r="F357" s="20"/>
      <c r="G357" s="20"/>
      <c r="H357" s="20"/>
      <c r="I357" s="21"/>
    </row>
    <row r="358" customFormat="false" ht="15" hidden="false" customHeight="false" outlineLevel="0" collapsed="false">
      <c r="A358" s="30"/>
      <c r="B358" s="21"/>
      <c r="C358" s="21" t="str">
        <f aca="false">IF(B358="","",IFERROR(INDEX(代理店一覧!$B$5:$B$204,MATCH(B358,代理店一覧!$A$5:$A$204,0)),"※未登録のID"))</f>
        <v/>
      </c>
      <c r="D358" s="20"/>
      <c r="E358" s="20"/>
      <c r="F358" s="20"/>
      <c r="G358" s="20"/>
      <c r="H358" s="20"/>
      <c r="I358" s="21"/>
    </row>
    <row r="359" customFormat="false" ht="15" hidden="false" customHeight="false" outlineLevel="0" collapsed="false">
      <c r="A359" s="30"/>
      <c r="B359" s="21"/>
      <c r="C359" s="21" t="str">
        <f aca="false">IF(B359="","",IFERROR(INDEX(代理店一覧!$B$5:$B$204,MATCH(B359,代理店一覧!$A$5:$A$204,0)),"※未登録のID"))</f>
        <v/>
      </c>
      <c r="D359" s="20"/>
      <c r="E359" s="20"/>
      <c r="F359" s="20"/>
      <c r="G359" s="20"/>
      <c r="H359" s="20"/>
      <c r="I359" s="21"/>
    </row>
    <row r="360" customFormat="false" ht="15" hidden="false" customHeight="false" outlineLevel="0" collapsed="false">
      <c r="A360" s="30"/>
      <c r="B360" s="21"/>
      <c r="C360" s="21" t="str">
        <f aca="false">IF(B360="","",IFERROR(INDEX(代理店一覧!$B$5:$B$204,MATCH(B360,代理店一覧!$A$5:$A$204,0)),"※未登録のID"))</f>
        <v/>
      </c>
      <c r="D360" s="20"/>
      <c r="E360" s="20"/>
      <c r="F360" s="20"/>
      <c r="G360" s="20"/>
      <c r="H360" s="20"/>
      <c r="I360" s="21"/>
    </row>
    <row r="361" customFormat="false" ht="15" hidden="false" customHeight="false" outlineLevel="0" collapsed="false">
      <c r="A361" s="30"/>
      <c r="B361" s="21"/>
      <c r="C361" s="21" t="str">
        <f aca="false">IF(B361="","",IFERROR(INDEX(代理店一覧!$B$5:$B$204,MATCH(B361,代理店一覧!$A$5:$A$204,0)),"※未登録のID"))</f>
        <v/>
      </c>
      <c r="D361" s="20"/>
      <c r="E361" s="20"/>
      <c r="F361" s="20"/>
      <c r="G361" s="20"/>
      <c r="H361" s="20"/>
      <c r="I361" s="21"/>
    </row>
    <row r="362" customFormat="false" ht="15" hidden="false" customHeight="false" outlineLevel="0" collapsed="false">
      <c r="A362" s="30"/>
      <c r="B362" s="21"/>
      <c r="C362" s="21" t="str">
        <f aca="false">IF(B362="","",IFERROR(INDEX(代理店一覧!$B$5:$B$204,MATCH(B362,代理店一覧!$A$5:$A$204,0)),"※未登録のID"))</f>
        <v/>
      </c>
      <c r="D362" s="20"/>
      <c r="E362" s="20"/>
      <c r="F362" s="20"/>
      <c r="G362" s="20"/>
      <c r="H362" s="20"/>
      <c r="I362" s="21"/>
    </row>
    <row r="363" customFormat="false" ht="15" hidden="false" customHeight="false" outlineLevel="0" collapsed="false">
      <c r="A363" s="30"/>
      <c r="B363" s="21"/>
      <c r="C363" s="21" t="str">
        <f aca="false">IF(B363="","",IFERROR(INDEX(代理店一覧!$B$5:$B$204,MATCH(B363,代理店一覧!$A$5:$A$204,0)),"※未登録のID"))</f>
        <v/>
      </c>
      <c r="D363" s="20"/>
      <c r="E363" s="20"/>
      <c r="F363" s="20"/>
      <c r="G363" s="20"/>
      <c r="H363" s="20"/>
      <c r="I363" s="21"/>
    </row>
    <row r="364" customFormat="false" ht="15" hidden="false" customHeight="false" outlineLevel="0" collapsed="false">
      <c r="A364" s="30"/>
      <c r="B364" s="21"/>
      <c r="C364" s="21" t="str">
        <f aca="false">IF(B364="","",IFERROR(INDEX(代理店一覧!$B$5:$B$204,MATCH(B364,代理店一覧!$A$5:$A$204,0)),"※未登録のID"))</f>
        <v/>
      </c>
      <c r="D364" s="20"/>
      <c r="E364" s="20"/>
      <c r="F364" s="20"/>
      <c r="G364" s="20"/>
      <c r="H364" s="20"/>
      <c r="I364" s="21"/>
    </row>
    <row r="365" customFormat="false" ht="15" hidden="false" customHeight="false" outlineLevel="0" collapsed="false">
      <c r="A365" s="30"/>
      <c r="B365" s="21"/>
      <c r="C365" s="21" t="str">
        <f aca="false">IF(B365="","",IFERROR(INDEX(代理店一覧!$B$5:$B$204,MATCH(B365,代理店一覧!$A$5:$A$204,0)),"※未登録のID"))</f>
        <v/>
      </c>
      <c r="D365" s="20"/>
      <c r="E365" s="20"/>
      <c r="F365" s="20"/>
      <c r="G365" s="20"/>
      <c r="H365" s="20"/>
      <c r="I365" s="21"/>
    </row>
    <row r="366" customFormat="false" ht="15" hidden="false" customHeight="false" outlineLevel="0" collapsed="false">
      <c r="A366" s="30"/>
      <c r="B366" s="21"/>
      <c r="C366" s="21" t="str">
        <f aca="false">IF(B366="","",IFERROR(INDEX(代理店一覧!$B$5:$B$204,MATCH(B366,代理店一覧!$A$5:$A$204,0)),"※未登録のID"))</f>
        <v/>
      </c>
      <c r="D366" s="20"/>
      <c r="E366" s="20"/>
      <c r="F366" s="20"/>
      <c r="G366" s="20"/>
      <c r="H366" s="20"/>
      <c r="I366" s="21"/>
    </row>
    <row r="367" customFormat="false" ht="15" hidden="false" customHeight="false" outlineLevel="0" collapsed="false">
      <c r="A367" s="30"/>
      <c r="B367" s="21"/>
      <c r="C367" s="21" t="str">
        <f aca="false">IF(B367="","",IFERROR(INDEX(代理店一覧!$B$5:$B$204,MATCH(B367,代理店一覧!$A$5:$A$204,0)),"※未登録のID"))</f>
        <v/>
      </c>
      <c r="D367" s="20"/>
      <c r="E367" s="20"/>
      <c r="F367" s="20"/>
      <c r="G367" s="20"/>
      <c r="H367" s="20"/>
      <c r="I367" s="21"/>
    </row>
    <row r="368" customFormat="false" ht="15" hidden="false" customHeight="false" outlineLevel="0" collapsed="false">
      <c r="A368" s="30"/>
      <c r="B368" s="21"/>
      <c r="C368" s="21" t="str">
        <f aca="false">IF(B368="","",IFERROR(INDEX(代理店一覧!$B$5:$B$204,MATCH(B368,代理店一覧!$A$5:$A$204,0)),"※未登録のID"))</f>
        <v/>
      </c>
      <c r="D368" s="20"/>
      <c r="E368" s="20"/>
      <c r="F368" s="20"/>
      <c r="G368" s="20"/>
      <c r="H368" s="20"/>
      <c r="I368" s="21"/>
    </row>
    <row r="369" customFormat="false" ht="15" hidden="false" customHeight="false" outlineLevel="0" collapsed="false">
      <c r="A369" s="30"/>
      <c r="B369" s="21"/>
      <c r="C369" s="21" t="str">
        <f aca="false">IF(B369="","",IFERROR(INDEX(代理店一覧!$B$5:$B$204,MATCH(B369,代理店一覧!$A$5:$A$204,0)),"※未登録のID"))</f>
        <v/>
      </c>
      <c r="D369" s="20"/>
      <c r="E369" s="20"/>
      <c r="F369" s="20"/>
      <c r="G369" s="20"/>
      <c r="H369" s="20"/>
      <c r="I369" s="21"/>
    </row>
    <row r="370" customFormat="false" ht="15" hidden="false" customHeight="false" outlineLevel="0" collapsed="false">
      <c r="A370" s="30"/>
      <c r="B370" s="21"/>
      <c r="C370" s="21" t="str">
        <f aca="false">IF(B370="","",IFERROR(INDEX(代理店一覧!$B$5:$B$204,MATCH(B370,代理店一覧!$A$5:$A$204,0)),"※未登録のID"))</f>
        <v/>
      </c>
      <c r="D370" s="20"/>
      <c r="E370" s="20"/>
      <c r="F370" s="20"/>
      <c r="G370" s="20"/>
      <c r="H370" s="20"/>
      <c r="I370" s="21"/>
    </row>
    <row r="371" customFormat="false" ht="15" hidden="false" customHeight="false" outlineLevel="0" collapsed="false">
      <c r="A371" s="30"/>
      <c r="B371" s="21"/>
      <c r="C371" s="21" t="str">
        <f aca="false">IF(B371="","",IFERROR(INDEX(代理店一覧!$B$5:$B$204,MATCH(B371,代理店一覧!$A$5:$A$204,0)),"※未登録のID"))</f>
        <v/>
      </c>
      <c r="D371" s="20"/>
      <c r="E371" s="20"/>
      <c r="F371" s="20"/>
      <c r="G371" s="20"/>
      <c r="H371" s="20"/>
      <c r="I371" s="21"/>
    </row>
    <row r="372" customFormat="false" ht="15" hidden="false" customHeight="false" outlineLevel="0" collapsed="false">
      <c r="A372" s="30"/>
      <c r="B372" s="21"/>
      <c r="C372" s="21" t="str">
        <f aca="false">IF(B372="","",IFERROR(INDEX(代理店一覧!$B$5:$B$204,MATCH(B372,代理店一覧!$A$5:$A$204,0)),"※未登録のID"))</f>
        <v/>
      </c>
      <c r="D372" s="20"/>
      <c r="E372" s="20"/>
      <c r="F372" s="20"/>
      <c r="G372" s="20"/>
      <c r="H372" s="20"/>
      <c r="I372" s="21"/>
    </row>
    <row r="373" customFormat="false" ht="15" hidden="false" customHeight="false" outlineLevel="0" collapsed="false">
      <c r="A373" s="30"/>
      <c r="B373" s="21"/>
      <c r="C373" s="21" t="str">
        <f aca="false">IF(B373="","",IFERROR(INDEX(代理店一覧!$B$5:$B$204,MATCH(B373,代理店一覧!$A$5:$A$204,0)),"※未登録のID"))</f>
        <v/>
      </c>
      <c r="D373" s="20"/>
      <c r="E373" s="20"/>
      <c r="F373" s="20"/>
      <c r="G373" s="20"/>
      <c r="H373" s="20"/>
      <c r="I373" s="21"/>
    </row>
    <row r="374" customFormat="false" ht="15" hidden="false" customHeight="false" outlineLevel="0" collapsed="false">
      <c r="A374" s="30"/>
      <c r="B374" s="21"/>
      <c r="C374" s="21" t="str">
        <f aca="false">IF(B374="","",IFERROR(INDEX(代理店一覧!$B$5:$B$204,MATCH(B374,代理店一覧!$A$5:$A$204,0)),"※未登録のID"))</f>
        <v/>
      </c>
      <c r="D374" s="20"/>
      <c r="E374" s="20"/>
      <c r="F374" s="20"/>
      <c r="G374" s="20"/>
      <c r="H374" s="20"/>
      <c r="I374" s="21"/>
    </row>
    <row r="375" customFormat="false" ht="15" hidden="false" customHeight="false" outlineLevel="0" collapsed="false">
      <c r="A375" s="30"/>
      <c r="B375" s="21"/>
      <c r="C375" s="21" t="str">
        <f aca="false">IF(B375="","",IFERROR(INDEX(代理店一覧!$B$5:$B$204,MATCH(B375,代理店一覧!$A$5:$A$204,0)),"※未登録のID"))</f>
        <v/>
      </c>
      <c r="D375" s="20"/>
      <c r="E375" s="20"/>
      <c r="F375" s="20"/>
      <c r="G375" s="20"/>
      <c r="H375" s="20"/>
      <c r="I375" s="21"/>
    </row>
    <row r="376" customFormat="false" ht="15" hidden="false" customHeight="false" outlineLevel="0" collapsed="false">
      <c r="A376" s="30"/>
      <c r="B376" s="21"/>
      <c r="C376" s="21" t="str">
        <f aca="false">IF(B376="","",IFERROR(INDEX(代理店一覧!$B$5:$B$204,MATCH(B376,代理店一覧!$A$5:$A$204,0)),"※未登録のID"))</f>
        <v/>
      </c>
      <c r="D376" s="20"/>
      <c r="E376" s="20"/>
      <c r="F376" s="20"/>
      <c r="G376" s="20"/>
      <c r="H376" s="20"/>
      <c r="I376" s="21"/>
    </row>
    <row r="377" customFormat="false" ht="15" hidden="false" customHeight="false" outlineLevel="0" collapsed="false">
      <c r="A377" s="30"/>
      <c r="B377" s="21"/>
      <c r="C377" s="21" t="str">
        <f aca="false">IF(B377="","",IFERROR(INDEX(代理店一覧!$B$5:$B$204,MATCH(B377,代理店一覧!$A$5:$A$204,0)),"※未登録のID"))</f>
        <v/>
      </c>
      <c r="D377" s="20"/>
      <c r="E377" s="20"/>
      <c r="F377" s="20"/>
      <c r="G377" s="20"/>
      <c r="H377" s="20"/>
      <c r="I377" s="21"/>
    </row>
    <row r="378" customFormat="false" ht="15" hidden="false" customHeight="false" outlineLevel="0" collapsed="false">
      <c r="A378" s="30"/>
      <c r="B378" s="21"/>
      <c r="C378" s="21" t="str">
        <f aca="false">IF(B378="","",IFERROR(INDEX(代理店一覧!$B$5:$B$204,MATCH(B378,代理店一覧!$A$5:$A$204,0)),"※未登録のID"))</f>
        <v/>
      </c>
      <c r="D378" s="20"/>
      <c r="E378" s="20"/>
      <c r="F378" s="20"/>
      <c r="G378" s="20"/>
      <c r="H378" s="20"/>
      <c r="I378" s="21"/>
    </row>
    <row r="379" customFormat="false" ht="15" hidden="false" customHeight="false" outlineLevel="0" collapsed="false">
      <c r="A379" s="30"/>
      <c r="B379" s="21"/>
      <c r="C379" s="21" t="str">
        <f aca="false">IF(B379="","",IFERROR(INDEX(代理店一覧!$B$5:$B$204,MATCH(B379,代理店一覧!$A$5:$A$204,0)),"※未登録のID"))</f>
        <v/>
      </c>
      <c r="D379" s="20"/>
      <c r="E379" s="20"/>
      <c r="F379" s="20"/>
      <c r="G379" s="20"/>
      <c r="H379" s="20"/>
      <c r="I379" s="21"/>
    </row>
    <row r="380" customFormat="false" ht="15" hidden="false" customHeight="false" outlineLevel="0" collapsed="false">
      <c r="A380" s="30"/>
      <c r="B380" s="21"/>
      <c r="C380" s="21" t="str">
        <f aca="false">IF(B380="","",IFERROR(INDEX(代理店一覧!$B$5:$B$204,MATCH(B380,代理店一覧!$A$5:$A$204,0)),"※未登録のID"))</f>
        <v/>
      </c>
      <c r="D380" s="20"/>
      <c r="E380" s="20"/>
      <c r="F380" s="20"/>
      <c r="G380" s="20"/>
      <c r="H380" s="20"/>
      <c r="I380" s="21"/>
    </row>
    <row r="381" customFormat="false" ht="15" hidden="false" customHeight="false" outlineLevel="0" collapsed="false">
      <c r="A381" s="30"/>
      <c r="B381" s="21"/>
      <c r="C381" s="21" t="str">
        <f aca="false">IF(B381="","",IFERROR(INDEX(代理店一覧!$B$5:$B$204,MATCH(B381,代理店一覧!$A$5:$A$204,0)),"※未登録のID"))</f>
        <v/>
      </c>
      <c r="D381" s="20"/>
      <c r="E381" s="20"/>
      <c r="F381" s="20"/>
      <c r="G381" s="20"/>
      <c r="H381" s="20"/>
      <c r="I381" s="21"/>
    </row>
    <row r="382" customFormat="false" ht="15" hidden="false" customHeight="false" outlineLevel="0" collapsed="false">
      <c r="A382" s="30"/>
      <c r="B382" s="21"/>
      <c r="C382" s="21" t="str">
        <f aca="false">IF(B382="","",IFERROR(INDEX(代理店一覧!$B$5:$B$204,MATCH(B382,代理店一覧!$A$5:$A$204,0)),"※未登録のID"))</f>
        <v/>
      </c>
      <c r="D382" s="20"/>
      <c r="E382" s="20"/>
      <c r="F382" s="20"/>
      <c r="G382" s="20"/>
      <c r="H382" s="20"/>
      <c r="I382" s="21"/>
    </row>
    <row r="383" customFormat="false" ht="15" hidden="false" customHeight="false" outlineLevel="0" collapsed="false">
      <c r="A383" s="30"/>
      <c r="B383" s="21"/>
      <c r="C383" s="21" t="str">
        <f aca="false">IF(B383="","",IFERROR(INDEX(代理店一覧!$B$5:$B$204,MATCH(B383,代理店一覧!$A$5:$A$204,0)),"※未登録のID"))</f>
        <v/>
      </c>
      <c r="D383" s="20"/>
      <c r="E383" s="20"/>
      <c r="F383" s="20"/>
      <c r="G383" s="20"/>
      <c r="H383" s="20"/>
      <c r="I383" s="21"/>
    </row>
    <row r="384" customFormat="false" ht="15" hidden="false" customHeight="false" outlineLevel="0" collapsed="false">
      <c r="A384" s="30"/>
      <c r="B384" s="21"/>
      <c r="C384" s="21" t="str">
        <f aca="false">IF(B384="","",IFERROR(INDEX(代理店一覧!$B$5:$B$204,MATCH(B384,代理店一覧!$A$5:$A$204,0)),"※未登録のID"))</f>
        <v/>
      </c>
      <c r="D384" s="20"/>
      <c r="E384" s="20"/>
      <c r="F384" s="20"/>
      <c r="G384" s="20"/>
      <c r="H384" s="20"/>
      <c r="I384" s="21"/>
    </row>
    <row r="385" customFormat="false" ht="15" hidden="false" customHeight="false" outlineLevel="0" collapsed="false">
      <c r="A385" s="30"/>
      <c r="B385" s="21"/>
      <c r="C385" s="21" t="str">
        <f aca="false">IF(B385="","",IFERROR(INDEX(代理店一覧!$B$5:$B$204,MATCH(B385,代理店一覧!$A$5:$A$204,0)),"※未登録のID"))</f>
        <v/>
      </c>
      <c r="D385" s="20"/>
      <c r="E385" s="20"/>
      <c r="F385" s="20"/>
      <c r="G385" s="20"/>
      <c r="H385" s="20"/>
      <c r="I385" s="21"/>
    </row>
    <row r="386" customFormat="false" ht="15" hidden="false" customHeight="false" outlineLevel="0" collapsed="false">
      <c r="A386" s="30"/>
      <c r="B386" s="21"/>
      <c r="C386" s="21" t="str">
        <f aca="false">IF(B386="","",IFERROR(INDEX(代理店一覧!$B$5:$B$204,MATCH(B386,代理店一覧!$A$5:$A$204,0)),"※未登録のID"))</f>
        <v/>
      </c>
      <c r="D386" s="20"/>
      <c r="E386" s="20"/>
      <c r="F386" s="20"/>
      <c r="G386" s="20"/>
      <c r="H386" s="20"/>
      <c r="I386" s="21"/>
    </row>
    <row r="387" customFormat="false" ht="15" hidden="false" customHeight="false" outlineLevel="0" collapsed="false">
      <c r="A387" s="30"/>
      <c r="B387" s="21"/>
      <c r="C387" s="21" t="str">
        <f aca="false">IF(B387="","",IFERROR(INDEX(代理店一覧!$B$5:$B$204,MATCH(B387,代理店一覧!$A$5:$A$204,0)),"※未登録のID"))</f>
        <v/>
      </c>
      <c r="D387" s="20"/>
      <c r="E387" s="20"/>
      <c r="F387" s="20"/>
      <c r="G387" s="20"/>
      <c r="H387" s="20"/>
      <c r="I387" s="21"/>
    </row>
    <row r="388" customFormat="false" ht="15" hidden="false" customHeight="false" outlineLevel="0" collapsed="false">
      <c r="A388" s="30"/>
      <c r="B388" s="21"/>
      <c r="C388" s="21" t="str">
        <f aca="false">IF(B388="","",IFERROR(INDEX(代理店一覧!$B$5:$B$204,MATCH(B388,代理店一覧!$A$5:$A$204,0)),"※未登録のID"))</f>
        <v/>
      </c>
      <c r="D388" s="20"/>
      <c r="E388" s="20"/>
      <c r="F388" s="20"/>
      <c r="G388" s="20"/>
      <c r="H388" s="20"/>
      <c r="I388" s="21"/>
    </row>
    <row r="389" customFormat="false" ht="15" hidden="false" customHeight="false" outlineLevel="0" collapsed="false">
      <c r="A389" s="30"/>
      <c r="B389" s="21"/>
      <c r="C389" s="21" t="str">
        <f aca="false">IF(B389="","",IFERROR(INDEX(代理店一覧!$B$5:$B$204,MATCH(B389,代理店一覧!$A$5:$A$204,0)),"※未登録のID"))</f>
        <v/>
      </c>
      <c r="D389" s="20"/>
      <c r="E389" s="20"/>
      <c r="F389" s="20"/>
      <c r="G389" s="20"/>
      <c r="H389" s="20"/>
      <c r="I389" s="21"/>
    </row>
    <row r="390" customFormat="false" ht="15" hidden="false" customHeight="false" outlineLevel="0" collapsed="false">
      <c r="A390" s="30"/>
      <c r="B390" s="21"/>
      <c r="C390" s="21" t="str">
        <f aca="false">IF(B390="","",IFERROR(INDEX(代理店一覧!$B$5:$B$204,MATCH(B390,代理店一覧!$A$5:$A$204,0)),"※未登録のID"))</f>
        <v/>
      </c>
      <c r="D390" s="20"/>
      <c r="E390" s="20"/>
      <c r="F390" s="20"/>
      <c r="G390" s="20"/>
      <c r="H390" s="20"/>
      <c r="I390" s="21"/>
    </row>
    <row r="391" customFormat="false" ht="15" hidden="false" customHeight="false" outlineLevel="0" collapsed="false">
      <c r="A391" s="30"/>
      <c r="B391" s="21"/>
      <c r="C391" s="21" t="str">
        <f aca="false">IF(B391="","",IFERROR(INDEX(代理店一覧!$B$5:$B$204,MATCH(B391,代理店一覧!$A$5:$A$204,0)),"※未登録のID"))</f>
        <v/>
      </c>
      <c r="D391" s="20"/>
      <c r="E391" s="20"/>
      <c r="F391" s="20"/>
      <c r="G391" s="20"/>
      <c r="H391" s="20"/>
      <c r="I391" s="21"/>
    </row>
    <row r="392" customFormat="false" ht="15" hidden="false" customHeight="false" outlineLevel="0" collapsed="false">
      <c r="A392" s="30"/>
      <c r="B392" s="21"/>
      <c r="C392" s="21" t="str">
        <f aca="false">IF(B392="","",IFERROR(INDEX(代理店一覧!$B$5:$B$204,MATCH(B392,代理店一覧!$A$5:$A$204,0)),"※未登録のID"))</f>
        <v/>
      </c>
      <c r="D392" s="20"/>
      <c r="E392" s="20"/>
      <c r="F392" s="20"/>
      <c r="G392" s="20"/>
      <c r="H392" s="20"/>
      <c r="I392" s="21"/>
    </row>
    <row r="393" customFormat="false" ht="15" hidden="false" customHeight="false" outlineLevel="0" collapsed="false">
      <c r="A393" s="30"/>
      <c r="B393" s="21"/>
      <c r="C393" s="21" t="str">
        <f aca="false">IF(B393="","",IFERROR(INDEX(代理店一覧!$B$5:$B$204,MATCH(B393,代理店一覧!$A$5:$A$204,0)),"※未登録のID"))</f>
        <v/>
      </c>
      <c r="D393" s="20"/>
      <c r="E393" s="20"/>
      <c r="F393" s="20"/>
      <c r="G393" s="20"/>
      <c r="H393" s="20"/>
      <c r="I393" s="21"/>
    </row>
    <row r="394" customFormat="false" ht="15" hidden="false" customHeight="false" outlineLevel="0" collapsed="false">
      <c r="A394" s="30"/>
      <c r="B394" s="21"/>
      <c r="C394" s="21" t="str">
        <f aca="false">IF(B394="","",IFERROR(INDEX(代理店一覧!$B$5:$B$204,MATCH(B394,代理店一覧!$A$5:$A$204,0)),"※未登録のID"))</f>
        <v/>
      </c>
      <c r="D394" s="20"/>
      <c r="E394" s="20"/>
      <c r="F394" s="20"/>
      <c r="G394" s="20"/>
      <c r="H394" s="20"/>
      <c r="I394" s="21"/>
    </row>
    <row r="395" customFormat="false" ht="15" hidden="false" customHeight="false" outlineLevel="0" collapsed="false">
      <c r="A395" s="30"/>
      <c r="B395" s="21"/>
      <c r="C395" s="21" t="str">
        <f aca="false">IF(B395="","",IFERROR(INDEX(代理店一覧!$B$5:$B$204,MATCH(B395,代理店一覧!$A$5:$A$204,0)),"※未登録のID"))</f>
        <v/>
      </c>
      <c r="D395" s="20"/>
      <c r="E395" s="20"/>
      <c r="F395" s="20"/>
      <c r="G395" s="20"/>
      <c r="H395" s="20"/>
      <c r="I395" s="21"/>
    </row>
    <row r="396" customFormat="false" ht="15" hidden="false" customHeight="false" outlineLevel="0" collapsed="false">
      <c r="A396" s="30"/>
      <c r="B396" s="21"/>
      <c r="C396" s="21" t="str">
        <f aca="false">IF(B396="","",IFERROR(INDEX(代理店一覧!$B$5:$B$204,MATCH(B396,代理店一覧!$A$5:$A$204,0)),"※未登録のID"))</f>
        <v/>
      </c>
      <c r="D396" s="20"/>
      <c r="E396" s="20"/>
      <c r="F396" s="20"/>
      <c r="G396" s="20"/>
      <c r="H396" s="20"/>
      <c r="I396" s="21"/>
    </row>
    <row r="397" customFormat="false" ht="15" hidden="false" customHeight="false" outlineLevel="0" collapsed="false">
      <c r="A397" s="30"/>
      <c r="B397" s="21"/>
      <c r="C397" s="21" t="str">
        <f aca="false">IF(B397="","",IFERROR(INDEX(代理店一覧!$B$5:$B$204,MATCH(B397,代理店一覧!$A$5:$A$204,0)),"※未登録のID"))</f>
        <v/>
      </c>
      <c r="D397" s="20"/>
      <c r="E397" s="20"/>
      <c r="F397" s="20"/>
      <c r="G397" s="20"/>
      <c r="H397" s="20"/>
      <c r="I397" s="21"/>
    </row>
    <row r="398" customFormat="false" ht="15" hidden="false" customHeight="false" outlineLevel="0" collapsed="false">
      <c r="A398" s="30"/>
      <c r="B398" s="21"/>
      <c r="C398" s="21" t="str">
        <f aca="false">IF(B398="","",IFERROR(INDEX(代理店一覧!$B$5:$B$204,MATCH(B398,代理店一覧!$A$5:$A$204,0)),"※未登録のID"))</f>
        <v/>
      </c>
      <c r="D398" s="20"/>
      <c r="E398" s="20"/>
      <c r="F398" s="20"/>
      <c r="G398" s="20"/>
      <c r="H398" s="20"/>
      <c r="I398" s="21"/>
    </row>
    <row r="399" customFormat="false" ht="15" hidden="false" customHeight="false" outlineLevel="0" collapsed="false">
      <c r="A399" s="30"/>
      <c r="B399" s="21"/>
      <c r="C399" s="21" t="str">
        <f aca="false">IF(B399="","",IFERROR(INDEX(代理店一覧!$B$5:$B$204,MATCH(B399,代理店一覧!$A$5:$A$204,0)),"※未登録のID"))</f>
        <v/>
      </c>
      <c r="D399" s="20"/>
      <c r="E399" s="20"/>
      <c r="F399" s="20"/>
      <c r="G399" s="20"/>
      <c r="H399" s="20"/>
      <c r="I399" s="21"/>
    </row>
    <row r="400" customFormat="false" ht="15" hidden="false" customHeight="false" outlineLevel="0" collapsed="false">
      <c r="A400" s="30"/>
      <c r="B400" s="21"/>
      <c r="C400" s="21" t="str">
        <f aca="false">IF(B400="","",IFERROR(INDEX(代理店一覧!$B$5:$B$204,MATCH(B400,代理店一覧!$A$5:$A$204,0)),"※未登録のID"))</f>
        <v/>
      </c>
      <c r="D400" s="20"/>
      <c r="E400" s="20"/>
      <c r="F400" s="20"/>
      <c r="G400" s="20"/>
      <c r="H400" s="20"/>
      <c r="I400" s="21"/>
    </row>
    <row r="401" customFormat="false" ht="15" hidden="false" customHeight="false" outlineLevel="0" collapsed="false">
      <c r="A401" s="30"/>
      <c r="B401" s="21"/>
      <c r="C401" s="21" t="str">
        <f aca="false">IF(B401="","",IFERROR(INDEX(代理店一覧!$B$5:$B$204,MATCH(B401,代理店一覧!$A$5:$A$204,0)),"※未登録のID"))</f>
        <v/>
      </c>
      <c r="D401" s="20"/>
      <c r="E401" s="20"/>
      <c r="F401" s="20"/>
      <c r="G401" s="20"/>
      <c r="H401" s="20"/>
      <c r="I401" s="21"/>
    </row>
    <row r="402" customFormat="false" ht="15" hidden="false" customHeight="false" outlineLevel="0" collapsed="false">
      <c r="A402" s="30"/>
      <c r="B402" s="21"/>
      <c r="C402" s="21" t="str">
        <f aca="false">IF(B402="","",IFERROR(INDEX(代理店一覧!$B$5:$B$204,MATCH(B402,代理店一覧!$A$5:$A$204,0)),"※未登録のID"))</f>
        <v/>
      </c>
      <c r="D402" s="20"/>
      <c r="E402" s="20"/>
      <c r="F402" s="20"/>
      <c r="G402" s="20"/>
      <c r="H402" s="20"/>
      <c r="I402" s="21"/>
    </row>
    <row r="403" customFormat="false" ht="15" hidden="false" customHeight="false" outlineLevel="0" collapsed="false">
      <c r="A403" s="30"/>
      <c r="B403" s="21"/>
      <c r="C403" s="21" t="str">
        <f aca="false">IF(B403="","",IFERROR(INDEX(代理店一覧!$B$5:$B$204,MATCH(B403,代理店一覧!$A$5:$A$204,0)),"※未登録のID"))</f>
        <v/>
      </c>
      <c r="D403" s="20"/>
      <c r="E403" s="20"/>
      <c r="F403" s="20"/>
      <c r="G403" s="20"/>
      <c r="H403" s="20"/>
      <c r="I403" s="21"/>
    </row>
    <row r="404" customFormat="false" ht="15" hidden="false" customHeight="false" outlineLevel="0" collapsed="false">
      <c r="A404" s="30"/>
      <c r="B404" s="21"/>
      <c r="C404" s="21" t="str">
        <f aca="false">IF(B404="","",IFERROR(INDEX(代理店一覧!$B$5:$B$204,MATCH(B404,代理店一覧!$A$5:$A$204,0)),"※未登録のID"))</f>
        <v/>
      </c>
      <c r="D404" s="20"/>
      <c r="E404" s="20"/>
      <c r="F404" s="20"/>
      <c r="G404" s="20"/>
      <c r="H404" s="20"/>
      <c r="I404" s="21"/>
    </row>
    <row r="405" customFormat="false" ht="15" hidden="false" customHeight="false" outlineLevel="0" collapsed="false">
      <c r="A405" s="30"/>
      <c r="B405" s="21"/>
      <c r="C405" s="21" t="str">
        <f aca="false">IF(B405="","",IFERROR(INDEX(代理店一覧!$B$5:$B$204,MATCH(B405,代理店一覧!$A$5:$A$204,0)),"※未登録のID"))</f>
        <v/>
      </c>
      <c r="D405" s="20"/>
      <c r="E405" s="20"/>
      <c r="F405" s="20"/>
      <c r="G405" s="20"/>
      <c r="H405" s="20"/>
      <c r="I405" s="21"/>
    </row>
    <row r="406" customFormat="false" ht="15" hidden="false" customHeight="false" outlineLevel="0" collapsed="false">
      <c r="A406" s="30"/>
      <c r="B406" s="21"/>
      <c r="C406" s="21" t="str">
        <f aca="false">IF(B406="","",IFERROR(INDEX(代理店一覧!$B$5:$B$204,MATCH(B406,代理店一覧!$A$5:$A$204,0)),"※未登録のID"))</f>
        <v/>
      </c>
      <c r="D406" s="20"/>
      <c r="E406" s="20"/>
      <c r="F406" s="20"/>
      <c r="G406" s="20"/>
      <c r="H406" s="20"/>
      <c r="I406" s="21"/>
    </row>
    <row r="407" customFormat="false" ht="15" hidden="false" customHeight="false" outlineLevel="0" collapsed="false">
      <c r="A407" s="30"/>
      <c r="B407" s="21"/>
      <c r="C407" s="21" t="str">
        <f aca="false">IF(B407="","",IFERROR(INDEX(代理店一覧!$B$5:$B$204,MATCH(B407,代理店一覧!$A$5:$A$204,0)),"※未登録のID"))</f>
        <v/>
      </c>
      <c r="D407" s="20"/>
      <c r="E407" s="20"/>
      <c r="F407" s="20"/>
      <c r="G407" s="20"/>
      <c r="H407" s="20"/>
      <c r="I407" s="21"/>
    </row>
    <row r="408" customFormat="false" ht="15" hidden="false" customHeight="false" outlineLevel="0" collapsed="false">
      <c r="A408" s="30"/>
      <c r="B408" s="21"/>
      <c r="C408" s="21" t="str">
        <f aca="false">IF(B408="","",IFERROR(INDEX(代理店一覧!$B$5:$B$204,MATCH(B408,代理店一覧!$A$5:$A$204,0)),"※未登録のID"))</f>
        <v/>
      </c>
      <c r="D408" s="20"/>
      <c r="E408" s="20"/>
      <c r="F408" s="20"/>
      <c r="G408" s="20"/>
      <c r="H408" s="20"/>
      <c r="I408" s="21"/>
    </row>
    <row r="409" customFormat="false" ht="15" hidden="false" customHeight="false" outlineLevel="0" collapsed="false">
      <c r="A409" s="30"/>
      <c r="B409" s="21"/>
      <c r="C409" s="21" t="str">
        <f aca="false">IF(B409="","",IFERROR(INDEX(代理店一覧!$B$5:$B$204,MATCH(B409,代理店一覧!$A$5:$A$204,0)),"※未登録のID"))</f>
        <v/>
      </c>
      <c r="D409" s="20"/>
      <c r="E409" s="20"/>
      <c r="F409" s="20"/>
      <c r="G409" s="20"/>
      <c r="H409" s="20"/>
      <c r="I409" s="21"/>
    </row>
    <row r="410" customFormat="false" ht="15" hidden="false" customHeight="false" outlineLevel="0" collapsed="false">
      <c r="A410" s="30"/>
      <c r="B410" s="21"/>
      <c r="C410" s="21" t="str">
        <f aca="false">IF(B410="","",IFERROR(INDEX(代理店一覧!$B$5:$B$204,MATCH(B410,代理店一覧!$A$5:$A$204,0)),"※未登録のID"))</f>
        <v/>
      </c>
      <c r="D410" s="20"/>
      <c r="E410" s="20"/>
      <c r="F410" s="20"/>
      <c r="G410" s="20"/>
      <c r="H410" s="20"/>
      <c r="I410" s="21"/>
    </row>
    <row r="411" customFormat="false" ht="15" hidden="false" customHeight="false" outlineLevel="0" collapsed="false">
      <c r="A411" s="30"/>
      <c r="B411" s="21"/>
      <c r="C411" s="21" t="str">
        <f aca="false">IF(B411="","",IFERROR(INDEX(代理店一覧!$B$5:$B$204,MATCH(B411,代理店一覧!$A$5:$A$204,0)),"※未登録のID"))</f>
        <v/>
      </c>
      <c r="D411" s="20"/>
      <c r="E411" s="20"/>
      <c r="F411" s="20"/>
      <c r="G411" s="20"/>
      <c r="H411" s="20"/>
      <c r="I411" s="21"/>
    </row>
    <row r="412" customFormat="false" ht="15" hidden="false" customHeight="false" outlineLevel="0" collapsed="false">
      <c r="A412" s="30"/>
      <c r="B412" s="21"/>
      <c r="C412" s="21" t="str">
        <f aca="false">IF(B412="","",IFERROR(INDEX(代理店一覧!$B$5:$B$204,MATCH(B412,代理店一覧!$A$5:$A$204,0)),"※未登録のID"))</f>
        <v/>
      </c>
      <c r="D412" s="20"/>
      <c r="E412" s="20"/>
      <c r="F412" s="20"/>
      <c r="G412" s="20"/>
      <c r="H412" s="20"/>
      <c r="I412" s="21"/>
    </row>
    <row r="413" customFormat="false" ht="15" hidden="false" customHeight="false" outlineLevel="0" collapsed="false">
      <c r="A413" s="30"/>
      <c r="B413" s="21"/>
      <c r="C413" s="21" t="str">
        <f aca="false">IF(B413="","",IFERROR(INDEX(代理店一覧!$B$5:$B$204,MATCH(B413,代理店一覧!$A$5:$A$204,0)),"※未登録のID"))</f>
        <v/>
      </c>
      <c r="D413" s="20"/>
      <c r="E413" s="20"/>
      <c r="F413" s="20"/>
      <c r="G413" s="20"/>
      <c r="H413" s="20"/>
      <c r="I413" s="21"/>
    </row>
    <row r="414" customFormat="false" ht="15" hidden="false" customHeight="false" outlineLevel="0" collapsed="false">
      <c r="A414" s="30"/>
      <c r="B414" s="21"/>
      <c r="C414" s="21" t="str">
        <f aca="false">IF(B414="","",IFERROR(INDEX(代理店一覧!$B$5:$B$204,MATCH(B414,代理店一覧!$A$5:$A$204,0)),"※未登録のID"))</f>
        <v/>
      </c>
      <c r="D414" s="20"/>
      <c r="E414" s="20"/>
      <c r="F414" s="20"/>
      <c r="G414" s="20"/>
      <c r="H414" s="20"/>
      <c r="I414" s="21"/>
    </row>
    <row r="415" customFormat="false" ht="15" hidden="false" customHeight="false" outlineLevel="0" collapsed="false">
      <c r="A415" s="30"/>
      <c r="B415" s="21"/>
      <c r="C415" s="21" t="str">
        <f aca="false">IF(B415="","",IFERROR(INDEX(代理店一覧!$B$5:$B$204,MATCH(B415,代理店一覧!$A$5:$A$204,0)),"※未登録のID"))</f>
        <v/>
      </c>
      <c r="D415" s="20"/>
      <c r="E415" s="20"/>
      <c r="F415" s="20"/>
      <c r="G415" s="20"/>
      <c r="H415" s="20"/>
      <c r="I415" s="21"/>
    </row>
    <row r="416" customFormat="false" ht="15" hidden="false" customHeight="false" outlineLevel="0" collapsed="false">
      <c r="A416" s="30"/>
      <c r="B416" s="21"/>
      <c r="C416" s="21" t="str">
        <f aca="false">IF(B416="","",IFERROR(INDEX(代理店一覧!$B$5:$B$204,MATCH(B416,代理店一覧!$A$5:$A$204,0)),"※未登録のID"))</f>
        <v/>
      </c>
      <c r="D416" s="20"/>
      <c r="E416" s="20"/>
      <c r="F416" s="20"/>
      <c r="G416" s="20"/>
      <c r="H416" s="20"/>
      <c r="I416" s="21"/>
    </row>
    <row r="417" customFormat="false" ht="15" hidden="false" customHeight="false" outlineLevel="0" collapsed="false">
      <c r="A417" s="30"/>
      <c r="B417" s="21"/>
      <c r="C417" s="21" t="str">
        <f aca="false">IF(B417="","",IFERROR(INDEX(代理店一覧!$B$5:$B$204,MATCH(B417,代理店一覧!$A$5:$A$204,0)),"※未登録のID"))</f>
        <v/>
      </c>
      <c r="D417" s="20"/>
      <c r="E417" s="20"/>
      <c r="F417" s="20"/>
      <c r="G417" s="20"/>
      <c r="H417" s="20"/>
      <c r="I417" s="21"/>
    </row>
    <row r="418" customFormat="false" ht="15" hidden="false" customHeight="false" outlineLevel="0" collapsed="false">
      <c r="A418" s="30"/>
      <c r="B418" s="21"/>
      <c r="C418" s="21" t="str">
        <f aca="false">IF(B418="","",IFERROR(INDEX(代理店一覧!$B$5:$B$204,MATCH(B418,代理店一覧!$A$5:$A$204,0)),"※未登録のID"))</f>
        <v/>
      </c>
      <c r="D418" s="20"/>
      <c r="E418" s="20"/>
      <c r="F418" s="20"/>
      <c r="G418" s="20"/>
      <c r="H418" s="20"/>
      <c r="I418" s="21"/>
    </row>
    <row r="419" customFormat="false" ht="15" hidden="false" customHeight="false" outlineLevel="0" collapsed="false">
      <c r="A419" s="30"/>
      <c r="B419" s="21"/>
      <c r="C419" s="21" t="str">
        <f aca="false">IF(B419="","",IFERROR(INDEX(代理店一覧!$B$5:$B$204,MATCH(B419,代理店一覧!$A$5:$A$204,0)),"※未登録のID"))</f>
        <v/>
      </c>
      <c r="D419" s="20"/>
      <c r="E419" s="20"/>
      <c r="F419" s="20"/>
      <c r="G419" s="20"/>
      <c r="H419" s="20"/>
      <c r="I419" s="21"/>
    </row>
    <row r="420" customFormat="false" ht="15" hidden="false" customHeight="false" outlineLevel="0" collapsed="false">
      <c r="A420" s="30"/>
      <c r="B420" s="21"/>
      <c r="C420" s="21" t="str">
        <f aca="false">IF(B420="","",IFERROR(INDEX(代理店一覧!$B$5:$B$204,MATCH(B420,代理店一覧!$A$5:$A$204,0)),"※未登録のID"))</f>
        <v/>
      </c>
      <c r="D420" s="20"/>
      <c r="E420" s="20"/>
      <c r="F420" s="20"/>
      <c r="G420" s="20"/>
      <c r="H420" s="20"/>
      <c r="I420" s="21"/>
    </row>
    <row r="421" customFormat="false" ht="15" hidden="false" customHeight="false" outlineLevel="0" collapsed="false">
      <c r="A421" s="30"/>
      <c r="B421" s="21"/>
      <c r="C421" s="21" t="str">
        <f aca="false">IF(B421="","",IFERROR(INDEX(代理店一覧!$B$5:$B$204,MATCH(B421,代理店一覧!$A$5:$A$204,0)),"※未登録のID"))</f>
        <v/>
      </c>
      <c r="D421" s="20"/>
      <c r="E421" s="20"/>
      <c r="F421" s="20"/>
      <c r="G421" s="20"/>
      <c r="H421" s="20"/>
      <c r="I421" s="21"/>
    </row>
    <row r="422" customFormat="false" ht="15" hidden="false" customHeight="false" outlineLevel="0" collapsed="false">
      <c r="A422" s="30"/>
      <c r="B422" s="21"/>
      <c r="C422" s="21" t="str">
        <f aca="false">IF(B422="","",IFERROR(INDEX(代理店一覧!$B$5:$B$204,MATCH(B422,代理店一覧!$A$5:$A$204,0)),"※未登録のID"))</f>
        <v/>
      </c>
      <c r="D422" s="20"/>
      <c r="E422" s="20"/>
      <c r="F422" s="20"/>
      <c r="G422" s="20"/>
      <c r="H422" s="20"/>
      <c r="I422" s="21"/>
    </row>
    <row r="423" customFormat="false" ht="15" hidden="false" customHeight="false" outlineLevel="0" collapsed="false">
      <c r="A423" s="30"/>
      <c r="B423" s="21"/>
      <c r="C423" s="21" t="str">
        <f aca="false">IF(B423="","",IFERROR(INDEX(代理店一覧!$B$5:$B$204,MATCH(B423,代理店一覧!$A$5:$A$204,0)),"※未登録のID"))</f>
        <v/>
      </c>
      <c r="D423" s="20"/>
      <c r="E423" s="20"/>
      <c r="F423" s="20"/>
      <c r="G423" s="20"/>
      <c r="H423" s="20"/>
      <c r="I423" s="21"/>
    </row>
    <row r="424" customFormat="false" ht="15" hidden="false" customHeight="false" outlineLevel="0" collapsed="false">
      <c r="A424" s="30"/>
      <c r="B424" s="21"/>
      <c r="C424" s="21" t="str">
        <f aca="false">IF(B424="","",IFERROR(INDEX(代理店一覧!$B$5:$B$204,MATCH(B424,代理店一覧!$A$5:$A$204,0)),"※未登録のID"))</f>
        <v/>
      </c>
      <c r="D424" s="20"/>
      <c r="E424" s="20"/>
      <c r="F424" s="20"/>
      <c r="G424" s="20"/>
      <c r="H424" s="20"/>
      <c r="I424" s="21"/>
    </row>
    <row r="425" customFormat="false" ht="15" hidden="false" customHeight="false" outlineLevel="0" collapsed="false">
      <c r="A425" s="30"/>
      <c r="B425" s="21"/>
      <c r="C425" s="21" t="str">
        <f aca="false">IF(B425="","",IFERROR(INDEX(代理店一覧!$B$5:$B$204,MATCH(B425,代理店一覧!$A$5:$A$204,0)),"※未登録のID"))</f>
        <v/>
      </c>
      <c r="D425" s="20"/>
      <c r="E425" s="20"/>
      <c r="F425" s="20"/>
      <c r="G425" s="20"/>
      <c r="H425" s="20"/>
      <c r="I425" s="21"/>
    </row>
    <row r="426" customFormat="false" ht="15" hidden="false" customHeight="false" outlineLevel="0" collapsed="false">
      <c r="A426" s="30"/>
      <c r="B426" s="21"/>
      <c r="C426" s="21" t="str">
        <f aca="false">IF(B426="","",IFERROR(INDEX(代理店一覧!$B$5:$B$204,MATCH(B426,代理店一覧!$A$5:$A$204,0)),"※未登録のID"))</f>
        <v/>
      </c>
      <c r="D426" s="20"/>
      <c r="E426" s="20"/>
      <c r="F426" s="20"/>
      <c r="G426" s="20"/>
      <c r="H426" s="20"/>
      <c r="I426" s="21"/>
    </row>
    <row r="427" customFormat="false" ht="15" hidden="false" customHeight="false" outlineLevel="0" collapsed="false">
      <c r="A427" s="30"/>
      <c r="B427" s="21"/>
      <c r="C427" s="21" t="str">
        <f aca="false">IF(B427="","",IFERROR(INDEX(代理店一覧!$B$5:$B$204,MATCH(B427,代理店一覧!$A$5:$A$204,0)),"※未登録のID"))</f>
        <v/>
      </c>
      <c r="D427" s="20"/>
      <c r="E427" s="20"/>
      <c r="F427" s="20"/>
      <c r="G427" s="20"/>
      <c r="H427" s="20"/>
      <c r="I427" s="21"/>
    </row>
    <row r="428" customFormat="false" ht="15" hidden="false" customHeight="false" outlineLevel="0" collapsed="false">
      <c r="A428" s="30"/>
      <c r="B428" s="21"/>
      <c r="C428" s="21" t="str">
        <f aca="false">IF(B428="","",IFERROR(INDEX(代理店一覧!$B$5:$B$204,MATCH(B428,代理店一覧!$A$5:$A$204,0)),"※未登録のID"))</f>
        <v/>
      </c>
      <c r="D428" s="20"/>
      <c r="E428" s="20"/>
      <c r="F428" s="20"/>
      <c r="G428" s="20"/>
      <c r="H428" s="20"/>
      <c r="I428" s="21"/>
    </row>
    <row r="429" customFormat="false" ht="15" hidden="false" customHeight="false" outlineLevel="0" collapsed="false">
      <c r="A429" s="30"/>
      <c r="B429" s="21"/>
      <c r="C429" s="21" t="str">
        <f aca="false">IF(B429="","",IFERROR(INDEX(代理店一覧!$B$5:$B$204,MATCH(B429,代理店一覧!$A$5:$A$204,0)),"※未登録のID"))</f>
        <v/>
      </c>
      <c r="D429" s="20"/>
      <c r="E429" s="20"/>
      <c r="F429" s="20"/>
      <c r="G429" s="20"/>
      <c r="H429" s="20"/>
      <c r="I429" s="21"/>
    </row>
    <row r="430" customFormat="false" ht="15" hidden="false" customHeight="false" outlineLevel="0" collapsed="false">
      <c r="A430" s="30"/>
      <c r="B430" s="21"/>
      <c r="C430" s="21" t="str">
        <f aca="false">IF(B430="","",IFERROR(INDEX(代理店一覧!$B$5:$B$204,MATCH(B430,代理店一覧!$A$5:$A$204,0)),"※未登録のID"))</f>
        <v/>
      </c>
      <c r="D430" s="20"/>
      <c r="E430" s="20"/>
      <c r="F430" s="20"/>
      <c r="G430" s="20"/>
      <c r="H430" s="20"/>
      <c r="I430" s="21"/>
    </row>
    <row r="431" customFormat="false" ht="15" hidden="false" customHeight="false" outlineLevel="0" collapsed="false">
      <c r="A431" s="30"/>
      <c r="B431" s="21"/>
      <c r="C431" s="21" t="str">
        <f aca="false">IF(B431="","",IFERROR(INDEX(代理店一覧!$B$5:$B$204,MATCH(B431,代理店一覧!$A$5:$A$204,0)),"※未登録のID"))</f>
        <v/>
      </c>
      <c r="D431" s="20"/>
      <c r="E431" s="20"/>
      <c r="F431" s="20"/>
      <c r="G431" s="20"/>
      <c r="H431" s="20"/>
      <c r="I431" s="21"/>
    </row>
    <row r="432" customFormat="false" ht="15" hidden="false" customHeight="false" outlineLevel="0" collapsed="false">
      <c r="A432" s="30"/>
      <c r="B432" s="21"/>
      <c r="C432" s="21" t="str">
        <f aca="false">IF(B432="","",IFERROR(INDEX(代理店一覧!$B$5:$B$204,MATCH(B432,代理店一覧!$A$5:$A$204,0)),"※未登録のID"))</f>
        <v/>
      </c>
      <c r="D432" s="20"/>
      <c r="E432" s="20"/>
      <c r="F432" s="20"/>
      <c r="G432" s="20"/>
      <c r="H432" s="20"/>
      <c r="I432" s="21"/>
    </row>
    <row r="433" customFormat="false" ht="15" hidden="false" customHeight="false" outlineLevel="0" collapsed="false">
      <c r="A433" s="30"/>
      <c r="B433" s="21"/>
      <c r="C433" s="21" t="str">
        <f aca="false">IF(B433="","",IFERROR(INDEX(代理店一覧!$B$5:$B$204,MATCH(B433,代理店一覧!$A$5:$A$204,0)),"※未登録のID"))</f>
        <v/>
      </c>
      <c r="D433" s="20"/>
      <c r="E433" s="20"/>
      <c r="F433" s="20"/>
      <c r="G433" s="20"/>
      <c r="H433" s="20"/>
      <c r="I433" s="21"/>
    </row>
    <row r="434" customFormat="false" ht="15" hidden="false" customHeight="false" outlineLevel="0" collapsed="false">
      <c r="A434" s="30"/>
      <c r="B434" s="21"/>
      <c r="C434" s="21" t="str">
        <f aca="false">IF(B434="","",IFERROR(INDEX(代理店一覧!$B$5:$B$204,MATCH(B434,代理店一覧!$A$5:$A$204,0)),"※未登録のID"))</f>
        <v/>
      </c>
      <c r="D434" s="20"/>
      <c r="E434" s="20"/>
      <c r="F434" s="20"/>
      <c r="G434" s="20"/>
      <c r="H434" s="20"/>
      <c r="I434" s="21"/>
    </row>
    <row r="435" customFormat="false" ht="15" hidden="false" customHeight="false" outlineLevel="0" collapsed="false">
      <c r="A435" s="30"/>
      <c r="B435" s="21"/>
      <c r="C435" s="21" t="str">
        <f aca="false">IF(B435="","",IFERROR(INDEX(代理店一覧!$B$5:$B$204,MATCH(B435,代理店一覧!$A$5:$A$204,0)),"※未登録のID"))</f>
        <v/>
      </c>
      <c r="D435" s="20"/>
      <c r="E435" s="20"/>
      <c r="F435" s="20"/>
      <c r="G435" s="20"/>
      <c r="H435" s="20"/>
      <c r="I435" s="21"/>
    </row>
    <row r="436" customFormat="false" ht="15" hidden="false" customHeight="false" outlineLevel="0" collapsed="false">
      <c r="A436" s="30"/>
      <c r="B436" s="21"/>
      <c r="C436" s="21" t="str">
        <f aca="false">IF(B436="","",IFERROR(INDEX(代理店一覧!$B$5:$B$204,MATCH(B436,代理店一覧!$A$5:$A$204,0)),"※未登録のID"))</f>
        <v/>
      </c>
      <c r="D436" s="20"/>
      <c r="E436" s="20"/>
      <c r="F436" s="20"/>
      <c r="G436" s="20"/>
      <c r="H436" s="20"/>
      <c r="I436" s="21"/>
    </row>
    <row r="437" customFormat="false" ht="15" hidden="false" customHeight="false" outlineLevel="0" collapsed="false">
      <c r="A437" s="30"/>
      <c r="B437" s="21"/>
      <c r="C437" s="21" t="str">
        <f aca="false">IF(B437="","",IFERROR(INDEX(代理店一覧!$B$5:$B$204,MATCH(B437,代理店一覧!$A$5:$A$204,0)),"※未登録のID"))</f>
        <v/>
      </c>
      <c r="D437" s="20"/>
      <c r="E437" s="20"/>
      <c r="F437" s="20"/>
      <c r="G437" s="20"/>
      <c r="H437" s="20"/>
      <c r="I437" s="21"/>
    </row>
    <row r="438" customFormat="false" ht="15" hidden="false" customHeight="false" outlineLevel="0" collapsed="false">
      <c r="A438" s="30"/>
      <c r="B438" s="21"/>
      <c r="C438" s="21" t="str">
        <f aca="false">IF(B438="","",IFERROR(INDEX(代理店一覧!$B$5:$B$204,MATCH(B438,代理店一覧!$A$5:$A$204,0)),"※未登録のID"))</f>
        <v/>
      </c>
      <c r="D438" s="20"/>
      <c r="E438" s="20"/>
      <c r="F438" s="20"/>
      <c r="G438" s="20"/>
      <c r="H438" s="20"/>
      <c r="I438" s="21"/>
    </row>
    <row r="439" customFormat="false" ht="15" hidden="false" customHeight="false" outlineLevel="0" collapsed="false">
      <c r="A439" s="30"/>
      <c r="B439" s="21"/>
      <c r="C439" s="21" t="str">
        <f aca="false">IF(B439="","",IFERROR(INDEX(代理店一覧!$B$5:$B$204,MATCH(B439,代理店一覧!$A$5:$A$204,0)),"※未登録のID"))</f>
        <v/>
      </c>
      <c r="D439" s="20"/>
      <c r="E439" s="20"/>
      <c r="F439" s="20"/>
      <c r="G439" s="20"/>
      <c r="H439" s="20"/>
      <c r="I439" s="21"/>
    </row>
    <row r="440" customFormat="false" ht="15" hidden="false" customHeight="false" outlineLevel="0" collapsed="false">
      <c r="A440" s="30"/>
      <c r="B440" s="21"/>
      <c r="C440" s="21" t="str">
        <f aca="false">IF(B440="","",IFERROR(INDEX(代理店一覧!$B$5:$B$204,MATCH(B440,代理店一覧!$A$5:$A$204,0)),"※未登録のID"))</f>
        <v/>
      </c>
      <c r="D440" s="20"/>
      <c r="E440" s="20"/>
      <c r="F440" s="20"/>
      <c r="G440" s="20"/>
      <c r="H440" s="20"/>
      <c r="I440" s="21"/>
    </row>
    <row r="441" customFormat="false" ht="15" hidden="false" customHeight="false" outlineLevel="0" collapsed="false">
      <c r="A441" s="30"/>
      <c r="B441" s="21"/>
      <c r="C441" s="21" t="str">
        <f aca="false">IF(B441="","",IFERROR(INDEX(代理店一覧!$B$5:$B$204,MATCH(B441,代理店一覧!$A$5:$A$204,0)),"※未登録のID"))</f>
        <v/>
      </c>
      <c r="D441" s="20"/>
      <c r="E441" s="20"/>
      <c r="F441" s="20"/>
      <c r="G441" s="20"/>
      <c r="H441" s="20"/>
      <c r="I441" s="21"/>
    </row>
    <row r="442" customFormat="false" ht="15" hidden="false" customHeight="false" outlineLevel="0" collapsed="false">
      <c r="A442" s="30"/>
      <c r="B442" s="21"/>
      <c r="C442" s="21" t="str">
        <f aca="false">IF(B442="","",IFERROR(INDEX(代理店一覧!$B$5:$B$204,MATCH(B442,代理店一覧!$A$5:$A$204,0)),"※未登録のID"))</f>
        <v/>
      </c>
      <c r="D442" s="20"/>
      <c r="E442" s="20"/>
      <c r="F442" s="20"/>
      <c r="G442" s="20"/>
      <c r="H442" s="20"/>
      <c r="I442" s="21"/>
    </row>
    <row r="443" customFormat="false" ht="15" hidden="false" customHeight="false" outlineLevel="0" collapsed="false">
      <c r="A443" s="30"/>
      <c r="B443" s="21"/>
      <c r="C443" s="21" t="str">
        <f aca="false">IF(B443="","",IFERROR(INDEX(代理店一覧!$B$5:$B$204,MATCH(B443,代理店一覧!$A$5:$A$204,0)),"※未登録のID"))</f>
        <v/>
      </c>
      <c r="D443" s="20"/>
      <c r="E443" s="20"/>
      <c r="F443" s="20"/>
      <c r="G443" s="20"/>
      <c r="H443" s="20"/>
      <c r="I443" s="21"/>
    </row>
    <row r="444" customFormat="false" ht="15" hidden="false" customHeight="false" outlineLevel="0" collapsed="false">
      <c r="A444" s="30"/>
      <c r="B444" s="21"/>
      <c r="C444" s="21" t="str">
        <f aca="false">IF(B444="","",IFERROR(INDEX(代理店一覧!$B$5:$B$204,MATCH(B444,代理店一覧!$A$5:$A$204,0)),"※未登録のID"))</f>
        <v/>
      </c>
      <c r="D444" s="20"/>
      <c r="E444" s="20"/>
      <c r="F444" s="20"/>
      <c r="G444" s="20"/>
      <c r="H444" s="20"/>
      <c r="I444" s="21"/>
    </row>
    <row r="445" customFormat="false" ht="15" hidden="false" customHeight="false" outlineLevel="0" collapsed="false">
      <c r="A445" s="30"/>
      <c r="B445" s="21"/>
      <c r="C445" s="21" t="str">
        <f aca="false">IF(B445="","",IFERROR(INDEX(代理店一覧!$B$5:$B$204,MATCH(B445,代理店一覧!$A$5:$A$204,0)),"※未登録のID"))</f>
        <v/>
      </c>
      <c r="D445" s="20"/>
      <c r="E445" s="20"/>
      <c r="F445" s="20"/>
      <c r="G445" s="20"/>
      <c r="H445" s="20"/>
      <c r="I445" s="21"/>
    </row>
    <row r="446" customFormat="false" ht="15" hidden="false" customHeight="false" outlineLevel="0" collapsed="false">
      <c r="A446" s="30"/>
      <c r="B446" s="21"/>
      <c r="C446" s="21" t="str">
        <f aca="false">IF(B446="","",IFERROR(INDEX(代理店一覧!$B$5:$B$204,MATCH(B446,代理店一覧!$A$5:$A$204,0)),"※未登録のID"))</f>
        <v/>
      </c>
      <c r="D446" s="20"/>
      <c r="E446" s="20"/>
      <c r="F446" s="20"/>
      <c r="G446" s="20"/>
      <c r="H446" s="20"/>
      <c r="I446" s="21"/>
    </row>
    <row r="447" customFormat="false" ht="15" hidden="false" customHeight="false" outlineLevel="0" collapsed="false">
      <c r="A447" s="30"/>
      <c r="B447" s="21"/>
      <c r="C447" s="21" t="str">
        <f aca="false">IF(B447="","",IFERROR(INDEX(代理店一覧!$B$5:$B$204,MATCH(B447,代理店一覧!$A$5:$A$204,0)),"※未登録のID"))</f>
        <v/>
      </c>
      <c r="D447" s="20"/>
      <c r="E447" s="20"/>
      <c r="F447" s="20"/>
      <c r="G447" s="20"/>
      <c r="H447" s="20"/>
      <c r="I447" s="21"/>
    </row>
    <row r="448" customFormat="false" ht="15" hidden="false" customHeight="false" outlineLevel="0" collapsed="false">
      <c r="A448" s="30"/>
      <c r="B448" s="21"/>
      <c r="C448" s="21" t="str">
        <f aca="false">IF(B448="","",IFERROR(INDEX(代理店一覧!$B$5:$B$204,MATCH(B448,代理店一覧!$A$5:$A$204,0)),"※未登録のID"))</f>
        <v/>
      </c>
      <c r="D448" s="20"/>
      <c r="E448" s="20"/>
      <c r="F448" s="20"/>
      <c r="G448" s="20"/>
      <c r="H448" s="20"/>
      <c r="I448" s="21"/>
    </row>
    <row r="449" customFormat="false" ht="15" hidden="false" customHeight="false" outlineLevel="0" collapsed="false">
      <c r="A449" s="30"/>
      <c r="B449" s="21"/>
      <c r="C449" s="21" t="str">
        <f aca="false">IF(B449="","",IFERROR(INDEX(代理店一覧!$B$5:$B$204,MATCH(B449,代理店一覧!$A$5:$A$204,0)),"※未登録のID"))</f>
        <v/>
      </c>
      <c r="D449" s="20"/>
      <c r="E449" s="20"/>
      <c r="F449" s="20"/>
      <c r="G449" s="20"/>
      <c r="H449" s="20"/>
      <c r="I449" s="21"/>
    </row>
    <row r="450" customFormat="false" ht="15" hidden="false" customHeight="false" outlineLevel="0" collapsed="false">
      <c r="A450" s="30"/>
      <c r="B450" s="21"/>
      <c r="C450" s="21" t="str">
        <f aca="false">IF(B450="","",IFERROR(INDEX(代理店一覧!$B$5:$B$204,MATCH(B450,代理店一覧!$A$5:$A$204,0)),"※未登録のID"))</f>
        <v/>
      </c>
      <c r="D450" s="20"/>
      <c r="E450" s="20"/>
      <c r="F450" s="20"/>
      <c r="G450" s="20"/>
      <c r="H450" s="20"/>
      <c r="I450" s="21"/>
    </row>
    <row r="451" customFormat="false" ht="15" hidden="false" customHeight="false" outlineLevel="0" collapsed="false">
      <c r="A451" s="30"/>
      <c r="B451" s="21"/>
      <c r="C451" s="21" t="str">
        <f aca="false">IF(B451="","",IFERROR(INDEX(代理店一覧!$B$5:$B$204,MATCH(B451,代理店一覧!$A$5:$A$204,0)),"※未登録のID"))</f>
        <v/>
      </c>
      <c r="D451" s="20"/>
      <c r="E451" s="20"/>
      <c r="F451" s="20"/>
      <c r="G451" s="20"/>
      <c r="H451" s="20"/>
      <c r="I451" s="21"/>
    </row>
    <row r="452" customFormat="false" ht="15" hidden="false" customHeight="false" outlineLevel="0" collapsed="false">
      <c r="A452" s="30"/>
      <c r="B452" s="21"/>
      <c r="C452" s="21" t="str">
        <f aca="false">IF(B452="","",IFERROR(INDEX(代理店一覧!$B$5:$B$204,MATCH(B452,代理店一覧!$A$5:$A$204,0)),"※未登録のID"))</f>
        <v/>
      </c>
      <c r="D452" s="20"/>
      <c r="E452" s="20"/>
      <c r="F452" s="20"/>
      <c r="G452" s="20"/>
      <c r="H452" s="20"/>
      <c r="I452" s="21"/>
    </row>
    <row r="453" customFormat="false" ht="15" hidden="false" customHeight="false" outlineLevel="0" collapsed="false">
      <c r="A453" s="30"/>
      <c r="B453" s="21"/>
      <c r="C453" s="21" t="str">
        <f aca="false">IF(B453="","",IFERROR(INDEX(代理店一覧!$B$5:$B$204,MATCH(B453,代理店一覧!$A$5:$A$204,0)),"※未登録のID"))</f>
        <v/>
      </c>
      <c r="D453" s="20"/>
      <c r="E453" s="20"/>
      <c r="F453" s="20"/>
      <c r="G453" s="20"/>
      <c r="H453" s="20"/>
      <c r="I453" s="21"/>
    </row>
    <row r="454" customFormat="false" ht="15" hidden="false" customHeight="false" outlineLevel="0" collapsed="false">
      <c r="A454" s="30"/>
      <c r="B454" s="21"/>
      <c r="C454" s="21" t="str">
        <f aca="false">IF(B454="","",IFERROR(INDEX(代理店一覧!$B$5:$B$204,MATCH(B454,代理店一覧!$A$5:$A$204,0)),"※未登録のID"))</f>
        <v/>
      </c>
      <c r="D454" s="20"/>
      <c r="E454" s="20"/>
      <c r="F454" s="20"/>
      <c r="G454" s="20"/>
      <c r="H454" s="20"/>
      <c r="I454" s="21"/>
    </row>
    <row r="455" customFormat="false" ht="15" hidden="false" customHeight="false" outlineLevel="0" collapsed="false">
      <c r="A455" s="30"/>
      <c r="B455" s="21"/>
      <c r="C455" s="21" t="str">
        <f aca="false">IF(B455="","",IFERROR(INDEX(代理店一覧!$B$5:$B$204,MATCH(B455,代理店一覧!$A$5:$A$204,0)),"※未登録のID"))</f>
        <v/>
      </c>
      <c r="D455" s="20"/>
      <c r="E455" s="20"/>
      <c r="F455" s="20"/>
      <c r="G455" s="20"/>
      <c r="H455" s="20"/>
      <c r="I455" s="21"/>
    </row>
    <row r="456" customFormat="false" ht="15" hidden="false" customHeight="false" outlineLevel="0" collapsed="false">
      <c r="A456" s="30"/>
      <c r="B456" s="21"/>
      <c r="C456" s="21" t="str">
        <f aca="false">IF(B456="","",IFERROR(INDEX(代理店一覧!$B$5:$B$204,MATCH(B456,代理店一覧!$A$5:$A$204,0)),"※未登録のID"))</f>
        <v/>
      </c>
      <c r="D456" s="20"/>
      <c r="E456" s="20"/>
      <c r="F456" s="20"/>
      <c r="G456" s="20"/>
      <c r="H456" s="20"/>
      <c r="I456" s="21"/>
    </row>
    <row r="457" customFormat="false" ht="15" hidden="false" customHeight="false" outlineLevel="0" collapsed="false">
      <c r="A457" s="30"/>
      <c r="B457" s="21"/>
      <c r="C457" s="21" t="str">
        <f aca="false">IF(B457="","",IFERROR(INDEX(代理店一覧!$B$5:$B$204,MATCH(B457,代理店一覧!$A$5:$A$204,0)),"※未登録のID"))</f>
        <v/>
      </c>
      <c r="D457" s="20"/>
      <c r="E457" s="20"/>
      <c r="F457" s="20"/>
      <c r="G457" s="20"/>
      <c r="H457" s="20"/>
      <c r="I457" s="21"/>
    </row>
    <row r="458" customFormat="false" ht="15" hidden="false" customHeight="false" outlineLevel="0" collapsed="false">
      <c r="A458" s="30"/>
      <c r="B458" s="21"/>
      <c r="C458" s="21" t="str">
        <f aca="false">IF(B458="","",IFERROR(INDEX(代理店一覧!$B$5:$B$204,MATCH(B458,代理店一覧!$A$5:$A$204,0)),"※未登録のID"))</f>
        <v/>
      </c>
      <c r="D458" s="20"/>
      <c r="E458" s="20"/>
      <c r="F458" s="20"/>
      <c r="G458" s="20"/>
      <c r="H458" s="20"/>
      <c r="I458" s="21"/>
    </row>
    <row r="459" customFormat="false" ht="15" hidden="false" customHeight="false" outlineLevel="0" collapsed="false">
      <c r="A459" s="30"/>
      <c r="B459" s="21"/>
      <c r="C459" s="21" t="str">
        <f aca="false">IF(B459="","",IFERROR(INDEX(代理店一覧!$B$5:$B$204,MATCH(B459,代理店一覧!$A$5:$A$204,0)),"※未登録のID"))</f>
        <v/>
      </c>
      <c r="D459" s="20"/>
      <c r="E459" s="20"/>
      <c r="F459" s="20"/>
      <c r="G459" s="20"/>
      <c r="H459" s="20"/>
      <c r="I459" s="21"/>
    </row>
    <row r="460" customFormat="false" ht="15" hidden="false" customHeight="false" outlineLevel="0" collapsed="false">
      <c r="A460" s="30"/>
      <c r="B460" s="21"/>
      <c r="C460" s="21" t="str">
        <f aca="false">IF(B460="","",IFERROR(INDEX(代理店一覧!$B$5:$B$204,MATCH(B460,代理店一覧!$A$5:$A$204,0)),"※未登録のID"))</f>
        <v/>
      </c>
      <c r="D460" s="20"/>
      <c r="E460" s="20"/>
      <c r="F460" s="20"/>
      <c r="G460" s="20"/>
      <c r="H460" s="20"/>
      <c r="I460" s="21"/>
    </row>
    <row r="461" customFormat="false" ht="15" hidden="false" customHeight="false" outlineLevel="0" collapsed="false">
      <c r="A461" s="30"/>
      <c r="B461" s="21"/>
      <c r="C461" s="21" t="str">
        <f aca="false">IF(B461="","",IFERROR(INDEX(代理店一覧!$B$5:$B$204,MATCH(B461,代理店一覧!$A$5:$A$204,0)),"※未登録のID"))</f>
        <v/>
      </c>
      <c r="D461" s="20"/>
      <c r="E461" s="20"/>
      <c r="F461" s="20"/>
      <c r="G461" s="20"/>
      <c r="H461" s="20"/>
      <c r="I461" s="21"/>
    </row>
    <row r="462" customFormat="false" ht="15" hidden="false" customHeight="false" outlineLevel="0" collapsed="false">
      <c r="A462" s="30"/>
      <c r="B462" s="21"/>
      <c r="C462" s="21" t="str">
        <f aca="false">IF(B462="","",IFERROR(INDEX(代理店一覧!$B$5:$B$204,MATCH(B462,代理店一覧!$A$5:$A$204,0)),"※未登録のID"))</f>
        <v/>
      </c>
      <c r="D462" s="20"/>
      <c r="E462" s="20"/>
      <c r="F462" s="20"/>
      <c r="G462" s="20"/>
      <c r="H462" s="20"/>
      <c r="I462" s="21"/>
    </row>
    <row r="463" customFormat="false" ht="15" hidden="false" customHeight="false" outlineLevel="0" collapsed="false">
      <c r="A463" s="30"/>
      <c r="B463" s="21"/>
      <c r="C463" s="21" t="str">
        <f aca="false">IF(B463="","",IFERROR(INDEX(代理店一覧!$B$5:$B$204,MATCH(B463,代理店一覧!$A$5:$A$204,0)),"※未登録のID"))</f>
        <v/>
      </c>
      <c r="D463" s="20"/>
      <c r="E463" s="20"/>
      <c r="F463" s="20"/>
      <c r="G463" s="20"/>
      <c r="H463" s="20"/>
      <c r="I463" s="21"/>
    </row>
    <row r="464" customFormat="false" ht="15" hidden="false" customHeight="false" outlineLevel="0" collapsed="false">
      <c r="A464" s="30"/>
      <c r="B464" s="21"/>
      <c r="C464" s="21" t="str">
        <f aca="false">IF(B464="","",IFERROR(INDEX(代理店一覧!$B$5:$B$204,MATCH(B464,代理店一覧!$A$5:$A$204,0)),"※未登録のID"))</f>
        <v/>
      </c>
      <c r="D464" s="20"/>
      <c r="E464" s="20"/>
      <c r="F464" s="20"/>
      <c r="G464" s="20"/>
      <c r="H464" s="20"/>
      <c r="I464" s="21"/>
    </row>
    <row r="465" customFormat="false" ht="15" hidden="false" customHeight="false" outlineLevel="0" collapsed="false">
      <c r="A465" s="30"/>
      <c r="B465" s="21"/>
      <c r="C465" s="21" t="str">
        <f aca="false">IF(B465="","",IFERROR(INDEX(代理店一覧!$B$5:$B$204,MATCH(B465,代理店一覧!$A$5:$A$204,0)),"※未登録のID"))</f>
        <v/>
      </c>
      <c r="D465" s="20"/>
      <c r="E465" s="20"/>
      <c r="F465" s="20"/>
      <c r="G465" s="20"/>
      <c r="H465" s="20"/>
      <c r="I465" s="21"/>
    </row>
    <row r="466" customFormat="false" ht="15" hidden="false" customHeight="false" outlineLevel="0" collapsed="false">
      <c r="A466" s="30"/>
      <c r="B466" s="21"/>
      <c r="C466" s="21" t="str">
        <f aca="false">IF(B466="","",IFERROR(INDEX(代理店一覧!$B$5:$B$204,MATCH(B466,代理店一覧!$A$5:$A$204,0)),"※未登録のID"))</f>
        <v/>
      </c>
      <c r="D466" s="20"/>
      <c r="E466" s="20"/>
      <c r="F466" s="20"/>
      <c r="G466" s="20"/>
      <c r="H466" s="20"/>
      <c r="I466" s="21"/>
    </row>
    <row r="467" customFormat="false" ht="15" hidden="false" customHeight="false" outlineLevel="0" collapsed="false">
      <c r="A467" s="30"/>
      <c r="B467" s="21"/>
      <c r="C467" s="21" t="str">
        <f aca="false">IF(B467="","",IFERROR(INDEX(代理店一覧!$B$5:$B$204,MATCH(B467,代理店一覧!$A$5:$A$204,0)),"※未登録のID"))</f>
        <v/>
      </c>
      <c r="D467" s="20"/>
      <c r="E467" s="20"/>
      <c r="F467" s="20"/>
      <c r="G467" s="20"/>
      <c r="H467" s="20"/>
      <c r="I467" s="21"/>
    </row>
    <row r="468" customFormat="false" ht="15" hidden="false" customHeight="false" outlineLevel="0" collapsed="false">
      <c r="A468" s="30"/>
      <c r="B468" s="21"/>
      <c r="C468" s="21" t="str">
        <f aca="false">IF(B468="","",IFERROR(INDEX(代理店一覧!$B$5:$B$204,MATCH(B468,代理店一覧!$A$5:$A$204,0)),"※未登録のID"))</f>
        <v/>
      </c>
      <c r="D468" s="20"/>
      <c r="E468" s="20"/>
      <c r="F468" s="20"/>
      <c r="G468" s="20"/>
      <c r="H468" s="20"/>
      <c r="I468" s="21"/>
    </row>
    <row r="469" customFormat="false" ht="15" hidden="false" customHeight="false" outlineLevel="0" collapsed="false">
      <c r="A469" s="30"/>
      <c r="B469" s="21"/>
      <c r="C469" s="21" t="str">
        <f aca="false">IF(B469="","",IFERROR(INDEX(代理店一覧!$B$5:$B$204,MATCH(B469,代理店一覧!$A$5:$A$204,0)),"※未登録のID"))</f>
        <v/>
      </c>
      <c r="D469" s="20"/>
      <c r="E469" s="20"/>
      <c r="F469" s="20"/>
      <c r="G469" s="20"/>
      <c r="H469" s="20"/>
      <c r="I469" s="21"/>
    </row>
    <row r="470" customFormat="false" ht="15" hidden="false" customHeight="false" outlineLevel="0" collapsed="false">
      <c r="A470" s="30"/>
      <c r="B470" s="21"/>
      <c r="C470" s="21" t="str">
        <f aca="false">IF(B470="","",IFERROR(INDEX(代理店一覧!$B$5:$B$204,MATCH(B470,代理店一覧!$A$5:$A$204,0)),"※未登録のID"))</f>
        <v/>
      </c>
      <c r="D470" s="20"/>
      <c r="E470" s="20"/>
      <c r="F470" s="20"/>
      <c r="G470" s="20"/>
      <c r="H470" s="20"/>
      <c r="I470" s="21"/>
    </row>
    <row r="471" customFormat="false" ht="15" hidden="false" customHeight="false" outlineLevel="0" collapsed="false">
      <c r="A471" s="30"/>
      <c r="B471" s="21"/>
      <c r="C471" s="21" t="str">
        <f aca="false">IF(B471="","",IFERROR(INDEX(代理店一覧!$B$5:$B$204,MATCH(B471,代理店一覧!$A$5:$A$204,0)),"※未登録のID"))</f>
        <v/>
      </c>
      <c r="D471" s="20"/>
      <c r="E471" s="20"/>
      <c r="F471" s="20"/>
      <c r="G471" s="20"/>
      <c r="H471" s="20"/>
      <c r="I471" s="21"/>
    </row>
    <row r="472" customFormat="false" ht="15" hidden="false" customHeight="false" outlineLevel="0" collapsed="false">
      <c r="A472" s="30"/>
      <c r="B472" s="21"/>
      <c r="C472" s="21" t="str">
        <f aca="false">IF(B472="","",IFERROR(INDEX(代理店一覧!$B$5:$B$204,MATCH(B472,代理店一覧!$A$5:$A$204,0)),"※未登録のID"))</f>
        <v/>
      </c>
      <c r="D472" s="20"/>
      <c r="E472" s="20"/>
      <c r="F472" s="20"/>
      <c r="G472" s="20"/>
      <c r="H472" s="20"/>
      <c r="I472" s="21"/>
    </row>
    <row r="473" customFormat="false" ht="15" hidden="false" customHeight="false" outlineLevel="0" collapsed="false">
      <c r="A473" s="30"/>
      <c r="B473" s="21"/>
      <c r="C473" s="21" t="str">
        <f aca="false">IF(B473="","",IFERROR(INDEX(代理店一覧!$B$5:$B$204,MATCH(B473,代理店一覧!$A$5:$A$204,0)),"※未登録のID"))</f>
        <v/>
      </c>
      <c r="D473" s="20"/>
      <c r="E473" s="20"/>
      <c r="F473" s="20"/>
      <c r="G473" s="20"/>
      <c r="H473" s="20"/>
      <c r="I473" s="21"/>
    </row>
    <row r="474" customFormat="false" ht="15" hidden="false" customHeight="false" outlineLevel="0" collapsed="false">
      <c r="A474" s="30"/>
      <c r="B474" s="21"/>
      <c r="C474" s="21" t="str">
        <f aca="false">IF(B474="","",IFERROR(INDEX(代理店一覧!$B$5:$B$204,MATCH(B474,代理店一覧!$A$5:$A$204,0)),"※未登録のID"))</f>
        <v/>
      </c>
      <c r="D474" s="20"/>
      <c r="E474" s="20"/>
      <c r="F474" s="20"/>
      <c r="G474" s="20"/>
      <c r="H474" s="20"/>
      <c r="I474" s="21"/>
    </row>
    <row r="475" customFormat="false" ht="15" hidden="false" customHeight="false" outlineLevel="0" collapsed="false">
      <c r="A475" s="30"/>
      <c r="B475" s="21"/>
      <c r="C475" s="21" t="str">
        <f aca="false">IF(B475="","",IFERROR(INDEX(代理店一覧!$B$5:$B$204,MATCH(B475,代理店一覧!$A$5:$A$204,0)),"※未登録のID"))</f>
        <v/>
      </c>
      <c r="D475" s="20"/>
      <c r="E475" s="20"/>
      <c r="F475" s="20"/>
      <c r="G475" s="20"/>
      <c r="H475" s="20"/>
      <c r="I475" s="21"/>
    </row>
    <row r="476" customFormat="false" ht="15" hidden="false" customHeight="false" outlineLevel="0" collapsed="false">
      <c r="A476" s="30"/>
      <c r="B476" s="21"/>
      <c r="C476" s="21" t="str">
        <f aca="false">IF(B476="","",IFERROR(INDEX(代理店一覧!$B$5:$B$204,MATCH(B476,代理店一覧!$A$5:$A$204,0)),"※未登録のID"))</f>
        <v/>
      </c>
      <c r="D476" s="20"/>
      <c r="E476" s="20"/>
      <c r="F476" s="20"/>
      <c r="G476" s="20"/>
      <c r="H476" s="20"/>
      <c r="I476" s="21"/>
    </row>
    <row r="477" customFormat="false" ht="15" hidden="false" customHeight="false" outlineLevel="0" collapsed="false">
      <c r="A477" s="30"/>
      <c r="B477" s="21"/>
      <c r="C477" s="21" t="str">
        <f aca="false">IF(B477="","",IFERROR(INDEX(代理店一覧!$B$5:$B$204,MATCH(B477,代理店一覧!$A$5:$A$204,0)),"※未登録のID"))</f>
        <v/>
      </c>
      <c r="D477" s="20"/>
      <c r="E477" s="20"/>
      <c r="F477" s="20"/>
      <c r="G477" s="20"/>
      <c r="H477" s="20"/>
      <c r="I477" s="21"/>
    </row>
    <row r="478" customFormat="false" ht="15" hidden="false" customHeight="false" outlineLevel="0" collapsed="false">
      <c r="A478" s="30"/>
      <c r="B478" s="21"/>
      <c r="C478" s="21" t="str">
        <f aca="false">IF(B478="","",IFERROR(INDEX(代理店一覧!$B$5:$B$204,MATCH(B478,代理店一覧!$A$5:$A$204,0)),"※未登録のID"))</f>
        <v/>
      </c>
      <c r="D478" s="20"/>
      <c r="E478" s="20"/>
      <c r="F478" s="20"/>
      <c r="G478" s="20"/>
      <c r="H478" s="20"/>
      <c r="I478" s="21"/>
    </row>
    <row r="479" customFormat="false" ht="15" hidden="false" customHeight="false" outlineLevel="0" collapsed="false">
      <c r="A479" s="30"/>
      <c r="B479" s="21"/>
      <c r="C479" s="21" t="str">
        <f aca="false">IF(B479="","",IFERROR(INDEX(代理店一覧!$B$5:$B$204,MATCH(B479,代理店一覧!$A$5:$A$204,0)),"※未登録のID"))</f>
        <v/>
      </c>
      <c r="D479" s="20"/>
      <c r="E479" s="20"/>
      <c r="F479" s="20"/>
      <c r="G479" s="20"/>
      <c r="H479" s="20"/>
      <c r="I479" s="21"/>
    </row>
    <row r="480" customFormat="false" ht="15" hidden="false" customHeight="false" outlineLevel="0" collapsed="false">
      <c r="A480" s="30"/>
      <c r="B480" s="21"/>
      <c r="C480" s="21" t="str">
        <f aca="false">IF(B480="","",IFERROR(INDEX(代理店一覧!$B$5:$B$204,MATCH(B480,代理店一覧!$A$5:$A$204,0)),"※未登録のID"))</f>
        <v/>
      </c>
      <c r="D480" s="20"/>
      <c r="E480" s="20"/>
      <c r="F480" s="20"/>
      <c r="G480" s="20"/>
      <c r="H480" s="20"/>
      <c r="I480" s="21"/>
    </row>
    <row r="481" customFormat="false" ht="15" hidden="false" customHeight="false" outlineLevel="0" collapsed="false">
      <c r="A481" s="30"/>
      <c r="B481" s="21"/>
      <c r="C481" s="21" t="str">
        <f aca="false">IF(B481="","",IFERROR(INDEX(代理店一覧!$B$5:$B$204,MATCH(B481,代理店一覧!$A$5:$A$204,0)),"※未登録のID"))</f>
        <v/>
      </c>
      <c r="D481" s="20"/>
      <c r="E481" s="20"/>
      <c r="F481" s="20"/>
      <c r="G481" s="20"/>
      <c r="H481" s="20"/>
      <c r="I481" s="21"/>
    </row>
    <row r="482" customFormat="false" ht="15" hidden="false" customHeight="false" outlineLevel="0" collapsed="false">
      <c r="A482" s="30"/>
      <c r="B482" s="21"/>
      <c r="C482" s="21" t="str">
        <f aca="false">IF(B482="","",IFERROR(INDEX(代理店一覧!$B$5:$B$204,MATCH(B482,代理店一覧!$A$5:$A$204,0)),"※未登録のID"))</f>
        <v/>
      </c>
      <c r="D482" s="20"/>
      <c r="E482" s="20"/>
      <c r="F482" s="20"/>
      <c r="G482" s="20"/>
      <c r="H482" s="20"/>
      <c r="I482" s="21"/>
    </row>
    <row r="483" customFormat="false" ht="15" hidden="false" customHeight="false" outlineLevel="0" collapsed="false">
      <c r="A483" s="30"/>
      <c r="B483" s="21"/>
      <c r="C483" s="21" t="str">
        <f aca="false">IF(B483="","",IFERROR(INDEX(代理店一覧!$B$5:$B$204,MATCH(B483,代理店一覧!$A$5:$A$204,0)),"※未登録のID"))</f>
        <v/>
      </c>
      <c r="D483" s="20"/>
      <c r="E483" s="20"/>
      <c r="F483" s="20"/>
      <c r="G483" s="20"/>
      <c r="H483" s="20"/>
      <c r="I483" s="21"/>
    </row>
    <row r="484" customFormat="false" ht="15" hidden="false" customHeight="false" outlineLevel="0" collapsed="false">
      <c r="A484" s="30"/>
      <c r="B484" s="21"/>
      <c r="C484" s="21" t="str">
        <f aca="false">IF(B484="","",IFERROR(INDEX(代理店一覧!$B$5:$B$204,MATCH(B484,代理店一覧!$A$5:$A$204,0)),"※未登録のID"))</f>
        <v/>
      </c>
      <c r="D484" s="20"/>
      <c r="E484" s="20"/>
      <c r="F484" s="20"/>
      <c r="G484" s="20"/>
      <c r="H484" s="20"/>
      <c r="I484" s="21"/>
    </row>
    <row r="485" customFormat="false" ht="15" hidden="false" customHeight="false" outlineLevel="0" collapsed="false">
      <c r="A485" s="30"/>
      <c r="B485" s="21"/>
      <c r="C485" s="21" t="str">
        <f aca="false">IF(B485="","",IFERROR(INDEX(代理店一覧!$B$5:$B$204,MATCH(B485,代理店一覧!$A$5:$A$204,0)),"※未登録のID"))</f>
        <v/>
      </c>
      <c r="D485" s="20"/>
      <c r="E485" s="20"/>
      <c r="F485" s="20"/>
      <c r="G485" s="20"/>
      <c r="H485" s="20"/>
      <c r="I485" s="21"/>
    </row>
    <row r="486" customFormat="false" ht="15" hidden="false" customHeight="false" outlineLevel="0" collapsed="false">
      <c r="A486" s="30"/>
      <c r="B486" s="21"/>
      <c r="C486" s="21" t="str">
        <f aca="false">IF(B486="","",IFERROR(INDEX(代理店一覧!$B$5:$B$204,MATCH(B486,代理店一覧!$A$5:$A$204,0)),"※未登録のID"))</f>
        <v/>
      </c>
      <c r="D486" s="20"/>
      <c r="E486" s="20"/>
      <c r="F486" s="20"/>
      <c r="G486" s="20"/>
      <c r="H486" s="20"/>
      <c r="I486" s="21"/>
    </row>
    <row r="487" customFormat="false" ht="15" hidden="false" customHeight="false" outlineLevel="0" collapsed="false">
      <c r="A487" s="30"/>
      <c r="B487" s="21"/>
      <c r="C487" s="21" t="str">
        <f aca="false">IF(B487="","",IFERROR(INDEX(代理店一覧!$B$5:$B$204,MATCH(B487,代理店一覧!$A$5:$A$204,0)),"※未登録のID"))</f>
        <v/>
      </c>
      <c r="D487" s="20"/>
      <c r="E487" s="20"/>
      <c r="F487" s="20"/>
      <c r="G487" s="20"/>
      <c r="H487" s="20"/>
      <c r="I487" s="21"/>
    </row>
    <row r="488" customFormat="false" ht="15" hidden="false" customHeight="false" outlineLevel="0" collapsed="false">
      <c r="A488" s="30"/>
      <c r="B488" s="21"/>
      <c r="C488" s="21" t="str">
        <f aca="false">IF(B488="","",IFERROR(INDEX(代理店一覧!$B$5:$B$204,MATCH(B488,代理店一覧!$A$5:$A$204,0)),"※未登録のID"))</f>
        <v/>
      </c>
      <c r="D488" s="20"/>
      <c r="E488" s="20"/>
      <c r="F488" s="20"/>
      <c r="G488" s="20"/>
      <c r="H488" s="20"/>
      <c r="I488" s="21"/>
    </row>
    <row r="489" customFormat="false" ht="15" hidden="false" customHeight="false" outlineLevel="0" collapsed="false">
      <c r="A489" s="30"/>
      <c r="B489" s="21"/>
      <c r="C489" s="21" t="str">
        <f aca="false">IF(B489="","",IFERROR(INDEX(代理店一覧!$B$5:$B$204,MATCH(B489,代理店一覧!$A$5:$A$204,0)),"※未登録のID"))</f>
        <v/>
      </c>
      <c r="D489" s="20"/>
      <c r="E489" s="20"/>
      <c r="F489" s="20"/>
      <c r="G489" s="20"/>
      <c r="H489" s="20"/>
      <c r="I489" s="21"/>
    </row>
    <row r="490" customFormat="false" ht="15" hidden="false" customHeight="false" outlineLevel="0" collapsed="false">
      <c r="A490" s="30"/>
      <c r="B490" s="21"/>
      <c r="C490" s="21" t="str">
        <f aca="false">IF(B490="","",IFERROR(INDEX(代理店一覧!$B$5:$B$204,MATCH(B490,代理店一覧!$A$5:$A$204,0)),"※未登録のID"))</f>
        <v/>
      </c>
      <c r="D490" s="20"/>
      <c r="E490" s="20"/>
      <c r="F490" s="20"/>
      <c r="G490" s="20"/>
      <c r="H490" s="20"/>
      <c r="I490" s="21"/>
    </row>
    <row r="491" customFormat="false" ht="15" hidden="false" customHeight="false" outlineLevel="0" collapsed="false">
      <c r="A491" s="30"/>
      <c r="B491" s="21"/>
      <c r="C491" s="21" t="str">
        <f aca="false">IF(B491="","",IFERROR(INDEX(代理店一覧!$B$5:$B$204,MATCH(B491,代理店一覧!$A$5:$A$204,0)),"※未登録のID"))</f>
        <v/>
      </c>
      <c r="D491" s="20"/>
      <c r="E491" s="20"/>
      <c r="F491" s="20"/>
      <c r="G491" s="20"/>
      <c r="H491" s="20"/>
      <c r="I491" s="21"/>
    </row>
    <row r="492" customFormat="false" ht="15" hidden="false" customHeight="false" outlineLevel="0" collapsed="false">
      <c r="A492" s="30"/>
      <c r="B492" s="21"/>
      <c r="C492" s="21" t="str">
        <f aca="false">IF(B492="","",IFERROR(INDEX(代理店一覧!$B$5:$B$204,MATCH(B492,代理店一覧!$A$5:$A$204,0)),"※未登録のID"))</f>
        <v/>
      </c>
      <c r="D492" s="20"/>
      <c r="E492" s="20"/>
      <c r="F492" s="20"/>
      <c r="G492" s="20"/>
      <c r="H492" s="20"/>
      <c r="I492" s="21"/>
    </row>
    <row r="493" customFormat="false" ht="15" hidden="false" customHeight="false" outlineLevel="0" collapsed="false">
      <c r="A493" s="30"/>
      <c r="B493" s="21"/>
      <c r="C493" s="21" t="str">
        <f aca="false">IF(B493="","",IFERROR(INDEX(代理店一覧!$B$5:$B$204,MATCH(B493,代理店一覧!$A$5:$A$204,0)),"※未登録のID"))</f>
        <v/>
      </c>
      <c r="D493" s="20"/>
      <c r="E493" s="20"/>
      <c r="F493" s="20"/>
      <c r="G493" s="20"/>
      <c r="H493" s="20"/>
      <c r="I493" s="21"/>
    </row>
    <row r="494" customFormat="false" ht="15" hidden="false" customHeight="false" outlineLevel="0" collapsed="false">
      <c r="A494" s="30"/>
      <c r="B494" s="21"/>
      <c r="C494" s="21" t="str">
        <f aca="false">IF(B494="","",IFERROR(INDEX(代理店一覧!$B$5:$B$204,MATCH(B494,代理店一覧!$A$5:$A$204,0)),"※未登録のID"))</f>
        <v/>
      </c>
      <c r="D494" s="20"/>
      <c r="E494" s="20"/>
      <c r="F494" s="20"/>
      <c r="G494" s="20"/>
      <c r="H494" s="20"/>
      <c r="I494" s="21"/>
    </row>
    <row r="495" customFormat="false" ht="15" hidden="false" customHeight="false" outlineLevel="0" collapsed="false">
      <c r="A495" s="30"/>
      <c r="B495" s="21"/>
      <c r="C495" s="21" t="str">
        <f aca="false">IF(B495="","",IFERROR(INDEX(代理店一覧!$B$5:$B$204,MATCH(B495,代理店一覧!$A$5:$A$204,0)),"※未登録のID"))</f>
        <v/>
      </c>
      <c r="D495" s="20"/>
      <c r="E495" s="20"/>
      <c r="F495" s="20"/>
      <c r="G495" s="20"/>
      <c r="H495" s="20"/>
      <c r="I495" s="21"/>
    </row>
    <row r="496" customFormat="false" ht="15" hidden="false" customHeight="false" outlineLevel="0" collapsed="false">
      <c r="A496" s="30"/>
      <c r="B496" s="21"/>
      <c r="C496" s="21" t="str">
        <f aca="false">IF(B496="","",IFERROR(INDEX(代理店一覧!$B$5:$B$204,MATCH(B496,代理店一覧!$A$5:$A$204,0)),"※未登録のID"))</f>
        <v/>
      </c>
      <c r="D496" s="20"/>
      <c r="E496" s="20"/>
      <c r="F496" s="20"/>
      <c r="G496" s="20"/>
      <c r="H496" s="20"/>
      <c r="I496" s="21"/>
    </row>
    <row r="497" customFormat="false" ht="15" hidden="false" customHeight="false" outlineLevel="0" collapsed="false">
      <c r="A497" s="30"/>
      <c r="B497" s="21"/>
      <c r="C497" s="21" t="str">
        <f aca="false">IF(B497="","",IFERROR(INDEX(代理店一覧!$B$5:$B$204,MATCH(B497,代理店一覧!$A$5:$A$204,0)),"※未登録のID"))</f>
        <v/>
      </c>
      <c r="D497" s="20"/>
      <c r="E497" s="20"/>
      <c r="F497" s="20"/>
      <c r="G497" s="20"/>
      <c r="H497" s="20"/>
      <c r="I497" s="21"/>
    </row>
    <row r="498" customFormat="false" ht="15" hidden="false" customHeight="false" outlineLevel="0" collapsed="false">
      <c r="A498" s="30"/>
      <c r="B498" s="21"/>
      <c r="C498" s="21" t="str">
        <f aca="false">IF(B498="","",IFERROR(INDEX(代理店一覧!$B$5:$B$204,MATCH(B498,代理店一覧!$A$5:$A$204,0)),"※未登録のID"))</f>
        <v/>
      </c>
      <c r="D498" s="20"/>
      <c r="E498" s="20"/>
      <c r="F498" s="20"/>
      <c r="G498" s="20"/>
      <c r="H498" s="20"/>
      <c r="I498" s="21"/>
    </row>
    <row r="499" customFormat="false" ht="15" hidden="false" customHeight="false" outlineLevel="0" collapsed="false">
      <c r="A499" s="30"/>
      <c r="B499" s="21"/>
      <c r="C499" s="21" t="str">
        <f aca="false">IF(B499="","",IFERROR(INDEX(代理店一覧!$B$5:$B$204,MATCH(B499,代理店一覧!$A$5:$A$204,0)),"※未登録のID"))</f>
        <v/>
      </c>
      <c r="D499" s="20"/>
      <c r="E499" s="20"/>
      <c r="F499" s="20"/>
      <c r="G499" s="20"/>
      <c r="H499" s="20"/>
      <c r="I499" s="21"/>
    </row>
    <row r="500" customFormat="false" ht="15" hidden="false" customHeight="false" outlineLevel="0" collapsed="false">
      <c r="A500" s="30"/>
      <c r="B500" s="21"/>
      <c r="C500" s="21" t="str">
        <f aca="false">IF(B500="","",IFERROR(INDEX(代理店一覧!$B$5:$B$204,MATCH(B500,代理店一覧!$A$5:$A$204,0)),"※未登録のID"))</f>
        <v/>
      </c>
      <c r="D500" s="20"/>
      <c r="E500" s="20"/>
      <c r="F500" s="20"/>
      <c r="G500" s="20"/>
      <c r="H500" s="20"/>
      <c r="I500" s="21"/>
    </row>
    <row r="501" customFormat="false" ht="15" hidden="false" customHeight="false" outlineLevel="0" collapsed="false">
      <c r="A501" s="30"/>
      <c r="B501" s="21"/>
      <c r="C501" s="21" t="str">
        <f aca="false">IF(B501="","",IFERROR(INDEX(代理店一覧!$B$5:$B$204,MATCH(B501,代理店一覧!$A$5:$A$204,0)),"※未登録のID"))</f>
        <v/>
      </c>
      <c r="D501" s="20"/>
      <c r="E501" s="20"/>
      <c r="F501" s="20"/>
      <c r="G501" s="20"/>
      <c r="H501" s="20"/>
      <c r="I501" s="21"/>
    </row>
    <row r="502" customFormat="false" ht="15" hidden="false" customHeight="false" outlineLevel="0" collapsed="false">
      <c r="A502" s="30"/>
      <c r="B502" s="21"/>
      <c r="C502" s="21" t="str">
        <f aca="false">IF(B502="","",IFERROR(INDEX(代理店一覧!$B$5:$B$204,MATCH(B502,代理店一覧!$A$5:$A$204,0)),"※未登録のID"))</f>
        <v/>
      </c>
      <c r="D502" s="20"/>
      <c r="E502" s="20"/>
      <c r="F502" s="20"/>
      <c r="G502" s="20"/>
      <c r="H502" s="20"/>
      <c r="I502" s="21"/>
    </row>
    <row r="503" customFormat="false" ht="15" hidden="false" customHeight="false" outlineLevel="0" collapsed="false">
      <c r="A503" s="30"/>
      <c r="B503" s="21"/>
      <c r="C503" s="21" t="str">
        <f aca="false">IF(B503="","",IFERROR(INDEX(代理店一覧!$B$5:$B$204,MATCH(B503,代理店一覧!$A$5:$A$204,0)),"※未登録のID"))</f>
        <v/>
      </c>
      <c r="D503" s="20"/>
      <c r="E503" s="20"/>
      <c r="F503" s="20"/>
      <c r="G503" s="20"/>
      <c r="H503" s="20"/>
      <c r="I503" s="21"/>
    </row>
    <row r="504" customFormat="false" ht="15" hidden="false" customHeight="false" outlineLevel="0" collapsed="false">
      <c r="A504" s="30"/>
      <c r="B504" s="21"/>
      <c r="C504" s="21" t="str">
        <f aca="false">IF(B504="","",IFERROR(INDEX(代理店一覧!$B$5:$B$204,MATCH(B504,代理店一覧!$A$5:$A$204,0)),"※未登録のID"))</f>
        <v/>
      </c>
      <c r="D504" s="20"/>
      <c r="E504" s="20"/>
      <c r="F504" s="20"/>
      <c r="G504" s="20"/>
      <c r="H504" s="20"/>
      <c r="I504" s="21"/>
    </row>
    <row r="505" customFormat="false" ht="15" hidden="false" customHeight="false" outlineLevel="0" collapsed="false">
      <c r="A505" s="30"/>
      <c r="B505" s="21"/>
      <c r="C505" s="21" t="str">
        <f aca="false">IF(B505="","",IFERROR(INDEX(代理店一覧!$B$5:$B$204,MATCH(B505,代理店一覧!$A$5:$A$204,0)),"※未登録のID"))</f>
        <v/>
      </c>
      <c r="D505" s="20"/>
      <c r="E505" s="20"/>
      <c r="F505" s="20"/>
      <c r="G505" s="20"/>
      <c r="H505" s="20"/>
      <c r="I505" s="21"/>
    </row>
    <row r="506" customFormat="false" ht="15" hidden="false" customHeight="false" outlineLevel="0" collapsed="false">
      <c r="A506" s="30"/>
      <c r="B506" s="21"/>
      <c r="C506" s="21" t="str">
        <f aca="false">IF(B506="","",IFERROR(INDEX(代理店一覧!$B$5:$B$204,MATCH(B506,代理店一覧!$A$5:$A$204,0)),"※未登録のID"))</f>
        <v/>
      </c>
      <c r="D506" s="20"/>
      <c r="E506" s="20"/>
      <c r="F506" s="20"/>
      <c r="G506" s="20"/>
      <c r="H506" s="20"/>
      <c r="I506" s="21"/>
    </row>
    <row r="507" customFormat="false" ht="15" hidden="false" customHeight="false" outlineLevel="0" collapsed="false">
      <c r="A507" s="30"/>
      <c r="B507" s="21"/>
      <c r="C507" s="21" t="str">
        <f aca="false">IF(B507="","",IFERROR(INDEX(代理店一覧!$B$5:$B$204,MATCH(B507,代理店一覧!$A$5:$A$204,0)),"※未登録のID"))</f>
        <v/>
      </c>
      <c r="D507" s="20"/>
      <c r="E507" s="20"/>
      <c r="F507" s="20"/>
      <c r="G507" s="20"/>
      <c r="H507" s="20"/>
      <c r="I507" s="21"/>
    </row>
    <row r="508" customFormat="false" ht="15" hidden="false" customHeight="false" outlineLevel="0" collapsed="false">
      <c r="A508" s="30"/>
      <c r="B508" s="21"/>
      <c r="C508" s="21" t="str">
        <f aca="false">IF(B508="","",IFERROR(INDEX(代理店一覧!$B$5:$B$204,MATCH(B508,代理店一覧!$A$5:$A$204,0)),"※未登録のID"))</f>
        <v/>
      </c>
      <c r="D508" s="20"/>
      <c r="E508" s="20"/>
      <c r="F508" s="20"/>
      <c r="G508" s="20"/>
      <c r="H508" s="20"/>
      <c r="I508" s="21"/>
    </row>
    <row r="509" customFormat="false" ht="15" hidden="false" customHeight="false" outlineLevel="0" collapsed="false">
      <c r="A509" s="30"/>
      <c r="B509" s="21"/>
      <c r="C509" s="21" t="str">
        <f aca="false">IF(B509="","",IFERROR(INDEX(代理店一覧!$B$5:$B$204,MATCH(B509,代理店一覧!$A$5:$A$204,0)),"※未登録のID"))</f>
        <v/>
      </c>
      <c r="D509" s="20"/>
      <c r="E509" s="20"/>
      <c r="F509" s="20"/>
      <c r="G509" s="20"/>
      <c r="H509" s="20"/>
      <c r="I509" s="21"/>
    </row>
    <row r="510" customFormat="false" ht="15" hidden="false" customHeight="false" outlineLevel="0" collapsed="false">
      <c r="A510" s="30"/>
      <c r="B510" s="21"/>
      <c r="C510" s="21" t="str">
        <f aca="false">IF(B510="","",IFERROR(INDEX(代理店一覧!$B$5:$B$204,MATCH(B510,代理店一覧!$A$5:$A$204,0)),"※未登録のID"))</f>
        <v/>
      </c>
      <c r="D510" s="20"/>
      <c r="E510" s="20"/>
      <c r="F510" s="20"/>
      <c r="G510" s="20"/>
      <c r="H510" s="20"/>
      <c r="I510" s="21"/>
    </row>
    <row r="511" customFormat="false" ht="15" hidden="false" customHeight="false" outlineLevel="0" collapsed="false">
      <c r="A511" s="30"/>
      <c r="B511" s="21"/>
      <c r="C511" s="21" t="str">
        <f aca="false">IF(B511="","",IFERROR(INDEX(代理店一覧!$B$5:$B$204,MATCH(B511,代理店一覧!$A$5:$A$204,0)),"※未登録のID"))</f>
        <v/>
      </c>
      <c r="D511" s="20"/>
      <c r="E511" s="20"/>
      <c r="F511" s="20"/>
      <c r="G511" s="20"/>
      <c r="H511" s="20"/>
      <c r="I511" s="21"/>
    </row>
    <row r="512" customFormat="false" ht="15" hidden="false" customHeight="false" outlineLevel="0" collapsed="false">
      <c r="A512" s="30"/>
      <c r="B512" s="21"/>
      <c r="C512" s="21" t="str">
        <f aca="false">IF(B512="","",IFERROR(INDEX(代理店一覧!$B$5:$B$204,MATCH(B512,代理店一覧!$A$5:$A$204,0)),"※未登録のID"))</f>
        <v/>
      </c>
      <c r="D512" s="20"/>
      <c r="E512" s="20"/>
      <c r="F512" s="20"/>
      <c r="G512" s="20"/>
      <c r="H512" s="20"/>
      <c r="I512" s="21"/>
    </row>
    <row r="513" customFormat="false" ht="15" hidden="false" customHeight="false" outlineLevel="0" collapsed="false">
      <c r="A513" s="30"/>
      <c r="B513" s="21"/>
      <c r="C513" s="21" t="str">
        <f aca="false">IF(B513="","",IFERROR(INDEX(代理店一覧!$B$5:$B$204,MATCH(B513,代理店一覧!$A$5:$A$204,0)),"※未登録のID"))</f>
        <v/>
      </c>
      <c r="D513" s="20"/>
      <c r="E513" s="20"/>
      <c r="F513" s="20"/>
      <c r="G513" s="20"/>
      <c r="H513" s="20"/>
      <c r="I513" s="21"/>
    </row>
    <row r="514" customFormat="false" ht="15" hidden="false" customHeight="false" outlineLevel="0" collapsed="false">
      <c r="A514" s="30"/>
      <c r="B514" s="21"/>
      <c r="C514" s="21" t="str">
        <f aca="false">IF(B514="","",IFERROR(INDEX(代理店一覧!$B$5:$B$204,MATCH(B514,代理店一覧!$A$5:$A$204,0)),"※未登録のID"))</f>
        <v/>
      </c>
      <c r="D514" s="20"/>
      <c r="E514" s="20"/>
      <c r="F514" s="20"/>
      <c r="G514" s="20"/>
      <c r="H514" s="20"/>
      <c r="I514" s="21"/>
    </row>
    <row r="515" customFormat="false" ht="15" hidden="false" customHeight="false" outlineLevel="0" collapsed="false">
      <c r="A515" s="30"/>
      <c r="B515" s="21"/>
      <c r="C515" s="21" t="str">
        <f aca="false">IF(B515="","",IFERROR(INDEX(代理店一覧!$B$5:$B$204,MATCH(B515,代理店一覧!$A$5:$A$204,0)),"※未登録のID"))</f>
        <v/>
      </c>
      <c r="D515" s="20"/>
      <c r="E515" s="20"/>
      <c r="F515" s="20"/>
      <c r="G515" s="20"/>
      <c r="H515" s="20"/>
      <c r="I515" s="21"/>
    </row>
    <row r="516" customFormat="false" ht="15" hidden="false" customHeight="false" outlineLevel="0" collapsed="false">
      <c r="A516" s="30"/>
      <c r="B516" s="21"/>
      <c r="C516" s="21" t="str">
        <f aca="false">IF(B516="","",IFERROR(INDEX(代理店一覧!$B$5:$B$204,MATCH(B516,代理店一覧!$A$5:$A$204,0)),"※未登録のID"))</f>
        <v/>
      </c>
      <c r="D516" s="20"/>
      <c r="E516" s="20"/>
      <c r="F516" s="20"/>
      <c r="G516" s="20"/>
      <c r="H516" s="20"/>
      <c r="I516" s="21"/>
    </row>
    <row r="517" customFormat="false" ht="15" hidden="false" customHeight="false" outlineLevel="0" collapsed="false">
      <c r="A517" s="30"/>
      <c r="B517" s="21"/>
      <c r="C517" s="21" t="str">
        <f aca="false">IF(B517="","",IFERROR(INDEX(代理店一覧!$B$5:$B$204,MATCH(B517,代理店一覧!$A$5:$A$204,0)),"※未登録のID"))</f>
        <v/>
      </c>
      <c r="D517" s="20"/>
      <c r="E517" s="20"/>
      <c r="F517" s="20"/>
      <c r="G517" s="20"/>
      <c r="H517" s="20"/>
      <c r="I517" s="21"/>
    </row>
    <row r="518" customFormat="false" ht="15" hidden="false" customHeight="false" outlineLevel="0" collapsed="false">
      <c r="A518" s="30"/>
      <c r="B518" s="21"/>
      <c r="C518" s="21" t="str">
        <f aca="false">IF(B518="","",IFERROR(INDEX(代理店一覧!$B$5:$B$204,MATCH(B518,代理店一覧!$A$5:$A$204,0)),"※未登録のID"))</f>
        <v/>
      </c>
      <c r="D518" s="20"/>
      <c r="E518" s="20"/>
      <c r="F518" s="20"/>
      <c r="G518" s="20"/>
      <c r="H518" s="20"/>
      <c r="I518" s="21"/>
    </row>
    <row r="519" customFormat="false" ht="15" hidden="false" customHeight="false" outlineLevel="0" collapsed="false">
      <c r="A519" s="30"/>
      <c r="B519" s="21"/>
      <c r="C519" s="21" t="str">
        <f aca="false">IF(B519="","",IFERROR(INDEX(代理店一覧!$B$5:$B$204,MATCH(B519,代理店一覧!$A$5:$A$204,0)),"※未登録のID"))</f>
        <v/>
      </c>
      <c r="D519" s="20"/>
      <c r="E519" s="20"/>
      <c r="F519" s="20"/>
      <c r="G519" s="20"/>
      <c r="H519" s="20"/>
      <c r="I519" s="21"/>
    </row>
    <row r="520" customFormat="false" ht="15" hidden="false" customHeight="false" outlineLevel="0" collapsed="false">
      <c r="A520" s="30"/>
      <c r="B520" s="21"/>
      <c r="C520" s="21" t="str">
        <f aca="false">IF(B520="","",IFERROR(INDEX(代理店一覧!$B$5:$B$204,MATCH(B520,代理店一覧!$A$5:$A$204,0)),"※未登録のID"))</f>
        <v/>
      </c>
      <c r="D520" s="20"/>
      <c r="E520" s="20"/>
      <c r="F520" s="20"/>
      <c r="G520" s="20"/>
      <c r="H520" s="20"/>
      <c r="I520" s="21"/>
    </row>
    <row r="521" customFormat="false" ht="15" hidden="false" customHeight="false" outlineLevel="0" collapsed="false">
      <c r="A521" s="30"/>
      <c r="B521" s="21"/>
      <c r="C521" s="21" t="str">
        <f aca="false">IF(B521="","",IFERROR(INDEX(代理店一覧!$B$5:$B$204,MATCH(B521,代理店一覧!$A$5:$A$204,0)),"※未登録のID"))</f>
        <v/>
      </c>
      <c r="D521" s="20"/>
      <c r="E521" s="20"/>
      <c r="F521" s="20"/>
      <c r="G521" s="20"/>
      <c r="H521" s="20"/>
      <c r="I521" s="21"/>
    </row>
    <row r="522" customFormat="false" ht="15" hidden="false" customHeight="false" outlineLevel="0" collapsed="false">
      <c r="A522" s="30"/>
      <c r="B522" s="21"/>
      <c r="C522" s="21" t="str">
        <f aca="false">IF(B522="","",IFERROR(INDEX(代理店一覧!$B$5:$B$204,MATCH(B522,代理店一覧!$A$5:$A$204,0)),"※未登録のID"))</f>
        <v/>
      </c>
      <c r="D522" s="20"/>
      <c r="E522" s="20"/>
      <c r="F522" s="20"/>
      <c r="G522" s="20"/>
      <c r="H522" s="20"/>
      <c r="I522" s="21"/>
    </row>
    <row r="523" customFormat="false" ht="15" hidden="false" customHeight="false" outlineLevel="0" collapsed="false">
      <c r="A523" s="30"/>
      <c r="B523" s="21"/>
      <c r="C523" s="21" t="str">
        <f aca="false">IF(B523="","",IFERROR(INDEX(代理店一覧!$B$5:$B$204,MATCH(B523,代理店一覧!$A$5:$A$204,0)),"※未登録のID"))</f>
        <v/>
      </c>
      <c r="D523" s="20"/>
      <c r="E523" s="20"/>
      <c r="F523" s="20"/>
      <c r="G523" s="20"/>
      <c r="H523" s="20"/>
      <c r="I523" s="21"/>
    </row>
    <row r="524" customFormat="false" ht="15" hidden="false" customHeight="false" outlineLevel="0" collapsed="false">
      <c r="A524" s="30"/>
      <c r="B524" s="21"/>
      <c r="C524" s="21" t="str">
        <f aca="false">IF(B524="","",IFERROR(INDEX(代理店一覧!$B$5:$B$204,MATCH(B524,代理店一覧!$A$5:$A$204,0)),"※未登録のID"))</f>
        <v/>
      </c>
      <c r="D524" s="20"/>
      <c r="E524" s="20"/>
      <c r="F524" s="20"/>
      <c r="G524" s="20"/>
      <c r="H524" s="20"/>
      <c r="I524" s="21"/>
    </row>
    <row r="525" customFormat="false" ht="15" hidden="false" customHeight="false" outlineLevel="0" collapsed="false">
      <c r="A525" s="30"/>
      <c r="B525" s="21"/>
      <c r="C525" s="21" t="str">
        <f aca="false">IF(B525="","",IFERROR(INDEX(代理店一覧!$B$5:$B$204,MATCH(B525,代理店一覧!$A$5:$A$204,0)),"※未登録のID"))</f>
        <v/>
      </c>
      <c r="D525" s="20"/>
      <c r="E525" s="20"/>
      <c r="F525" s="20"/>
      <c r="G525" s="20"/>
      <c r="H525" s="20"/>
      <c r="I525" s="21"/>
    </row>
    <row r="526" customFormat="false" ht="15" hidden="false" customHeight="false" outlineLevel="0" collapsed="false">
      <c r="A526" s="30"/>
      <c r="B526" s="21"/>
      <c r="C526" s="21" t="str">
        <f aca="false">IF(B526="","",IFERROR(INDEX(代理店一覧!$B$5:$B$204,MATCH(B526,代理店一覧!$A$5:$A$204,0)),"※未登録のID"))</f>
        <v/>
      </c>
      <c r="D526" s="20"/>
      <c r="E526" s="20"/>
      <c r="F526" s="20"/>
      <c r="G526" s="20"/>
      <c r="H526" s="20"/>
      <c r="I526" s="21"/>
    </row>
    <row r="527" customFormat="false" ht="15" hidden="false" customHeight="false" outlineLevel="0" collapsed="false">
      <c r="A527" s="30"/>
      <c r="B527" s="21"/>
      <c r="C527" s="21" t="str">
        <f aca="false">IF(B527="","",IFERROR(INDEX(代理店一覧!$B$5:$B$204,MATCH(B527,代理店一覧!$A$5:$A$204,0)),"※未登録のID"))</f>
        <v/>
      </c>
      <c r="D527" s="20"/>
      <c r="E527" s="20"/>
      <c r="F527" s="20"/>
      <c r="G527" s="20"/>
      <c r="H527" s="20"/>
      <c r="I527" s="21"/>
    </row>
    <row r="528" customFormat="false" ht="15" hidden="false" customHeight="false" outlineLevel="0" collapsed="false">
      <c r="A528" s="30"/>
      <c r="B528" s="21"/>
      <c r="C528" s="21" t="str">
        <f aca="false">IF(B528="","",IFERROR(INDEX(代理店一覧!$B$5:$B$204,MATCH(B528,代理店一覧!$A$5:$A$204,0)),"※未登録のID"))</f>
        <v/>
      </c>
      <c r="D528" s="20"/>
      <c r="E528" s="20"/>
      <c r="F528" s="20"/>
      <c r="G528" s="20"/>
      <c r="H528" s="20"/>
      <c r="I528" s="21"/>
    </row>
    <row r="529" customFormat="false" ht="15" hidden="false" customHeight="false" outlineLevel="0" collapsed="false">
      <c r="A529" s="30"/>
      <c r="B529" s="21"/>
      <c r="C529" s="21" t="str">
        <f aca="false">IF(B529="","",IFERROR(INDEX(代理店一覧!$B$5:$B$204,MATCH(B529,代理店一覧!$A$5:$A$204,0)),"※未登録のID"))</f>
        <v/>
      </c>
      <c r="D529" s="20"/>
      <c r="E529" s="20"/>
      <c r="F529" s="20"/>
      <c r="G529" s="20"/>
      <c r="H529" s="20"/>
      <c r="I529" s="21"/>
    </row>
    <row r="530" customFormat="false" ht="15" hidden="false" customHeight="false" outlineLevel="0" collapsed="false">
      <c r="A530" s="30"/>
      <c r="B530" s="21"/>
      <c r="C530" s="21" t="str">
        <f aca="false">IF(B530="","",IFERROR(INDEX(代理店一覧!$B$5:$B$204,MATCH(B530,代理店一覧!$A$5:$A$204,0)),"※未登録のID"))</f>
        <v/>
      </c>
      <c r="D530" s="20"/>
      <c r="E530" s="20"/>
      <c r="F530" s="20"/>
      <c r="G530" s="20"/>
      <c r="H530" s="20"/>
      <c r="I530" s="21"/>
    </row>
    <row r="531" customFormat="false" ht="15" hidden="false" customHeight="false" outlineLevel="0" collapsed="false">
      <c r="A531" s="30"/>
      <c r="B531" s="21"/>
      <c r="C531" s="21" t="str">
        <f aca="false">IF(B531="","",IFERROR(INDEX(代理店一覧!$B$5:$B$204,MATCH(B531,代理店一覧!$A$5:$A$204,0)),"※未登録のID"))</f>
        <v/>
      </c>
      <c r="D531" s="20"/>
      <c r="E531" s="20"/>
      <c r="F531" s="20"/>
      <c r="G531" s="20"/>
      <c r="H531" s="20"/>
      <c r="I531" s="21"/>
    </row>
    <row r="532" customFormat="false" ht="15" hidden="false" customHeight="false" outlineLevel="0" collapsed="false">
      <c r="A532" s="30"/>
      <c r="B532" s="21"/>
      <c r="C532" s="21" t="str">
        <f aca="false">IF(B532="","",IFERROR(INDEX(代理店一覧!$B$5:$B$204,MATCH(B532,代理店一覧!$A$5:$A$204,0)),"※未登録のID"))</f>
        <v/>
      </c>
      <c r="D532" s="20"/>
      <c r="E532" s="20"/>
      <c r="F532" s="20"/>
      <c r="G532" s="20"/>
      <c r="H532" s="20"/>
      <c r="I532" s="21"/>
    </row>
    <row r="533" customFormat="false" ht="15" hidden="false" customHeight="false" outlineLevel="0" collapsed="false">
      <c r="A533" s="30"/>
      <c r="B533" s="21"/>
      <c r="C533" s="21" t="str">
        <f aca="false">IF(B533="","",IFERROR(INDEX(代理店一覧!$B$5:$B$204,MATCH(B533,代理店一覧!$A$5:$A$204,0)),"※未登録のID"))</f>
        <v/>
      </c>
      <c r="D533" s="20"/>
      <c r="E533" s="20"/>
      <c r="F533" s="20"/>
      <c r="G533" s="20"/>
      <c r="H533" s="20"/>
      <c r="I533" s="21"/>
    </row>
    <row r="534" customFormat="false" ht="15" hidden="false" customHeight="false" outlineLevel="0" collapsed="false">
      <c r="A534" s="30"/>
      <c r="B534" s="21"/>
      <c r="C534" s="21" t="str">
        <f aca="false">IF(B534="","",IFERROR(INDEX(代理店一覧!$B$5:$B$204,MATCH(B534,代理店一覧!$A$5:$A$204,0)),"※未登録のID"))</f>
        <v/>
      </c>
      <c r="D534" s="20"/>
      <c r="E534" s="20"/>
      <c r="F534" s="20"/>
      <c r="G534" s="20"/>
      <c r="H534" s="20"/>
      <c r="I534" s="21"/>
    </row>
    <row r="535" customFormat="false" ht="15" hidden="false" customHeight="false" outlineLevel="0" collapsed="false">
      <c r="A535" s="30"/>
      <c r="B535" s="21"/>
      <c r="C535" s="21" t="str">
        <f aca="false">IF(B535="","",IFERROR(INDEX(代理店一覧!$B$5:$B$204,MATCH(B535,代理店一覧!$A$5:$A$204,0)),"※未登録のID"))</f>
        <v/>
      </c>
      <c r="D535" s="20"/>
      <c r="E535" s="20"/>
      <c r="F535" s="20"/>
      <c r="G535" s="20"/>
      <c r="H535" s="20"/>
      <c r="I535" s="21"/>
    </row>
    <row r="536" customFormat="false" ht="15" hidden="false" customHeight="false" outlineLevel="0" collapsed="false">
      <c r="A536" s="30"/>
      <c r="B536" s="21"/>
      <c r="C536" s="21" t="str">
        <f aca="false">IF(B536="","",IFERROR(INDEX(代理店一覧!$B$5:$B$204,MATCH(B536,代理店一覧!$A$5:$A$204,0)),"※未登録のID"))</f>
        <v/>
      </c>
      <c r="D536" s="20"/>
      <c r="E536" s="20"/>
      <c r="F536" s="20"/>
      <c r="G536" s="20"/>
      <c r="H536" s="20"/>
      <c r="I536" s="21"/>
    </row>
    <row r="537" customFormat="false" ht="15" hidden="false" customHeight="false" outlineLevel="0" collapsed="false">
      <c r="A537" s="30"/>
      <c r="B537" s="21"/>
      <c r="C537" s="21" t="str">
        <f aca="false">IF(B537="","",IFERROR(INDEX(代理店一覧!$B$5:$B$204,MATCH(B537,代理店一覧!$A$5:$A$204,0)),"※未登録のID"))</f>
        <v/>
      </c>
      <c r="D537" s="20"/>
      <c r="E537" s="20"/>
      <c r="F537" s="20"/>
      <c r="G537" s="20"/>
      <c r="H537" s="20"/>
      <c r="I537" s="21"/>
    </row>
    <row r="538" customFormat="false" ht="15" hidden="false" customHeight="false" outlineLevel="0" collapsed="false">
      <c r="A538" s="30"/>
      <c r="B538" s="21"/>
      <c r="C538" s="21" t="str">
        <f aca="false">IF(B538="","",IFERROR(INDEX(代理店一覧!$B$5:$B$204,MATCH(B538,代理店一覧!$A$5:$A$204,0)),"※未登録のID"))</f>
        <v/>
      </c>
      <c r="D538" s="20"/>
      <c r="E538" s="20"/>
      <c r="F538" s="20"/>
      <c r="G538" s="20"/>
      <c r="H538" s="20"/>
      <c r="I538" s="21"/>
    </row>
    <row r="539" customFormat="false" ht="15" hidden="false" customHeight="false" outlineLevel="0" collapsed="false">
      <c r="A539" s="30"/>
      <c r="B539" s="21"/>
      <c r="C539" s="21" t="str">
        <f aca="false">IF(B539="","",IFERROR(INDEX(代理店一覧!$B$5:$B$204,MATCH(B539,代理店一覧!$A$5:$A$204,0)),"※未登録のID"))</f>
        <v/>
      </c>
      <c r="D539" s="20"/>
      <c r="E539" s="20"/>
      <c r="F539" s="20"/>
      <c r="G539" s="20"/>
      <c r="H539" s="20"/>
      <c r="I539" s="21"/>
    </row>
    <row r="540" customFormat="false" ht="15" hidden="false" customHeight="false" outlineLevel="0" collapsed="false">
      <c r="A540" s="30"/>
      <c r="B540" s="21"/>
      <c r="C540" s="21" t="str">
        <f aca="false">IF(B540="","",IFERROR(INDEX(代理店一覧!$B$5:$B$204,MATCH(B540,代理店一覧!$A$5:$A$204,0)),"※未登録のID"))</f>
        <v/>
      </c>
      <c r="D540" s="20"/>
      <c r="E540" s="20"/>
      <c r="F540" s="20"/>
      <c r="G540" s="20"/>
      <c r="H540" s="20"/>
      <c r="I540" s="21"/>
    </row>
    <row r="541" customFormat="false" ht="15" hidden="false" customHeight="false" outlineLevel="0" collapsed="false">
      <c r="A541" s="30"/>
      <c r="B541" s="21"/>
      <c r="C541" s="21" t="str">
        <f aca="false">IF(B541="","",IFERROR(INDEX(代理店一覧!$B$5:$B$204,MATCH(B541,代理店一覧!$A$5:$A$204,0)),"※未登録のID"))</f>
        <v/>
      </c>
      <c r="D541" s="20"/>
      <c r="E541" s="20"/>
      <c r="F541" s="20"/>
      <c r="G541" s="20"/>
      <c r="H541" s="20"/>
      <c r="I541" s="21"/>
    </row>
    <row r="542" customFormat="false" ht="15" hidden="false" customHeight="false" outlineLevel="0" collapsed="false">
      <c r="A542" s="30"/>
      <c r="B542" s="21"/>
      <c r="C542" s="21" t="str">
        <f aca="false">IF(B542="","",IFERROR(INDEX(代理店一覧!$B$5:$B$204,MATCH(B542,代理店一覧!$A$5:$A$204,0)),"※未登録のID"))</f>
        <v/>
      </c>
      <c r="D542" s="20"/>
      <c r="E542" s="20"/>
      <c r="F542" s="20"/>
      <c r="G542" s="20"/>
      <c r="H542" s="20"/>
      <c r="I542" s="21"/>
    </row>
    <row r="543" customFormat="false" ht="15" hidden="false" customHeight="false" outlineLevel="0" collapsed="false">
      <c r="A543" s="30"/>
      <c r="B543" s="21"/>
      <c r="C543" s="21" t="str">
        <f aca="false">IF(B543="","",IFERROR(INDEX(代理店一覧!$B$5:$B$204,MATCH(B543,代理店一覧!$A$5:$A$204,0)),"※未登録のID"))</f>
        <v/>
      </c>
      <c r="D543" s="20"/>
      <c r="E543" s="20"/>
      <c r="F543" s="20"/>
      <c r="G543" s="20"/>
      <c r="H543" s="20"/>
      <c r="I543" s="21"/>
    </row>
    <row r="544" customFormat="false" ht="15" hidden="false" customHeight="false" outlineLevel="0" collapsed="false">
      <c r="A544" s="30"/>
      <c r="B544" s="21"/>
      <c r="C544" s="21" t="str">
        <f aca="false">IF(B544="","",IFERROR(INDEX(代理店一覧!$B$5:$B$204,MATCH(B544,代理店一覧!$A$5:$A$204,0)),"※未登録のID"))</f>
        <v/>
      </c>
      <c r="D544" s="20"/>
      <c r="E544" s="20"/>
      <c r="F544" s="20"/>
      <c r="G544" s="20"/>
      <c r="H544" s="20"/>
      <c r="I544" s="21"/>
    </row>
    <row r="545" customFormat="false" ht="15" hidden="false" customHeight="false" outlineLevel="0" collapsed="false">
      <c r="A545" s="30"/>
      <c r="B545" s="21"/>
      <c r="C545" s="21" t="str">
        <f aca="false">IF(B545="","",IFERROR(INDEX(代理店一覧!$B$5:$B$204,MATCH(B545,代理店一覧!$A$5:$A$204,0)),"※未登録のID"))</f>
        <v/>
      </c>
      <c r="D545" s="20"/>
      <c r="E545" s="20"/>
      <c r="F545" s="20"/>
      <c r="G545" s="20"/>
      <c r="H545" s="20"/>
      <c r="I545" s="21"/>
    </row>
    <row r="546" customFormat="false" ht="15" hidden="false" customHeight="false" outlineLevel="0" collapsed="false">
      <c r="A546" s="30"/>
      <c r="B546" s="21"/>
      <c r="C546" s="21" t="str">
        <f aca="false">IF(B546="","",IFERROR(INDEX(代理店一覧!$B$5:$B$204,MATCH(B546,代理店一覧!$A$5:$A$204,0)),"※未登録のID"))</f>
        <v/>
      </c>
      <c r="D546" s="20"/>
      <c r="E546" s="20"/>
      <c r="F546" s="20"/>
      <c r="G546" s="20"/>
      <c r="H546" s="20"/>
      <c r="I546" s="21"/>
    </row>
    <row r="547" customFormat="false" ht="15" hidden="false" customHeight="false" outlineLevel="0" collapsed="false">
      <c r="A547" s="30"/>
      <c r="B547" s="21"/>
      <c r="C547" s="21" t="str">
        <f aca="false">IF(B547="","",IFERROR(INDEX(代理店一覧!$B$5:$B$204,MATCH(B547,代理店一覧!$A$5:$A$204,0)),"※未登録のID"))</f>
        <v/>
      </c>
      <c r="D547" s="20"/>
      <c r="E547" s="20"/>
      <c r="F547" s="20"/>
      <c r="G547" s="20"/>
      <c r="H547" s="20"/>
      <c r="I547" s="21"/>
    </row>
    <row r="548" customFormat="false" ht="15" hidden="false" customHeight="false" outlineLevel="0" collapsed="false">
      <c r="A548" s="30"/>
      <c r="B548" s="21"/>
      <c r="C548" s="21" t="str">
        <f aca="false">IF(B548="","",IFERROR(INDEX(代理店一覧!$B$5:$B$204,MATCH(B548,代理店一覧!$A$5:$A$204,0)),"※未登録のID"))</f>
        <v/>
      </c>
      <c r="D548" s="20"/>
      <c r="E548" s="20"/>
      <c r="F548" s="20"/>
      <c r="G548" s="20"/>
      <c r="H548" s="20"/>
      <c r="I548" s="21"/>
    </row>
    <row r="549" customFormat="false" ht="15" hidden="false" customHeight="false" outlineLevel="0" collapsed="false">
      <c r="A549" s="30"/>
      <c r="B549" s="21"/>
      <c r="C549" s="21" t="str">
        <f aca="false">IF(B549="","",IFERROR(INDEX(代理店一覧!$B$5:$B$204,MATCH(B549,代理店一覧!$A$5:$A$204,0)),"※未登録のID"))</f>
        <v/>
      </c>
      <c r="D549" s="20"/>
      <c r="E549" s="20"/>
      <c r="F549" s="20"/>
      <c r="G549" s="20"/>
      <c r="H549" s="20"/>
      <c r="I549" s="21"/>
    </row>
    <row r="550" customFormat="false" ht="15" hidden="false" customHeight="false" outlineLevel="0" collapsed="false">
      <c r="A550" s="30"/>
      <c r="B550" s="21"/>
      <c r="C550" s="21" t="str">
        <f aca="false">IF(B550="","",IFERROR(INDEX(代理店一覧!$B$5:$B$204,MATCH(B550,代理店一覧!$A$5:$A$204,0)),"※未登録のID"))</f>
        <v/>
      </c>
      <c r="D550" s="20"/>
      <c r="E550" s="20"/>
      <c r="F550" s="20"/>
      <c r="G550" s="20"/>
      <c r="H550" s="20"/>
      <c r="I550" s="21"/>
    </row>
    <row r="551" customFormat="false" ht="15" hidden="false" customHeight="false" outlineLevel="0" collapsed="false">
      <c r="A551" s="30"/>
      <c r="B551" s="21"/>
      <c r="C551" s="21" t="str">
        <f aca="false">IF(B551="","",IFERROR(INDEX(代理店一覧!$B$5:$B$204,MATCH(B551,代理店一覧!$A$5:$A$204,0)),"※未登録のID"))</f>
        <v/>
      </c>
      <c r="D551" s="20"/>
      <c r="E551" s="20"/>
      <c r="F551" s="20"/>
      <c r="G551" s="20"/>
      <c r="H551" s="20"/>
      <c r="I551" s="21"/>
    </row>
    <row r="552" customFormat="false" ht="15" hidden="false" customHeight="false" outlineLevel="0" collapsed="false">
      <c r="A552" s="30"/>
      <c r="B552" s="21"/>
      <c r="C552" s="21" t="str">
        <f aca="false">IF(B552="","",IFERROR(INDEX(代理店一覧!$B$5:$B$204,MATCH(B552,代理店一覧!$A$5:$A$204,0)),"※未登録のID"))</f>
        <v/>
      </c>
      <c r="D552" s="20"/>
      <c r="E552" s="20"/>
      <c r="F552" s="20"/>
      <c r="G552" s="20"/>
      <c r="H552" s="20"/>
      <c r="I552" s="21"/>
    </row>
    <row r="553" customFormat="false" ht="15" hidden="false" customHeight="false" outlineLevel="0" collapsed="false">
      <c r="A553" s="30"/>
      <c r="B553" s="21"/>
      <c r="C553" s="21" t="str">
        <f aca="false">IF(B553="","",IFERROR(INDEX(代理店一覧!$B$5:$B$204,MATCH(B553,代理店一覧!$A$5:$A$204,0)),"※未登録のID"))</f>
        <v/>
      </c>
      <c r="D553" s="20"/>
      <c r="E553" s="20"/>
      <c r="F553" s="20"/>
      <c r="G553" s="20"/>
      <c r="H553" s="20"/>
      <c r="I553" s="21"/>
    </row>
    <row r="554" customFormat="false" ht="15" hidden="false" customHeight="false" outlineLevel="0" collapsed="false">
      <c r="A554" s="30"/>
      <c r="B554" s="21"/>
      <c r="C554" s="21" t="str">
        <f aca="false">IF(B554="","",IFERROR(INDEX(代理店一覧!$B$5:$B$204,MATCH(B554,代理店一覧!$A$5:$A$204,0)),"※未登録のID"))</f>
        <v/>
      </c>
      <c r="D554" s="20"/>
      <c r="E554" s="20"/>
      <c r="F554" s="20"/>
      <c r="G554" s="20"/>
      <c r="H554" s="20"/>
      <c r="I554" s="21"/>
    </row>
    <row r="555" customFormat="false" ht="15" hidden="false" customHeight="false" outlineLevel="0" collapsed="false">
      <c r="A555" s="30"/>
      <c r="B555" s="21"/>
      <c r="C555" s="21" t="str">
        <f aca="false">IF(B555="","",IFERROR(INDEX(代理店一覧!$B$5:$B$204,MATCH(B555,代理店一覧!$A$5:$A$204,0)),"※未登録のID"))</f>
        <v/>
      </c>
      <c r="D555" s="20"/>
      <c r="E555" s="20"/>
      <c r="F555" s="20"/>
      <c r="G555" s="20"/>
      <c r="H555" s="20"/>
      <c r="I555" s="21"/>
    </row>
    <row r="556" customFormat="false" ht="15" hidden="false" customHeight="false" outlineLevel="0" collapsed="false">
      <c r="A556" s="30"/>
      <c r="B556" s="21"/>
      <c r="C556" s="21" t="str">
        <f aca="false">IF(B556="","",IFERROR(INDEX(代理店一覧!$B$5:$B$204,MATCH(B556,代理店一覧!$A$5:$A$204,0)),"※未登録のID"))</f>
        <v/>
      </c>
      <c r="D556" s="20"/>
      <c r="E556" s="20"/>
      <c r="F556" s="20"/>
      <c r="G556" s="20"/>
      <c r="H556" s="20"/>
      <c r="I556" s="21"/>
    </row>
    <row r="557" customFormat="false" ht="15" hidden="false" customHeight="false" outlineLevel="0" collapsed="false">
      <c r="A557" s="30"/>
      <c r="B557" s="21"/>
      <c r="C557" s="21" t="str">
        <f aca="false">IF(B557="","",IFERROR(INDEX(代理店一覧!$B$5:$B$204,MATCH(B557,代理店一覧!$A$5:$A$204,0)),"※未登録のID"))</f>
        <v/>
      </c>
      <c r="D557" s="20"/>
      <c r="E557" s="20"/>
      <c r="F557" s="20"/>
      <c r="G557" s="20"/>
      <c r="H557" s="20"/>
      <c r="I557" s="21"/>
    </row>
    <row r="558" customFormat="false" ht="15" hidden="false" customHeight="false" outlineLevel="0" collapsed="false">
      <c r="A558" s="30"/>
      <c r="B558" s="21"/>
      <c r="C558" s="21" t="str">
        <f aca="false">IF(B558="","",IFERROR(INDEX(代理店一覧!$B$5:$B$204,MATCH(B558,代理店一覧!$A$5:$A$204,0)),"※未登録のID"))</f>
        <v/>
      </c>
      <c r="D558" s="20"/>
      <c r="E558" s="20"/>
      <c r="F558" s="20"/>
      <c r="G558" s="20"/>
      <c r="H558" s="20"/>
      <c r="I558" s="21"/>
    </row>
    <row r="559" customFormat="false" ht="15" hidden="false" customHeight="false" outlineLevel="0" collapsed="false">
      <c r="A559" s="30"/>
      <c r="B559" s="21"/>
      <c r="C559" s="21" t="str">
        <f aca="false">IF(B559="","",IFERROR(INDEX(代理店一覧!$B$5:$B$204,MATCH(B559,代理店一覧!$A$5:$A$204,0)),"※未登録のID"))</f>
        <v/>
      </c>
      <c r="D559" s="20"/>
      <c r="E559" s="20"/>
      <c r="F559" s="20"/>
      <c r="G559" s="20"/>
      <c r="H559" s="20"/>
      <c r="I559" s="21"/>
    </row>
    <row r="560" customFormat="false" ht="15" hidden="false" customHeight="false" outlineLevel="0" collapsed="false">
      <c r="A560" s="30"/>
      <c r="B560" s="21"/>
      <c r="C560" s="21" t="str">
        <f aca="false">IF(B560="","",IFERROR(INDEX(代理店一覧!$B$5:$B$204,MATCH(B560,代理店一覧!$A$5:$A$204,0)),"※未登録のID"))</f>
        <v/>
      </c>
      <c r="D560" s="20"/>
      <c r="E560" s="20"/>
      <c r="F560" s="20"/>
      <c r="G560" s="20"/>
      <c r="H560" s="20"/>
      <c r="I560" s="21"/>
    </row>
    <row r="561" customFormat="false" ht="15" hidden="false" customHeight="false" outlineLevel="0" collapsed="false">
      <c r="A561" s="30"/>
      <c r="B561" s="21"/>
      <c r="C561" s="21" t="str">
        <f aca="false">IF(B561="","",IFERROR(INDEX(代理店一覧!$B$5:$B$204,MATCH(B561,代理店一覧!$A$5:$A$204,0)),"※未登録のID"))</f>
        <v/>
      </c>
      <c r="D561" s="20"/>
      <c r="E561" s="20"/>
      <c r="F561" s="20"/>
      <c r="G561" s="20"/>
      <c r="H561" s="20"/>
      <c r="I561" s="21"/>
    </row>
    <row r="562" customFormat="false" ht="15" hidden="false" customHeight="false" outlineLevel="0" collapsed="false">
      <c r="A562" s="30"/>
      <c r="B562" s="21"/>
      <c r="C562" s="21" t="str">
        <f aca="false">IF(B562="","",IFERROR(INDEX(代理店一覧!$B$5:$B$204,MATCH(B562,代理店一覧!$A$5:$A$204,0)),"※未登録のID"))</f>
        <v/>
      </c>
      <c r="D562" s="20"/>
      <c r="E562" s="20"/>
      <c r="F562" s="20"/>
      <c r="G562" s="20"/>
      <c r="H562" s="20"/>
      <c r="I562" s="21"/>
    </row>
    <row r="563" customFormat="false" ht="15" hidden="false" customHeight="false" outlineLevel="0" collapsed="false">
      <c r="A563" s="30"/>
      <c r="B563" s="21"/>
      <c r="C563" s="21" t="str">
        <f aca="false">IF(B563="","",IFERROR(INDEX(代理店一覧!$B$5:$B$204,MATCH(B563,代理店一覧!$A$5:$A$204,0)),"※未登録のID"))</f>
        <v/>
      </c>
      <c r="D563" s="20"/>
      <c r="E563" s="20"/>
      <c r="F563" s="20"/>
      <c r="G563" s="20"/>
      <c r="H563" s="20"/>
      <c r="I563" s="21"/>
    </row>
    <row r="564" customFormat="false" ht="15" hidden="false" customHeight="false" outlineLevel="0" collapsed="false">
      <c r="A564" s="30"/>
      <c r="B564" s="21"/>
      <c r="C564" s="21" t="str">
        <f aca="false">IF(B564="","",IFERROR(INDEX(代理店一覧!$B$5:$B$204,MATCH(B564,代理店一覧!$A$5:$A$204,0)),"※未登録のID"))</f>
        <v/>
      </c>
      <c r="D564" s="20"/>
      <c r="E564" s="20"/>
      <c r="F564" s="20"/>
      <c r="G564" s="20"/>
      <c r="H564" s="20"/>
      <c r="I564" s="21"/>
    </row>
    <row r="565" customFormat="false" ht="15" hidden="false" customHeight="false" outlineLevel="0" collapsed="false">
      <c r="A565" s="30"/>
      <c r="B565" s="21"/>
      <c r="C565" s="21" t="str">
        <f aca="false">IF(B565="","",IFERROR(INDEX(代理店一覧!$B$5:$B$204,MATCH(B565,代理店一覧!$A$5:$A$204,0)),"※未登録のID"))</f>
        <v/>
      </c>
      <c r="D565" s="20"/>
      <c r="E565" s="20"/>
      <c r="F565" s="20"/>
      <c r="G565" s="20"/>
      <c r="H565" s="20"/>
      <c r="I565" s="21"/>
    </row>
    <row r="566" customFormat="false" ht="15" hidden="false" customHeight="false" outlineLevel="0" collapsed="false">
      <c r="A566" s="30"/>
      <c r="B566" s="21"/>
      <c r="C566" s="21" t="str">
        <f aca="false">IF(B566="","",IFERROR(INDEX(代理店一覧!$B$5:$B$204,MATCH(B566,代理店一覧!$A$5:$A$204,0)),"※未登録のID"))</f>
        <v/>
      </c>
      <c r="D566" s="20"/>
      <c r="E566" s="20"/>
      <c r="F566" s="20"/>
      <c r="G566" s="20"/>
      <c r="H566" s="20"/>
      <c r="I566" s="21"/>
    </row>
    <row r="567" customFormat="false" ht="15" hidden="false" customHeight="false" outlineLevel="0" collapsed="false">
      <c r="A567" s="30"/>
      <c r="B567" s="21"/>
      <c r="C567" s="21" t="str">
        <f aca="false">IF(B567="","",IFERROR(INDEX(代理店一覧!$B$5:$B$204,MATCH(B567,代理店一覧!$A$5:$A$204,0)),"※未登録のID"))</f>
        <v/>
      </c>
      <c r="D567" s="20"/>
      <c r="E567" s="20"/>
      <c r="F567" s="20"/>
      <c r="G567" s="20"/>
      <c r="H567" s="20"/>
      <c r="I567" s="21"/>
    </row>
    <row r="568" customFormat="false" ht="15" hidden="false" customHeight="false" outlineLevel="0" collapsed="false">
      <c r="A568" s="30"/>
      <c r="B568" s="21"/>
      <c r="C568" s="21" t="str">
        <f aca="false">IF(B568="","",IFERROR(INDEX(代理店一覧!$B$5:$B$204,MATCH(B568,代理店一覧!$A$5:$A$204,0)),"※未登録のID"))</f>
        <v/>
      </c>
      <c r="D568" s="20"/>
      <c r="E568" s="20"/>
      <c r="F568" s="20"/>
      <c r="G568" s="20"/>
      <c r="H568" s="20"/>
      <c r="I568" s="21"/>
    </row>
    <row r="569" customFormat="false" ht="15" hidden="false" customHeight="false" outlineLevel="0" collapsed="false">
      <c r="A569" s="30"/>
      <c r="B569" s="21"/>
      <c r="C569" s="21" t="str">
        <f aca="false">IF(B569="","",IFERROR(INDEX(代理店一覧!$B$5:$B$204,MATCH(B569,代理店一覧!$A$5:$A$204,0)),"※未登録のID"))</f>
        <v/>
      </c>
      <c r="D569" s="20"/>
      <c r="E569" s="20"/>
      <c r="F569" s="20"/>
      <c r="G569" s="20"/>
      <c r="H569" s="20"/>
      <c r="I569" s="21"/>
    </row>
    <row r="570" customFormat="false" ht="15" hidden="false" customHeight="false" outlineLevel="0" collapsed="false">
      <c r="A570" s="30"/>
      <c r="B570" s="21"/>
      <c r="C570" s="21" t="str">
        <f aca="false">IF(B570="","",IFERROR(INDEX(代理店一覧!$B$5:$B$204,MATCH(B570,代理店一覧!$A$5:$A$204,0)),"※未登録のID"))</f>
        <v/>
      </c>
      <c r="D570" s="20"/>
      <c r="E570" s="20"/>
      <c r="F570" s="20"/>
      <c r="G570" s="20"/>
      <c r="H570" s="20"/>
      <c r="I570" s="21"/>
    </row>
    <row r="571" customFormat="false" ht="15" hidden="false" customHeight="false" outlineLevel="0" collapsed="false">
      <c r="A571" s="30"/>
      <c r="B571" s="21"/>
      <c r="C571" s="21" t="str">
        <f aca="false">IF(B571="","",IFERROR(INDEX(代理店一覧!$B$5:$B$204,MATCH(B571,代理店一覧!$A$5:$A$204,0)),"※未登録のID"))</f>
        <v/>
      </c>
      <c r="D571" s="20"/>
      <c r="E571" s="20"/>
      <c r="F571" s="20"/>
      <c r="G571" s="20"/>
      <c r="H571" s="20"/>
      <c r="I571" s="21"/>
    </row>
    <row r="572" customFormat="false" ht="15" hidden="false" customHeight="false" outlineLevel="0" collapsed="false">
      <c r="A572" s="30"/>
      <c r="B572" s="21"/>
      <c r="C572" s="21" t="str">
        <f aca="false">IF(B572="","",IFERROR(INDEX(代理店一覧!$B$5:$B$204,MATCH(B572,代理店一覧!$A$5:$A$204,0)),"※未登録のID"))</f>
        <v/>
      </c>
      <c r="D572" s="20"/>
      <c r="E572" s="20"/>
      <c r="F572" s="20"/>
      <c r="G572" s="20"/>
      <c r="H572" s="20"/>
      <c r="I572" s="21"/>
    </row>
    <row r="573" customFormat="false" ht="15" hidden="false" customHeight="false" outlineLevel="0" collapsed="false">
      <c r="A573" s="30"/>
      <c r="B573" s="21"/>
      <c r="C573" s="21" t="str">
        <f aca="false">IF(B573="","",IFERROR(INDEX(代理店一覧!$B$5:$B$204,MATCH(B573,代理店一覧!$A$5:$A$204,0)),"※未登録のID"))</f>
        <v/>
      </c>
      <c r="D573" s="20"/>
      <c r="E573" s="20"/>
      <c r="F573" s="20"/>
      <c r="G573" s="20"/>
      <c r="H573" s="20"/>
      <c r="I573" s="21"/>
    </row>
    <row r="574" customFormat="false" ht="15" hidden="false" customHeight="false" outlineLevel="0" collapsed="false">
      <c r="A574" s="30"/>
      <c r="B574" s="21"/>
      <c r="C574" s="21" t="str">
        <f aca="false">IF(B574="","",IFERROR(INDEX(代理店一覧!$B$5:$B$204,MATCH(B574,代理店一覧!$A$5:$A$204,0)),"※未登録のID"))</f>
        <v/>
      </c>
      <c r="D574" s="20"/>
      <c r="E574" s="20"/>
      <c r="F574" s="20"/>
      <c r="G574" s="20"/>
      <c r="H574" s="20"/>
      <c r="I574" s="21"/>
    </row>
    <row r="575" customFormat="false" ht="15" hidden="false" customHeight="false" outlineLevel="0" collapsed="false">
      <c r="A575" s="30"/>
      <c r="B575" s="21"/>
      <c r="C575" s="21" t="str">
        <f aca="false">IF(B575="","",IFERROR(INDEX(代理店一覧!$B$5:$B$204,MATCH(B575,代理店一覧!$A$5:$A$204,0)),"※未登録のID"))</f>
        <v/>
      </c>
      <c r="D575" s="20"/>
      <c r="E575" s="20"/>
      <c r="F575" s="20"/>
      <c r="G575" s="20"/>
      <c r="H575" s="20"/>
      <c r="I575" s="21"/>
    </row>
    <row r="576" customFormat="false" ht="15" hidden="false" customHeight="false" outlineLevel="0" collapsed="false">
      <c r="A576" s="30"/>
      <c r="B576" s="21"/>
      <c r="C576" s="21" t="str">
        <f aca="false">IF(B576="","",IFERROR(INDEX(代理店一覧!$B$5:$B$204,MATCH(B576,代理店一覧!$A$5:$A$204,0)),"※未登録のID"))</f>
        <v/>
      </c>
      <c r="D576" s="20"/>
      <c r="E576" s="20"/>
      <c r="F576" s="20"/>
      <c r="G576" s="20"/>
      <c r="H576" s="20"/>
      <c r="I576" s="21"/>
    </row>
    <row r="577" customFormat="false" ht="15" hidden="false" customHeight="false" outlineLevel="0" collapsed="false">
      <c r="A577" s="30"/>
      <c r="B577" s="21"/>
      <c r="C577" s="21" t="str">
        <f aca="false">IF(B577="","",IFERROR(INDEX(代理店一覧!$B$5:$B$204,MATCH(B577,代理店一覧!$A$5:$A$204,0)),"※未登録のID"))</f>
        <v/>
      </c>
      <c r="D577" s="20"/>
      <c r="E577" s="20"/>
      <c r="F577" s="20"/>
      <c r="G577" s="20"/>
      <c r="H577" s="20"/>
      <c r="I577" s="21"/>
    </row>
    <row r="578" customFormat="false" ht="15" hidden="false" customHeight="false" outlineLevel="0" collapsed="false">
      <c r="A578" s="30"/>
      <c r="B578" s="21"/>
      <c r="C578" s="21" t="str">
        <f aca="false">IF(B578="","",IFERROR(INDEX(代理店一覧!$B$5:$B$204,MATCH(B578,代理店一覧!$A$5:$A$204,0)),"※未登録のID"))</f>
        <v/>
      </c>
      <c r="D578" s="20"/>
      <c r="E578" s="20"/>
      <c r="F578" s="20"/>
      <c r="G578" s="20"/>
      <c r="H578" s="20"/>
      <c r="I578" s="21"/>
    </row>
    <row r="579" customFormat="false" ht="15" hidden="false" customHeight="false" outlineLevel="0" collapsed="false">
      <c r="A579" s="30"/>
      <c r="B579" s="21"/>
      <c r="C579" s="21" t="str">
        <f aca="false">IF(B579="","",IFERROR(INDEX(代理店一覧!$B$5:$B$204,MATCH(B579,代理店一覧!$A$5:$A$204,0)),"※未登録のID"))</f>
        <v/>
      </c>
      <c r="D579" s="20"/>
      <c r="E579" s="20"/>
      <c r="F579" s="20"/>
      <c r="G579" s="20"/>
      <c r="H579" s="20"/>
      <c r="I579" s="21"/>
    </row>
    <row r="580" customFormat="false" ht="15" hidden="false" customHeight="false" outlineLevel="0" collapsed="false">
      <c r="A580" s="30"/>
      <c r="B580" s="21"/>
      <c r="C580" s="21" t="str">
        <f aca="false">IF(B580="","",IFERROR(INDEX(代理店一覧!$B$5:$B$204,MATCH(B580,代理店一覧!$A$5:$A$204,0)),"※未登録のID"))</f>
        <v/>
      </c>
      <c r="D580" s="20"/>
      <c r="E580" s="20"/>
      <c r="F580" s="20"/>
      <c r="G580" s="20"/>
      <c r="H580" s="20"/>
      <c r="I580" s="21"/>
    </row>
    <row r="581" customFormat="false" ht="15" hidden="false" customHeight="false" outlineLevel="0" collapsed="false">
      <c r="A581" s="30"/>
      <c r="B581" s="21"/>
      <c r="C581" s="21" t="str">
        <f aca="false">IF(B581="","",IFERROR(INDEX(代理店一覧!$B$5:$B$204,MATCH(B581,代理店一覧!$A$5:$A$204,0)),"※未登録のID"))</f>
        <v/>
      </c>
      <c r="D581" s="20"/>
      <c r="E581" s="20"/>
      <c r="F581" s="20"/>
      <c r="G581" s="20"/>
      <c r="H581" s="20"/>
      <c r="I581" s="21"/>
    </row>
    <row r="582" customFormat="false" ht="15" hidden="false" customHeight="false" outlineLevel="0" collapsed="false">
      <c r="A582" s="30"/>
      <c r="B582" s="21"/>
      <c r="C582" s="21" t="str">
        <f aca="false">IF(B582="","",IFERROR(INDEX(代理店一覧!$B$5:$B$204,MATCH(B582,代理店一覧!$A$5:$A$204,0)),"※未登録のID"))</f>
        <v/>
      </c>
      <c r="D582" s="20"/>
      <c r="E582" s="20"/>
      <c r="F582" s="20"/>
      <c r="G582" s="20"/>
      <c r="H582" s="20"/>
      <c r="I582" s="21"/>
    </row>
    <row r="583" customFormat="false" ht="15" hidden="false" customHeight="false" outlineLevel="0" collapsed="false">
      <c r="A583" s="30"/>
      <c r="B583" s="21"/>
      <c r="C583" s="21" t="str">
        <f aca="false">IF(B583="","",IFERROR(INDEX(代理店一覧!$B$5:$B$204,MATCH(B583,代理店一覧!$A$5:$A$204,0)),"※未登録のID"))</f>
        <v/>
      </c>
      <c r="D583" s="20"/>
      <c r="E583" s="20"/>
      <c r="F583" s="20"/>
      <c r="G583" s="20"/>
      <c r="H583" s="20"/>
      <c r="I583" s="21"/>
    </row>
    <row r="584" customFormat="false" ht="15" hidden="false" customHeight="false" outlineLevel="0" collapsed="false">
      <c r="A584" s="30"/>
      <c r="B584" s="21"/>
      <c r="C584" s="21" t="str">
        <f aca="false">IF(B584="","",IFERROR(INDEX(代理店一覧!$B$5:$B$204,MATCH(B584,代理店一覧!$A$5:$A$204,0)),"※未登録のID"))</f>
        <v/>
      </c>
      <c r="D584" s="20"/>
      <c r="E584" s="20"/>
      <c r="F584" s="20"/>
      <c r="G584" s="20"/>
      <c r="H584" s="20"/>
      <c r="I584" s="21"/>
    </row>
    <row r="585" customFormat="false" ht="15" hidden="false" customHeight="false" outlineLevel="0" collapsed="false">
      <c r="A585" s="30"/>
      <c r="B585" s="21"/>
      <c r="C585" s="21" t="str">
        <f aca="false">IF(B585="","",IFERROR(INDEX(代理店一覧!$B$5:$B$204,MATCH(B585,代理店一覧!$A$5:$A$204,0)),"※未登録のID"))</f>
        <v/>
      </c>
      <c r="D585" s="20"/>
      <c r="E585" s="20"/>
      <c r="F585" s="20"/>
      <c r="G585" s="20"/>
      <c r="H585" s="20"/>
      <c r="I585" s="21"/>
    </row>
    <row r="586" customFormat="false" ht="15" hidden="false" customHeight="false" outlineLevel="0" collapsed="false">
      <c r="A586" s="30"/>
      <c r="B586" s="21"/>
      <c r="C586" s="21" t="str">
        <f aca="false">IF(B586="","",IFERROR(INDEX(代理店一覧!$B$5:$B$204,MATCH(B586,代理店一覧!$A$5:$A$204,0)),"※未登録のID"))</f>
        <v/>
      </c>
      <c r="D586" s="20"/>
      <c r="E586" s="20"/>
      <c r="F586" s="20"/>
      <c r="G586" s="20"/>
      <c r="H586" s="20"/>
      <c r="I586" s="21"/>
    </row>
    <row r="587" customFormat="false" ht="15" hidden="false" customHeight="false" outlineLevel="0" collapsed="false">
      <c r="A587" s="30"/>
      <c r="B587" s="21"/>
      <c r="C587" s="21" t="str">
        <f aca="false">IF(B587="","",IFERROR(INDEX(代理店一覧!$B$5:$B$204,MATCH(B587,代理店一覧!$A$5:$A$204,0)),"※未登録のID"))</f>
        <v/>
      </c>
      <c r="D587" s="20"/>
      <c r="E587" s="20"/>
      <c r="F587" s="20"/>
      <c r="G587" s="20"/>
      <c r="H587" s="20"/>
      <c r="I587" s="21"/>
    </row>
    <row r="588" customFormat="false" ht="15" hidden="false" customHeight="false" outlineLevel="0" collapsed="false">
      <c r="A588" s="30"/>
      <c r="B588" s="21"/>
      <c r="C588" s="21" t="str">
        <f aca="false">IF(B588="","",IFERROR(INDEX(代理店一覧!$B$5:$B$204,MATCH(B588,代理店一覧!$A$5:$A$204,0)),"※未登録のID"))</f>
        <v/>
      </c>
      <c r="D588" s="20"/>
      <c r="E588" s="20"/>
      <c r="F588" s="20"/>
      <c r="G588" s="20"/>
      <c r="H588" s="20"/>
      <c r="I588" s="21"/>
    </row>
    <row r="589" customFormat="false" ht="15" hidden="false" customHeight="false" outlineLevel="0" collapsed="false">
      <c r="A589" s="30"/>
      <c r="B589" s="21"/>
      <c r="C589" s="21" t="str">
        <f aca="false">IF(B589="","",IFERROR(INDEX(代理店一覧!$B$5:$B$204,MATCH(B589,代理店一覧!$A$5:$A$204,0)),"※未登録のID"))</f>
        <v/>
      </c>
      <c r="D589" s="20"/>
      <c r="E589" s="20"/>
      <c r="F589" s="20"/>
      <c r="G589" s="20"/>
      <c r="H589" s="20"/>
      <c r="I589" s="21"/>
    </row>
    <row r="590" customFormat="false" ht="15" hidden="false" customHeight="false" outlineLevel="0" collapsed="false">
      <c r="A590" s="30"/>
      <c r="B590" s="21"/>
      <c r="C590" s="21" t="str">
        <f aca="false">IF(B590="","",IFERROR(INDEX(代理店一覧!$B$5:$B$204,MATCH(B590,代理店一覧!$A$5:$A$204,0)),"※未登録のID"))</f>
        <v/>
      </c>
      <c r="D590" s="20"/>
      <c r="E590" s="20"/>
      <c r="F590" s="20"/>
      <c r="G590" s="20"/>
      <c r="H590" s="20"/>
      <c r="I590" s="21"/>
    </row>
    <row r="591" customFormat="false" ht="15" hidden="false" customHeight="false" outlineLevel="0" collapsed="false">
      <c r="A591" s="30"/>
      <c r="B591" s="21"/>
      <c r="C591" s="21" t="str">
        <f aca="false">IF(B591="","",IFERROR(INDEX(代理店一覧!$B$5:$B$204,MATCH(B591,代理店一覧!$A$5:$A$204,0)),"※未登録のID"))</f>
        <v/>
      </c>
      <c r="D591" s="20"/>
      <c r="E591" s="20"/>
      <c r="F591" s="20"/>
      <c r="G591" s="20"/>
      <c r="H591" s="20"/>
      <c r="I591" s="21"/>
    </row>
    <row r="592" customFormat="false" ht="15" hidden="false" customHeight="false" outlineLevel="0" collapsed="false">
      <c r="A592" s="30"/>
      <c r="B592" s="21"/>
      <c r="C592" s="21" t="str">
        <f aca="false">IF(B592="","",IFERROR(INDEX(代理店一覧!$B$5:$B$204,MATCH(B592,代理店一覧!$A$5:$A$204,0)),"※未登録のID"))</f>
        <v/>
      </c>
      <c r="D592" s="20"/>
      <c r="E592" s="20"/>
      <c r="F592" s="20"/>
      <c r="G592" s="20"/>
      <c r="H592" s="20"/>
      <c r="I592" s="21"/>
    </row>
    <row r="593" customFormat="false" ht="15" hidden="false" customHeight="false" outlineLevel="0" collapsed="false">
      <c r="A593" s="30"/>
      <c r="B593" s="21"/>
      <c r="C593" s="21" t="str">
        <f aca="false">IF(B593="","",IFERROR(INDEX(代理店一覧!$B$5:$B$204,MATCH(B593,代理店一覧!$A$5:$A$204,0)),"※未登録のID"))</f>
        <v/>
      </c>
      <c r="D593" s="20"/>
      <c r="E593" s="20"/>
      <c r="F593" s="20"/>
      <c r="G593" s="20"/>
      <c r="H593" s="20"/>
      <c r="I593" s="21"/>
    </row>
    <row r="594" customFormat="false" ht="15" hidden="false" customHeight="false" outlineLevel="0" collapsed="false">
      <c r="A594" s="30"/>
      <c r="B594" s="21"/>
      <c r="C594" s="21" t="str">
        <f aca="false">IF(B594="","",IFERROR(INDEX(代理店一覧!$B$5:$B$204,MATCH(B594,代理店一覧!$A$5:$A$204,0)),"※未登録のID"))</f>
        <v/>
      </c>
      <c r="D594" s="20"/>
      <c r="E594" s="20"/>
      <c r="F594" s="20"/>
      <c r="G594" s="20"/>
      <c r="H594" s="20"/>
      <c r="I594" s="21"/>
    </row>
    <row r="595" customFormat="false" ht="15" hidden="false" customHeight="false" outlineLevel="0" collapsed="false">
      <c r="A595" s="30"/>
      <c r="B595" s="21"/>
      <c r="C595" s="21" t="str">
        <f aca="false">IF(B595="","",IFERROR(INDEX(代理店一覧!$B$5:$B$204,MATCH(B595,代理店一覧!$A$5:$A$204,0)),"※未登録のID"))</f>
        <v/>
      </c>
      <c r="D595" s="20"/>
      <c r="E595" s="20"/>
      <c r="F595" s="20"/>
      <c r="G595" s="20"/>
      <c r="H595" s="20"/>
      <c r="I595" s="21"/>
    </row>
    <row r="596" customFormat="false" ht="15" hidden="false" customHeight="false" outlineLevel="0" collapsed="false">
      <c r="A596" s="30"/>
      <c r="B596" s="21"/>
      <c r="C596" s="21" t="str">
        <f aca="false">IF(B596="","",IFERROR(INDEX(代理店一覧!$B$5:$B$204,MATCH(B596,代理店一覧!$A$5:$A$204,0)),"※未登録のID"))</f>
        <v/>
      </c>
      <c r="D596" s="20"/>
      <c r="E596" s="20"/>
      <c r="F596" s="20"/>
      <c r="G596" s="20"/>
      <c r="H596" s="20"/>
      <c r="I596" s="21"/>
    </row>
    <row r="597" customFormat="false" ht="15" hidden="false" customHeight="false" outlineLevel="0" collapsed="false">
      <c r="A597" s="30"/>
      <c r="B597" s="21"/>
      <c r="C597" s="21" t="str">
        <f aca="false">IF(B597="","",IFERROR(INDEX(代理店一覧!$B$5:$B$204,MATCH(B597,代理店一覧!$A$5:$A$204,0)),"※未登録のID"))</f>
        <v/>
      </c>
      <c r="D597" s="20"/>
      <c r="E597" s="20"/>
      <c r="F597" s="20"/>
      <c r="G597" s="20"/>
      <c r="H597" s="20"/>
      <c r="I597" s="21"/>
    </row>
    <row r="598" customFormat="false" ht="15" hidden="false" customHeight="false" outlineLevel="0" collapsed="false">
      <c r="A598" s="30"/>
      <c r="B598" s="21"/>
      <c r="C598" s="21" t="str">
        <f aca="false">IF(B598="","",IFERROR(INDEX(代理店一覧!$B$5:$B$204,MATCH(B598,代理店一覧!$A$5:$A$204,0)),"※未登録のID"))</f>
        <v/>
      </c>
      <c r="D598" s="20"/>
      <c r="E598" s="20"/>
      <c r="F598" s="20"/>
      <c r="G598" s="20"/>
      <c r="H598" s="20"/>
      <c r="I598" s="21"/>
    </row>
    <row r="599" customFormat="false" ht="15" hidden="false" customHeight="false" outlineLevel="0" collapsed="false">
      <c r="A599" s="30"/>
      <c r="B599" s="21"/>
      <c r="C599" s="21" t="str">
        <f aca="false">IF(B599="","",IFERROR(INDEX(代理店一覧!$B$5:$B$204,MATCH(B599,代理店一覧!$A$5:$A$204,0)),"※未登録のID"))</f>
        <v/>
      </c>
      <c r="D599" s="20"/>
      <c r="E599" s="20"/>
      <c r="F599" s="20"/>
      <c r="G599" s="20"/>
      <c r="H599" s="20"/>
      <c r="I599" s="21"/>
    </row>
    <row r="600" customFormat="false" ht="15" hidden="false" customHeight="false" outlineLevel="0" collapsed="false">
      <c r="A600" s="30"/>
      <c r="B600" s="21"/>
      <c r="C600" s="21" t="str">
        <f aca="false">IF(B600="","",IFERROR(INDEX(代理店一覧!$B$5:$B$204,MATCH(B600,代理店一覧!$A$5:$A$204,0)),"※未登録のID"))</f>
        <v/>
      </c>
      <c r="D600" s="20"/>
      <c r="E600" s="20"/>
      <c r="F600" s="20"/>
      <c r="G600" s="20"/>
      <c r="H600" s="20"/>
      <c r="I600" s="21"/>
    </row>
    <row r="601" customFormat="false" ht="15" hidden="false" customHeight="false" outlineLevel="0" collapsed="false">
      <c r="A601" s="30"/>
      <c r="B601" s="21"/>
      <c r="C601" s="21" t="str">
        <f aca="false">IF(B601="","",IFERROR(INDEX(代理店一覧!$B$5:$B$204,MATCH(B601,代理店一覧!$A$5:$A$204,0)),"※未登録のID"))</f>
        <v/>
      </c>
      <c r="D601" s="20"/>
      <c r="E601" s="20"/>
      <c r="F601" s="20"/>
      <c r="G601" s="20"/>
      <c r="H601" s="20"/>
      <c r="I601" s="21"/>
    </row>
    <row r="602" customFormat="false" ht="15" hidden="false" customHeight="false" outlineLevel="0" collapsed="false">
      <c r="A602" s="30"/>
      <c r="B602" s="21"/>
      <c r="C602" s="21" t="str">
        <f aca="false">IF(B602="","",IFERROR(INDEX(代理店一覧!$B$5:$B$204,MATCH(B602,代理店一覧!$A$5:$A$204,0)),"※未登録のID"))</f>
        <v/>
      </c>
      <c r="D602" s="20"/>
      <c r="E602" s="20"/>
      <c r="F602" s="20"/>
      <c r="G602" s="20"/>
      <c r="H602" s="20"/>
      <c r="I602" s="21"/>
    </row>
    <row r="603" customFormat="false" ht="15" hidden="false" customHeight="false" outlineLevel="0" collapsed="false">
      <c r="A603" s="30"/>
      <c r="B603" s="21"/>
      <c r="C603" s="21" t="str">
        <f aca="false">IF(B603="","",IFERROR(INDEX(代理店一覧!$B$5:$B$204,MATCH(B603,代理店一覧!$A$5:$A$204,0)),"※未登録のID"))</f>
        <v/>
      </c>
      <c r="D603" s="20"/>
      <c r="E603" s="20"/>
      <c r="F603" s="20"/>
      <c r="G603" s="20"/>
      <c r="H603" s="20"/>
      <c r="I603" s="21"/>
    </row>
    <row r="604" customFormat="false" ht="15" hidden="false" customHeight="false" outlineLevel="0" collapsed="false">
      <c r="A604" s="30"/>
      <c r="B604" s="21"/>
      <c r="C604" s="21" t="str">
        <f aca="false">IF(B604="","",IFERROR(INDEX(代理店一覧!$B$5:$B$204,MATCH(B604,代理店一覧!$A$5:$A$204,0)),"※未登録のID"))</f>
        <v/>
      </c>
      <c r="D604" s="20"/>
      <c r="E604" s="20"/>
      <c r="F604" s="20"/>
      <c r="G604" s="20"/>
      <c r="H604" s="20"/>
      <c r="I604" s="21"/>
    </row>
    <row r="605" customFormat="false" ht="15" hidden="false" customHeight="false" outlineLevel="0" collapsed="false">
      <c r="A605" s="30"/>
      <c r="B605" s="21"/>
      <c r="C605" s="21" t="str">
        <f aca="false">IF(B605="","",IFERROR(INDEX(代理店一覧!$B$5:$B$204,MATCH(B605,代理店一覧!$A$5:$A$204,0)),"※未登録のID"))</f>
        <v/>
      </c>
      <c r="D605" s="20"/>
      <c r="E605" s="20"/>
      <c r="F605" s="20"/>
      <c r="G605" s="20"/>
      <c r="H605" s="20"/>
      <c r="I605" s="21"/>
    </row>
    <row r="606" customFormat="false" ht="15" hidden="false" customHeight="false" outlineLevel="0" collapsed="false">
      <c r="A606" s="30"/>
      <c r="B606" s="21"/>
      <c r="C606" s="21" t="str">
        <f aca="false">IF(B606="","",IFERROR(INDEX(代理店一覧!$B$5:$B$204,MATCH(B606,代理店一覧!$A$5:$A$204,0)),"※未登録のID"))</f>
        <v/>
      </c>
      <c r="D606" s="20"/>
      <c r="E606" s="20"/>
      <c r="F606" s="20"/>
      <c r="G606" s="20"/>
      <c r="H606" s="20"/>
      <c r="I606" s="21"/>
    </row>
    <row r="607" customFormat="false" ht="15" hidden="false" customHeight="false" outlineLevel="0" collapsed="false">
      <c r="A607" s="30"/>
      <c r="B607" s="21"/>
      <c r="C607" s="21" t="str">
        <f aca="false">IF(B607="","",IFERROR(INDEX(代理店一覧!$B$5:$B$204,MATCH(B607,代理店一覧!$A$5:$A$204,0)),"※未登録のID"))</f>
        <v/>
      </c>
      <c r="D607" s="20"/>
      <c r="E607" s="20"/>
      <c r="F607" s="20"/>
      <c r="G607" s="20"/>
      <c r="H607" s="20"/>
      <c r="I607" s="21"/>
    </row>
    <row r="608" customFormat="false" ht="15" hidden="false" customHeight="false" outlineLevel="0" collapsed="false">
      <c r="A608" s="30"/>
      <c r="B608" s="21"/>
      <c r="C608" s="21" t="str">
        <f aca="false">IF(B608="","",IFERROR(INDEX(代理店一覧!$B$5:$B$204,MATCH(B608,代理店一覧!$A$5:$A$204,0)),"※未登録のID"))</f>
        <v/>
      </c>
      <c r="D608" s="20"/>
      <c r="E608" s="20"/>
      <c r="F608" s="20"/>
      <c r="G608" s="20"/>
      <c r="H608" s="20"/>
      <c r="I608" s="21"/>
    </row>
    <row r="609" customFormat="false" ht="15" hidden="false" customHeight="false" outlineLevel="0" collapsed="false">
      <c r="A609" s="30"/>
      <c r="B609" s="21"/>
      <c r="C609" s="21" t="str">
        <f aca="false">IF(B609="","",IFERROR(INDEX(代理店一覧!$B$5:$B$204,MATCH(B609,代理店一覧!$A$5:$A$204,0)),"※未登録のID"))</f>
        <v/>
      </c>
      <c r="D609" s="20"/>
      <c r="E609" s="20"/>
      <c r="F609" s="20"/>
      <c r="G609" s="20"/>
      <c r="H609" s="20"/>
      <c r="I609" s="21"/>
    </row>
    <row r="610" customFormat="false" ht="15" hidden="false" customHeight="false" outlineLevel="0" collapsed="false">
      <c r="A610" s="30"/>
      <c r="B610" s="21"/>
      <c r="C610" s="21" t="str">
        <f aca="false">IF(B610="","",IFERROR(INDEX(代理店一覧!$B$5:$B$204,MATCH(B610,代理店一覧!$A$5:$A$204,0)),"※未登録のID"))</f>
        <v/>
      </c>
      <c r="D610" s="20"/>
      <c r="E610" s="20"/>
      <c r="F610" s="20"/>
      <c r="G610" s="20"/>
      <c r="H610" s="20"/>
      <c r="I610" s="21"/>
    </row>
    <row r="611" customFormat="false" ht="15" hidden="false" customHeight="false" outlineLevel="0" collapsed="false">
      <c r="A611" s="30"/>
      <c r="B611" s="21"/>
      <c r="C611" s="21" t="str">
        <f aca="false">IF(B611="","",IFERROR(INDEX(代理店一覧!$B$5:$B$204,MATCH(B611,代理店一覧!$A$5:$A$204,0)),"※未登録のID"))</f>
        <v/>
      </c>
      <c r="D611" s="20"/>
      <c r="E611" s="20"/>
      <c r="F611" s="20"/>
      <c r="G611" s="20"/>
      <c r="H611" s="20"/>
      <c r="I611" s="21"/>
    </row>
    <row r="612" customFormat="false" ht="15" hidden="false" customHeight="false" outlineLevel="0" collapsed="false">
      <c r="A612" s="30"/>
      <c r="B612" s="21"/>
      <c r="C612" s="21" t="str">
        <f aca="false">IF(B612="","",IFERROR(INDEX(代理店一覧!$B$5:$B$204,MATCH(B612,代理店一覧!$A$5:$A$204,0)),"※未登録のID"))</f>
        <v/>
      </c>
      <c r="D612" s="20"/>
      <c r="E612" s="20"/>
      <c r="F612" s="20"/>
      <c r="G612" s="20"/>
      <c r="H612" s="20"/>
      <c r="I612" s="21"/>
    </row>
    <row r="613" customFormat="false" ht="15" hidden="false" customHeight="false" outlineLevel="0" collapsed="false">
      <c r="A613" s="30"/>
      <c r="B613" s="21"/>
      <c r="C613" s="21" t="str">
        <f aca="false">IF(B613="","",IFERROR(INDEX(代理店一覧!$B$5:$B$204,MATCH(B613,代理店一覧!$A$5:$A$204,0)),"※未登録のID"))</f>
        <v/>
      </c>
      <c r="D613" s="20"/>
      <c r="E613" s="20"/>
      <c r="F613" s="20"/>
      <c r="G613" s="20"/>
      <c r="H613" s="20"/>
      <c r="I613" s="21"/>
    </row>
    <row r="614" customFormat="false" ht="15" hidden="false" customHeight="false" outlineLevel="0" collapsed="false">
      <c r="A614" s="30"/>
      <c r="B614" s="21"/>
      <c r="C614" s="21" t="str">
        <f aca="false">IF(B614="","",IFERROR(INDEX(代理店一覧!$B$5:$B$204,MATCH(B614,代理店一覧!$A$5:$A$204,0)),"※未登録のID"))</f>
        <v/>
      </c>
      <c r="D614" s="20"/>
      <c r="E614" s="20"/>
      <c r="F614" s="20"/>
      <c r="G614" s="20"/>
      <c r="H614" s="20"/>
      <c r="I614" s="21"/>
    </row>
    <row r="615" customFormat="false" ht="15" hidden="false" customHeight="false" outlineLevel="0" collapsed="false">
      <c r="A615" s="30"/>
      <c r="B615" s="21"/>
      <c r="C615" s="21" t="str">
        <f aca="false">IF(B615="","",IFERROR(INDEX(代理店一覧!$B$5:$B$204,MATCH(B615,代理店一覧!$A$5:$A$204,0)),"※未登録のID"))</f>
        <v/>
      </c>
      <c r="D615" s="20"/>
      <c r="E615" s="20"/>
      <c r="F615" s="20"/>
      <c r="G615" s="20"/>
      <c r="H615" s="20"/>
      <c r="I615" s="21"/>
    </row>
    <row r="616" customFormat="false" ht="15" hidden="false" customHeight="false" outlineLevel="0" collapsed="false">
      <c r="A616" s="30"/>
      <c r="B616" s="21"/>
      <c r="C616" s="21" t="str">
        <f aca="false">IF(B616="","",IFERROR(INDEX(代理店一覧!$B$5:$B$204,MATCH(B616,代理店一覧!$A$5:$A$204,0)),"※未登録のID"))</f>
        <v/>
      </c>
      <c r="D616" s="20"/>
      <c r="E616" s="20"/>
      <c r="F616" s="20"/>
      <c r="G616" s="20"/>
      <c r="H616" s="20"/>
      <c r="I616" s="21"/>
    </row>
    <row r="617" customFormat="false" ht="15" hidden="false" customHeight="false" outlineLevel="0" collapsed="false">
      <c r="A617" s="30"/>
      <c r="B617" s="21"/>
      <c r="C617" s="21" t="str">
        <f aca="false">IF(B617="","",IFERROR(INDEX(代理店一覧!$B$5:$B$204,MATCH(B617,代理店一覧!$A$5:$A$204,0)),"※未登録のID"))</f>
        <v/>
      </c>
      <c r="D617" s="20"/>
      <c r="E617" s="20"/>
      <c r="F617" s="20"/>
      <c r="G617" s="20"/>
      <c r="H617" s="20"/>
      <c r="I617" s="21"/>
    </row>
    <row r="618" customFormat="false" ht="15" hidden="false" customHeight="false" outlineLevel="0" collapsed="false">
      <c r="A618" s="30"/>
      <c r="B618" s="21"/>
      <c r="C618" s="21" t="str">
        <f aca="false">IF(B618="","",IFERROR(INDEX(代理店一覧!$B$5:$B$204,MATCH(B618,代理店一覧!$A$5:$A$204,0)),"※未登録のID"))</f>
        <v/>
      </c>
      <c r="D618" s="20"/>
      <c r="E618" s="20"/>
      <c r="F618" s="20"/>
      <c r="G618" s="20"/>
      <c r="H618" s="20"/>
      <c r="I618" s="21"/>
    </row>
    <row r="619" customFormat="false" ht="15" hidden="false" customHeight="false" outlineLevel="0" collapsed="false">
      <c r="A619" s="30"/>
      <c r="B619" s="21"/>
      <c r="C619" s="21" t="str">
        <f aca="false">IF(B619="","",IFERROR(INDEX(代理店一覧!$B$5:$B$204,MATCH(B619,代理店一覧!$A$5:$A$204,0)),"※未登録のID"))</f>
        <v/>
      </c>
      <c r="D619" s="20"/>
      <c r="E619" s="20"/>
      <c r="F619" s="20"/>
      <c r="G619" s="20"/>
      <c r="H619" s="20"/>
      <c r="I619" s="21"/>
    </row>
    <row r="620" customFormat="false" ht="15" hidden="false" customHeight="false" outlineLevel="0" collapsed="false">
      <c r="A620" s="30"/>
      <c r="B620" s="21"/>
      <c r="C620" s="21" t="str">
        <f aca="false">IF(B620="","",IFERROR(INDEX(代理店一覧!$B$5:$B$204,MATCH(B620,代理店一覧!$A$5:$A$204,0)),"※未登録のID"))</f>
        <v/>
      </c>
      <c r="D620" s="20"/>
      <c r="E620" s="20"/>
      <c r="F620" s="20"/>
      <c r="G620" s="20"/>
      <c r="H620" s="20"/>
      <c r="I620" s="21"/>
    </row>
    <row r="621" customFormat="false" ht="15" hidden="false" customHeight="false" outlineLevel="0" collapsed="false">
      <c r="A621" s="30"/>
      <c r="B621" s="21"/>
      <c r="C621" s="21" t="str">
        <f aca="false">IF(B621="","",IFERROR(INDEX(代理店一覧!$B$5:$B$204,MATCH(B621,代理店一覧!$A$5:$A$204,0)),"※未登録のID"))</f>
        <v/>
      </c>
      <c r="D621" s="20"/>
      <c r="E621" s="20"/>
      <c r="F621" s="20"/>
      <c r="G621" s="20"/>
      <c r="H621" s="20"/>
      <c r="I621" s="21"/>
    </row>
    <row r="622" customFormat="false" ht="15" hidden="false" customHeight="false" outlineLevel="0" collapsed="false">
      <c r="A622" s="30"/>
      <c r="B622" s="21"/>
      <c r="C622" s="21" t="str">
        <f aca="false">IF(B622="","",IFERROR(INDEX(代理店一覧!$B$5:$B$204,MATCH(B622,代理店一覧!$A$5:$A$204,0)),"※未登録のID"))</f>
        <v/>
      </c>
      <c r="D622" s="20"/>
      <c r="E622" s="20"/>
      <c r="F622" s="20"/>
      <c r="G622" s="20"/>
      <c r="H622" s="20"/>
      <c r="I622" s="21"/>
    </row>
    <row r="623" customFormat="false" ht="15" hidden="false" customHeight="false" outlineLevel="0" collapsed="false">
      <c r="A623" s="30"/>
      <c r="B623" s="21"/>
      <c r="C623" s="21" t="str">
        <f aca="false">IF(B623="","",IFERROR(INDEX(代理店一覧!$B$5:$B$204,MATCH(B623,代理店一覧!$A$5:$A$204,0)),"※未登録のID"))</f>
        <v/>
      </c>
      <c r="D623" s="20"/>
      <c r="E623" s="20"/>
      <c r="F623" s="20"/>
      <c r="G623" s="20"/>
      <c r="H623" s="20"/>
      <c r="I623" s="21"/>
    </row>
    <row r="624" customFormat="false" ht="15" hidden="false" customHeight="false" outlineLevel="0" collapsed="false">
      <c r="A624" s="30"/>
      <c r="B624" s="21"/>
      <c r="C624" s="21" t="str">
        <f aca="false">IF(B624="","",IFERROR(INDEX(代理店一覧!$B$5:$B$204,MATCH(B624,代理店一覧!$A$5:$A$204,0)),"※未登録のID"))</f>
        <v/>
      </c>
      <c r="D624" s="20"/>
      <c r="E624" s="20"/>
      <c r="F624" s="20"/>
      <c r="G624" s="20"/>
      <c r="H624" s="20"/>
      <c r="I624" s="21"/>
    </row>
    <row r="625" customFormat="false" ht="15" hidden="false" customHeight="false" outlineLevel="0" collapsed="false">
      <c r="A625" s="30"/>
      <c r="B625" s="21"/>
      <c r="C625" s="21" t="str">
        <f aca="false">IF(B625="","",IFERROR(INDEX(代理店一覧!$B$5:$B$204,MATCH(B625,代理店一覧!$A$5:$A$204,0)),"※未登録のID"))</f>
        <v/>
      </c>
      <c r="D625" s="20"/>
      <c r="E625" s="20"/>
      <c r="F625" s="20"/>
      <c r="G625" s="20"/>
      <c r="H625" s="20"/>
      <c r="I625" s="21"/>
    </row>
    <row r="626" customFormat="false" ht="15" hidden="false" customHeight="false" outlineLevel="0" collapsed="false">
      <c r="A626" s="30"/>
      <c r="B626" s="21"/>
      <c r="C626" s="21" t="str">
        <f aca="false">IF(B626="","",IFERROR(INDEX(代理店一覧!$B$5:$B$204,MATCH(B626,代理店一覧!$A$5:$A$204,0)),"※未登録のID"))</f>
        <v/>
      </c>
      <c r="D626" s="20"/>
      <c r="E626" s="20"/>
      <c r="F626" s="20"/>
      <c r="G626" s="20"/>
      <c r="H626" s="20"/>
      <c r="I626" s="21"/>
    </row>
    <row r="627" customFormat="false" ht="15" hidden="false" customHeight="false" outlineLevel="0" collapsed="false">
      <c r="A627" s="30"/>
      <c r="B627" s="21"/>
      <c r="C627" s="21" t="str">
        <f aca="false">IF(B627="","",IFERROR(INDEX(代理店一覧!$B$5:$B$204,MATCH(B627,代理店一覧!$A$5:$A$204,0)),"※未登録のID"))</f>
        <v/>
      </c>
      <c r="D627" s="20"/>
      <c r="E627" s="20"/>
      <c r="F627" s="20"/>
      <c r="G627" s="20"/>
      <c r="H627" s="20"/>
      <c r="I627" s="21"/>
    </row>
    <row r="628" customFormat="false" ht="15" hidden="false" customHeight="false" outlineLevel="0" collapsed="false">
      <c r="A628" s="30"/>
      <c r="B628" s="21"/>
      <c r="C628" s="21" t="str">
        <f aca="false">IF(B628="","",IFERROR(INDEX(代理店一覧!$B$5:$B$204,MATCH(B628,代理店一覧!$A$5:$A$204,0)),"※未登録のID"))</f>
        <v/>
      </c>
      <c r="D628" s="20"/>
      <c r="E628" s="20"/>
      <c r="F628" s="20"/>
      <c r="G628" s="20"/>
      <c r="H628" s="20"/>
      <c r="I628" s="21"/>
    </row>
    <row r="629" customFormat="false" ht="15" hidden="false" customHeight="false" outlineLevel="0" collapsed="false">
      <c r="A629" s="30"/>
      <c r="B629" s="21"/>
      <c r="C629" s="21" t="str">
        <f aca="false">IF(B629="","",IFERROR(INDEX(代理店一覧!$B$5:$B$204,MATCH(B629,代理店一覧!$A$5:$A$204,0)),"※未登録のID"))</f>
        <v/>
      </c>
      <c r="D629" s="20"/>
      <c r="E629" s="20"/>
      <c r="F629" s="20"/>
      <c r="G629" s="20"/>
      <c r="H629" s="20"/>
      <c r="I629" s="21"/>
    </row>
    <row r="630" customFormat="false" ht="15" hidden="false" customHeight="false" outlineLevel="0" collapsed="false">
      <c r="A630" s="30"/>
      <c r="B630" s="21"/>
      <c r="C630" s="21" t="str">
        <f aca="false">IF(B630="","",IFERROR(INDEX(代理店一覧!$B$5:$B$204,MATCH(B630,代理店一覧!$A$5:$A$204,0)),"※未登録のID"))</f>
        <v/>
      </c>
      <c r="D630" s="20"/>
      <c r="E630" s="20"/>
      <c r="F630" s="20"/>
      <c r="G630" s="20"/>
      <c r="H630" s="20"/>
      <c r="I630" s="21"/>
    </row>
    <row r="631" customFormat="false" ht="15" hidden="false" customHeight="false" outlineLevel="0" collapsed="false">
      <c r="A631" s="30"/>
      <c r="B631" s="21"/>
      <c r="C631" s="21" t="str">
        <f aca="false">IF(B631="","",IFERROR(INDEX(代理店一覧!$B$5:$B$204,MATCH(B631,代理店一覧!$A$5:$A$204,0)),"※未登録のID"))</f>
        <v/>
      </c>
      <c r="D631" s="20"/>
      <c r="E631" s="20"/>
      <c r="F631" s="20"/>
      <c r="G631" s="20"/>
      <c r="H631" s="20"/>
      <c r="I631" s="21"/>
    </row>
    <row r="632" customFormat="false" ht="15" hidden="false" customHeight="false" outlineLevel="0" collapsed="false">
      <c r="A632" s="30"/>
      <c r="B632" s="21"/>
      <c r="C632" s="21" t="str">
        <f aca="false">IF(B632="","",IFERROR(INDEX(代理店一覧!$B$5:$B$204,MATCH(B632,代理店一覧!$A$5:$A$204,0)),"※未登録のID"))</f>
        <v/>
      </c>
      <c r="D632" s="20"/>
      <c r="E632" s="20"/>
      <c r="F632" s="20"/>
      <c r="G632" s="20"/>
      <c r="H632" s="20"/>
      <c r="I632" s="21"/>
    </row>
    <row r="633" customFormat="false" ht="15" hidden="false" customHeight="false" outlineLevel="0" collapsed="false">
      <c r="A633" s="30"/>
      <c r="B633" s="21"/>
      <c r="C633" s="21" t="str">
        <f aca="false">IF(B633="","",IFERROR(INDEX(代理店一覧!$B$5:$B$204,MATCH(B633,代理店一覧!$A$5:$A$204,0)),"※未登録のID"))</f>
        <v/>
      </c>
      <c r="D633" s="20"/>
      <c r="E633" s="20"/>
      <c r="F633" s="20"/>
      <c r="G633" s="20"/>
      <c r="H633" s="20"/>
      <c r="I633" s="21"/>
    </row>
    <row r="634" customFormat="false" ht="15" hidden="false" customHeight="false" outlineLevel="0" collapsed="false">
      <c r="A634" s="30"/>
      <c r="B634" s="21"/>
      <c r="C634" s="21" t="str">
        <f aca="false">IF(B634="","",IFERROR(INDEX(代理店一覧!$B$5:$B$204,MATCH(B634,代理店一覧!$A$5:$A$204,0)),"※未登録のID"))</f>
        <v/>
      </c>
      <c r="D634" s="20"/>
      <c r="E634" s="20"/>
      <c r="F634" s="20"/>
      <c r="G634" s="20"/>
      <c r="H634" s="20"/>
      <c r="I634" s="21"/>
    </row>
    <row r="635" customFormat="false" ht="15" hidden="false" customHeight="false" outlineLevel="0" collapsed="false">
      <c r="A635" s="30"/>
      <c r="B635" s="21"/>
      <c r="C635" s="21" t="str">
        <f aca="false">IF(B635="","",IFERROR(INDEX(代理店一覧!$B$5:$B$204,MATCH(B635,代理店一覧!$A$5:$A$204,0)),"※未登録のID"))</f>
        <v/>
      </c>
      <c r="D635" s="20"/>
      <c r="E635" s="20"/>
      <c r="F635" s="20"/>
      <c r="G635" s="20"/>
      <c r="H635" s="20"/>
      <c r="I635" s="21"/>
    </row>
    <row r="636" customFormat="false" ht="15" hidden="false" customHeight="false" outlineLevel="0" collapsed="false">
      <c r="A636" s="30"/>
      <c r="B636" s="21"/>
      <c r="C636" s="21" t="str">
        <f aca="false">IF(B636="","",IFERROR(INDEX(代理店一覧!$B$5:$B$204,MATCH(B636,代理店一覧!$A$5:$A$204,0)),"※未登録のID"))</f>
        <v/>
      </c>
      <c r="D636" s="20"/>
      <c r="E636" s="20"/>
      <c r="F636" s="20"/>
      <c r="G636" s="20"/>
      <c r="H636" s="20"/>
      <c r="I636" s="21"/>
    </row>
    <row r="637" customFormat="false" ht="15" hidden="false" customHeight="false" outlineLevel="0" collapsed="false">
      <c r="A637" s="30"/>
      <c r="B637" s="21"/>
      <c r="C637" s="21" t="str">
        <f aca="false">IF(B637="","",IFERROR(INDEX(代理店一覧!$B$5:$B$204,MATCH(B637,代理店一覧!$A$5:$A$204,0)),"※未登録のID"))</f>
        <v/>
      </c>
      <c r="D637" s="20"/>
      <c r="E637" s="20"/>
      <c r="F637" s="20"/>
      <c r="G637" s="20"/>
      <c r="H637" s="20"/>
      <c r="I637" s="21"/>
    </row>
    <row r="638" customFormat="false" ht="15" hidden="false" customHeight="false" outlineLevel="0" collapsed="false">
      <c r="A638" s="30"/>
      <c r="B638" s="21"/>
      <c r="C638" s="21" t="str">
        <f aca="false">IF(B638="","",IFERROR(INDEX(代理店一覧!$B$5:$B$204,MATCH(B638,代理店一覧!$A$5:$A$204,0)),"※未登録のID"))</f>
        <v/>
      </c>
      <c r="D638" s="20"/>
      <c r="E638" s="20"/>
      <c r="F638" s="20"/>
      <c r="G638" s="20"/>
      <c r="H638" s="20"/>
      <c r="I638" s="21"/>
    </row>
    <row r="639" customFormat="false" ht="15" hidden="false" customHeight="false" outlineLevel="0" collapsed="false">
      <c r="A639" s="30"/>
      <c r="B639" s="21"/>
      <c r="C639" s="21" t="str">
        <f aca="false">IF(B639="","",IFERROR(INDEX(代理店一覧!$B$5:$B$204,MATCH(B639,代理店一覧!$A$5:$A$204,0)),"※未登録のID"))</f>
        <v/>
      </c>
      <c r="D639" s="20"/>
      <c r="E639" s="20"/>
      <c r="F639" s="20"/>
      <c r="G639" s="20"/>
      <c r="H639" s="20"/>
      <c r="I639" s="21"/>
    </row>
    <row r="640" customFormat="false" ht="15" hidden="false" customHeight="false" outlineLevel="0" collapsed="false">
      <c r="A640" s="30"/>
      <c r="B640" s="21"/>
      <c r="C640" s="21" t="str">
        <f aca="false">IF(B640="","",IFERROR(INDEX(代理店一覧!$B$5:$B$204,MATCH(B640,代理店一覧!$A$5:$A$204,0)),"※未登録のID"))</f>
        <v/>
      </c>
      <c r="D640" s="20"/>
      <c r="E640" s="20"/>
      <c r="F640" s="20"/>
      <c r="G640" s="20"/>
      <c r="H640" s="20"/>
      <c r="I640" s="21"/>
    </row>
    <row r="641" customFormat="false" ht="15" hidden="false" customHeight="false" outlineLevel="0" collapsed="false">
      <c r="A641" s="30"/>
      <c r="B641" s="21"/>
      <c r="C641" s="21" t="str">
        <f aca="false">IF(B641="","",IFERROR(INDEX(代理店一覧!$B$5:$B$204,MATCH(B641,代理店一覧!$A$5:$A$204,0)),"※未登録のID"))</f>
        <v/>
      </c>
      <c r="D641" s="20"/>
      <c r="E641" s="20"/>
      <c r="F641" s="20"/>
      <c r="G641" s="20"/>
      <c r="H641" s="20"/>
      <c r="I641" s="21"/>
    </row>
    <row r="642" customFormat="false" ht="15" hidden="false" customHeight="false" outlineLevel="0" collapsed="false">
      <c r="A642" s="30"/>
      <c r="B642" s="21"/>
      <c r="C642" s="21" t="str">
        <f aca="false">IF(B642="","",IFERROR(INDEX(代理店一覧!$B$5:$B$204,MATCH(B642,代理店一覧!$A$5:$A$204,0)),"※未登録のID"))</f>
        <v/>
      </c>
      <c r="D642" s="20"/>
      <c r="E642" s="20"/>
      <c r="F642" s="20"/>
      <c r="G642" s="20"/>
      <c r="H642" s="20"/>
      <c r="I642" s="21"/>
    </row>
    <row r="643" customFormat="false" ht="15" hidden="false" customHeight="false" outlineLevel="0" collapsed="false">
      <c r="A643" s="30"/>
      <c r="B643" s="21"/>
      <c r="C643" s="21" t="str">
        <f aca="false">IF(B643="","",IFERROR(INDEX(代理店一覧!$B$5:$B$204,MATCH(B643,代理店一覧!$A$5:$A$204,0)),"※未登録のID"))</f>
        <v/>
      </c>
      <c r="D643" s="20"/>
      <c r="E643" s="20"/>
      <c r="F643" s="20"/>
      <c r="G643" s="20"/>
      <c r="H643" s="20"/>
      <c r="I643" s="21"/>
    </row>
    <row r="644" customFormat="false" ht="15" hidden="false" customHeight="false" outlineLevel="0" collapsed="false">
      <c r="A644" s="30"/>
      <c r="B644" s="21"/>
      <c r="C644" s="21" t="str">
        <f aca="false">IF(B644="","",IFERROR(INDEX(代理店一覧!$B$5:$B$204,MATCH(B644,代理店一覧!$A$5:$A$204,0)),"※未登録のID"))</f>
        <v/>
      </c>
      <c r="D644" s="20"/>
      <c r="E644" s="20"/>
      <c r="F644" s="20"/>
      <c r="G644" s="20"/>
      <c r="H644" s="20"/>
      <c r="I644" s="21"/>
    </row>
    <row r="645" customFormat="false" ht="15" hidden="false" customHeight="false" outlineLevel="0" collapsed="false">
      <c r="A645" s="30"/>
      <c r="B645" s="21"/>
      <c r="C645" s="21" t="str">
        <f aca="false">IF(B645="","",IFERROR(INDEX(代理店一覧!$B$5:$B$204,MATCH(B645,代理店一覧!$A$5:$A$204,0)),"※未登録のID"))</f>
        <v/>
      </c>
      <c r="D645" s="20"/>
      <c r="E645" s="20"/>
      <c r="F645" s="20"/>
      <c r="G645" s="20"/>
      <c r="H645" s="20"/>
      <c r="I645" s="21"/>
    </row>
    <row r="646" customFormat="false" ht="15" hidden="false" customHeight="false" outlineLevel="0" collapsed="false">
      <c r="A646" s="30"/>
      <c r="B646" s="21"/>
      <c r="C646" s="21" t="str">
        <f aca="false">IF(B646="","",IFERROR(INDEX(代理店一覧!$B$5:$B$204,MATCH(B646,代理店一覧!$A$5:$A$204,0)),"※未登録のID"))</f>
        <v/>
      </c>
      <c r="D646" s="20"/>
      <c r="E646" s="20"/>
      <c r="F646" s="20"/>
      <c r="G646" s="20"/>
      <c r="H646" s="20"/>
      <c r="I646" s="21"/>
    </row>
    <row r="647" customFormat="false" ht="15" hidden="false" customHeight="false" outlineLevel="0" collapsed="false">
      <c r="A647" s="30"/>
      <c r="B647" s="21"/>
      <c r="C647" s="21" t="str">
        <f aca="false">IF(B647="","",IFERROR(INDEX(代理店一覧!$B$5:$B$204,MATCH(B647,代理店一覧!$A$5:$A$204,0)),"※未登録のID"))</f>
        <v/>
      </c>
      <c r="D647" s="20"/>
      <c r="E647" s="20"/>
      <c r="F647" s="20"/>
      <c r="G647" s="20"/>
      <c r="H647" s="20"/>
      <c r="I647" s="21"/>
    </row>
    <row r="648" customFormat="false" ht="15" hidden="false" customHeight="false" outlineLevel="0" collapsed="false">
      <c r="A648" s="30"/>
      <c r="B648" s="21"/>
      <c r="C648" s="21" t="str">
        <f aca="false">IF(B648="","",IFERROR(INDEX(代理店一覧!$B$5:$B$204,MATCH(B648,代理店一覧!$A$5:$A$204,0)),"※未登録のID"))</f>
        <v/>
      </c>
      <c r="D648" s="20"/>
      <c r="E648" s="20"/>
      <c r="F648" s="20"/>
      <c r="G648" s="20"/>
      <c r="H648" s="20"/>
      <c r="I648" s="21"/>
    </row>
    <row r="649" customFormat="false" ht="15" hidden="false" customHeight="false" outlineLevel="0" collapsed="false">
      <c r="A649" s="30"/>
      <c r="B649" s="21"/>
      <c r="C649" s="21" t="str">
        <f aca="false">IF(B649="","",IFERROR(INDEX(代理店一覧!$B$5:$B$204,MATCH(B649,代理店一覧!$A$5:$A$204,0)),"※未登録のID"))</f>
        <v/>
      </c>
      <c r="D649" s="20"/>
      <c r="E649" s="20"/>
      <c r="F649" s="20"/>
      <c r="G649" s="20"/>
      <c r="H649" s="20"/>
      <c r="I649" s="21"/>
    </row>
    <row r="650" customFormat="false" ht="15" hidden="false" customHeight="false" outlineLevel="0" collapsed="false">
      <c r="A650" s="30"/>
      <c r="B650" s="21"/>
      <c r="C650" s="21" t="str">
        <f aca="false">IF(B650="","",IFERROR(INDEX(代理店一覧!$B$5:$B$204,MATCH(B650,代理店一覧!$A$5:$A$204,0)),"※未登録のID"))</f>
        <v/>
      </c>
      <c r="D650" s="20"/>
      <c r="E650" s="20"/>
      <c r="F650" s="20"/>
      <c r="G650" s="20"/>
      <c r="H650" s="20"/>
      <c r="I650" s="21"/>
    </row>
    <row r="651" customFormat="false" ht="15" hidden="false" customHeight="false" outlineLevel="0" collapsed="false">
      <c r="A651" s="30"/>
      <c r="B651" s="21"/>
      <c r="C651" s="21" t="str">
        <f aca="false">IF(B651="","",IFERROR(INDEX(代理店一覧!$B$5:$B$204,MATCH(B651,代理店一覧!$A$5:$A$204,0)),"※未登録のID"))</f>
        <v/>
      </c>
      <c r="D651" s="20"/>
      <c r="E651" s="20"/>
      <c r="F651" s="20"/>
      <c r="G651" s="20"/>
      <c r="H651" s="20"/>
      <c r="I651" s="21"/>
    </row>
    <row r="652" customFormat="false" ht="15" hidden="false" customHeight="false" outlineLevel="0" collapsed="false">
      <c r="A652" s="30"/>
      <c r="B652" s="21"/>
      <c r="C652" s="21" t="str">
        <f aca="false">IF(B652="","",IFERROR(INDEX(代理店一覧!$B$5:$B$204,MATCH(B652,代理店一覧!$A$5:$A$204,0)),"※未登録のID"))</f>
        <v/>
      </c>
      <c r="D652" s="20"/>
      <c r="E652" s="20"/>
      <c r="F652" s="20"/>
      <c r="G652" s="20"/>
      <c r="H652" s="20"/>
      <c r="I652" s="21"/>
    </row>
    <row r="653" customFormat="false" ht="15" hidden="false" customHeight="false" outlineLevel="0" collapsed="false">
      <c r="A653" s="30"/>
      <c r="B653" s="21"/>
      <c r="C653" s="21" t="str">
        <f aca="false">IF(B653="","",IFERROR(INDEX(代理店一覧!$B$5:$B$204,MATCH(B653,代理店一覧!$A$5:$A$204,0)),"※未登録のID"))</f>
        <v/>
      </c>
      <c r="D653" s="20"/>
      <c r="E653" s="20"/>
      <c r="F653" s="20"/>
      <c r="G653" s="20"/>
      <c r="H653" s="20"/>
      <c r="I653" s="21"/>
    </row>
    <row r="654" customFormat="false" ht="15" hidden="false" customHeight="false" outlineLevel="0" collapsed="false">
      <c r="A654" s="30"/>
      <c r="B654" s="21"/>
      <c r="C654" s="21" t="str">
        <f aca="false">IF(B654="","",IFERROR(INDEX(代理店一覧!$B$5:$B$204,MATCH(B654,代理店一覧!$A$5:$A$204,0)),"※未登録のID"))</f>
        <v/>
      </c>
      <c r="D654" s="20"/>
      <c r="E654" s="20"/>
      <c r="F654" s="20"/>
      <c r="G654" s="20"/>
      <c r="H654" s="20"/>
      <c r="I654" s="21"/>
    </row>
    <row r="655" customFormat="false" ht="15" hidden="false" customHeight="false" outlineLevel="0" collapsed="false">
      <c r="A655" s="30"/>
      <c r="B655" s="21"/>
      <c r="C655" s="21" t="str">
        <f aca="false">IF(B655="","",IFERROR(INDEX(代理店一覧!$B$5:$B$204,MATCH(B655,代理店一覧!$A$5:$A$204,0)),"※未登録のID"))</f>
        <v/>
      </c>
      <c r="D655" s="20"/>
      <c r="E655" s="20"/>
      <c r="F655" s="20"/>
      <c r="G655" s="20"/>
      <c r="H655" s="20"/>
      <c r="I655" s="21"/>
    </row>
    <row r="656" customFormat="false" ht="15" hidden="false" customHeight="false" outlineLevel="0" collapsed="false">
      <c r="A656" s="30"/>
      <c r="B656" s="21"/>
      <c r="C656" s="21" t="str">
        <f aca="false">IF(B656="","",IFERROR(INDEX(代理店一覧!$B$5:$B$204,MATCH(B656,代理店一覧!$A$5:$A$204,0)),"※未登録のID"))</f>
        <v/>
      </c>
      <c r="D656" s="20"/>
      <c r="E656" s="20"/>
      <c r="F656" s="20"/>
      <c r="G656" s="20"/>
      <c r="H656" s="20"/>
      <c r="I656" s="21"/>
    </row>
    <row r="657" customFormat="false" ht="15" hidden="false" customHeight="false" outlineLevel="0" collapsed="false">
      <c r="A657" s="30"/>
      <c r="B657" s="21"/>
      <c r="C657" s="21" t="str">
        <f aca="false">IF(B657="","",IFERROR(INDEX(代理店一覧!$B$5:$B$204,MATCH(B657,代理店一覧!$A$5:$A$204,0)),"※未登録のID"))</f>
        <v/>
      </c>
      <c r="D657" s="20"/>
      <c r="E657" s="20"/>
      <c r="F657" s="20"/>
      <c r="G657" s="20"/>
      <c r="H657" s="20"/>
      <c r="I657" s="21"/>
    </row>
    <row r="658" customFormat="false" ht="15" hidden="false" customHeight="false" outlineLevel="0" collapsed="false">
      <c r="A658" s="30"/>
      <c r="B658" s="21"/>
      <c r="C658" s="21" t="str">
        <f aca="false">IF(B658="","",IFERROR(INDEX(代理店一覧!$B$5:$B$204,MATCH(B658,代理店一覧!$A$5:$A$204,0)),"※未登録のID"))</f>
        <v/>
      </c>
      <c r="D658" s="20"/>
      <c r="E658" s="20"/>
      <c r="F658" s="20"/>
      <c r="G658" s="20"/>
      <c r="H658" s="20"/>
      <c r="I658" s="21"/>
    </row>
    <row r="659" customFormat="false" ht="15" hidden="false" customHeight="false" outlineLevel="0" collapsed="false">
      <c r="A659" s="30"/>
      <c r="B659" s="21"/>
      <c r="C659" s="21" t="str">
        <f aca="false">IF(B659="","",IFERROR(INDEX(代理店一覧!$B$5:$B$204,MATCH(B659,代理店一覧!$A$5:$A$204,0)),"※未登録のID"))</f>
        <v/>
      </c>
      <c r="D659" s="20"/>
      <c r="E659" s="20"/>
      <c r="F659" s="20"/>
      <c r="G659" s="20"/>
      <c r="H659" s="20"/>
      <c r="I659" s="21"/>
    </row>
    <row r="660" customFormat="false" ht="15" hidden="false" customHeight="false" outlineLevel="0" collapsed="false">
      <c r="A660" s="30"/>
      <c r="B660" s="21"/>
      <c r="C660" s="21" t="str">
        <f aca="false">IF(B660="","",IFERROR(INDEX(代理店一覧!$B$5:$B$204,MATCH(B660,代理店一覧!$A$5:$A$204,0)),"※未登録のID"))</f>
        <v/>
      </c>
      <c r="D660" s="20"/>
      <c r="E660" s="20"/>
      <c r="F660" s="20"/>
      <c r="G660" s="20"/>
      <c r="H660" s="20"/>
      <c r="I660" s="21"/>
    </row>
    <row r="661" customFormat="false" ht="15" hidden="false" customHeight="false" outlineLevel="0" collapsed="false">
      <c r="A661" s="30"/>
      <c r="B661" s="21"/>
      <c r="C661" s="21" t="str">
        <f aca="false">IF(B661="","",IFERROR(INDEX(代理店一覧!$B$5:$B$204,MATCH(B661,代理店一覧!$A$5:$A$204,0)),"※未登録のID"))</f>
        <v/>
      </c>
      <c r="D661" s="20"/>
      <c r="E661" s="20"/>
      <c r="F661" s="20"/>
      <c r="G661" s="20"/>
      <c r="H661" s="20"/>
      <c r="I661" s="21"/>
    </row>
    <row r="662" customFormat="false" ht="15" hidden="false" customHeight="false" outlineLevel="0" collapsed="false">
      <c r="A662" s="30"/>
      <c r="B662" s="21"/>
      <c r="C662" s="21" t="str">
        <f aca="false">IF(B662="","",IFERROR(INDEX(代理店一覧!$B$5:$B$204,MATCH(B662,代理店一覧!$A$5:$A$204,0)),"※未登録のID"))</f>
        <v/>
      </c>
      <c r="D662" s="20"/>
      <c r="E662" s="20"/>
      <c r="F662" s="20"/>
      <c r="G662" s="20"/>
      <c r="H662" s="20"/>
      <c r="I662" s="21"/>
    </row>
    <row r="663" customFormat="false" ht="15" hidden="false" customHeight="false" outlineLevel="0" collapsed="false">
      <c r="A663" s="30"/>
      <c r="B663" s="21"/>
      <c r="C663" s="21" t="str">
        <f aca="false">IF(B663="","",IFERROR(INDEX(代理店一覧!$B$5:$B$204,MATCH(B663,代理店一覧!$A$5:$A$204,0)),"※未登録のID"))</f>
        <v/>
      </c>
      <c r="D663" s="20"/>
      <c r="E663" s="20"/>
      <c r="F663" s="20"/>
      <c r="G663" s="20"/>
      <c r="H663" s="20"/>
      <c r="I663" s="21"/>
    </row>
    <row r="664" customFormat="false" ht="15" hidden="false" customHeight="false" outlineLevel="0" collapsed="false">
      <c r="A664" s="30"/>
      <c r="B664" s="21"/>
      <c r="C664" s="21" t="str">
        <f aca="false">IF(B664="","",IFERROR(INDEX(代理店一覧!$B$5:$B$204,MATCH(B664,代理店一覧!$A$5:$A$204,0)),"※未登録のID"))</f>
        <v/>
      </c>
      <c r="D664" s="20"/>
      <c r="E664" s="20"/>
      <c r="F664" s="20"/>
      <c r="G664" s="20"/>
      <c r="H664" s="20"/>
      <c r="I664" s="21"/>
    </row>
    <row r="665" customFormat="false" ht="15" hidden="false" customHeight="false" outlineLevel="0" collapsed="false">
      <c r="A665" s="30"/>
      <c r="B665" s="21"/>
      <c r="C665" s="21" t="str">
        <f aca="false">IF(B665="","",IFERROR(INDEX(代理店一覧!$B$5:$B$204,MATCH(B665,代理店一覧!$A$5:$A$204,0)),"※未登録のID"))</f>
        <v/>
      </c>
      <c r="D665" s="20"/>
      <c r="E665" s="20"/>
      <c r="F665" s="20"/>
      <c r="G665" s="20"/>
      <c r="H665" s="20"/>
      <c r="I665" s="21"/>
    </row>
    <row r="666" customFormat="false" ht="15" hidden="false" customHeight="false" outlineLevel="0" collapsed="false">
      <c r="A666" s="30"/>
      <c r="B666" s="21"/>
      <c r="C666" s="21" t="str">
        <f aca="false">IF(B666="","",IFERROR(INDEX(代理店一覧!$B$5:$B$204,MATCH(B666,代理店一覧!$A$5:$A$204,0)),"※未登録のID"))</f>
        <v/>
      </c>
      <c r="D666" s="20"/>
      <c r="E666" s="20"/>
      <c r="F666" s="20"/>
      <c r="G666" s="20"/>
      <c r="H666" s="20"/>
      <c r="I666" s="21"/>
    </row>
    <row r="667" customFormat="false" ht="15" hidden="false" customHeight="false" outlineLevel="0" collapsed="false">
      <c r="A667" s="30"/>
      <c r="B667" s="21"/>
      <c r="C667" s="21" t="str">
        <f aca="false">IF(B667="","",IFERROR(INDEX(代理店一覧!$B$5:$B$204,MATCH(B667,代理店一覧!$A$5:$A$204,0)),"※未登録のID"))</f>
        <v/>
      </c>
      <c r="D667" s="20"/>
      <c r="E667" s="20"/>
      <c r="F667" s="20"/>
      <c r="G667" s="20"/>
      <c r="H667" s="20"/>
      <c r="I667" s="21"/>
    </row>
    <row r="668" customFormat="false" ht="15" hidden="false" customHeight="false" outlineLevel="0" collapsed="false">
      <c r="A668" s="30"/>
      <c r="B668" s="21"/>
      <c r="C668" s="21" t="str">
        <f aca="false">IF(B668="","",IFERROR(INDEX(代理店一覧!$B$5:$B$204,MATCH(B668,代理店一覧!$A$5:$A$204,0)),"※未登録のID"))</f>
        <v/>
      </c>
      <c r="D668" s="20"/>
      <c r="E668" s="20"/>
      <c r="F668" s="20"/>
      <c r="G668" s="20"/>
      <c r="H668" s="20"/>
      <c r="I668" s="21"/>
    </row>
    <row r="669" customFormat="false" ht="15" hidden="false" customHeight="false" outlineLevel="0" collapsed="false">
      <c r="A669" s="30"/>
      <c r="B669" s="21"/>
      <c r="C669" s="21" t="str">
        <f aca="false">IF(B669="","",IFERROR(INDEX(代理店一覧!$B$5:$B$204,MATCH(B669,代理店一覧!$A$5:$A$204,0)),"※未登録のID"))</f>
        <v/>
      </c>
      <c r="D669" s="20"/>
      <c r="E669" s="20"/>
      <c r="F669" s="20"/>
      <c r="G669" s="20"/>
      <c r="H669" s="20"/>
      <c r="I669" s="21"/>
    </row>
    <row r="670" customFormat="false" ht="15" hidden="false" customHeight="false" outlineLevel="0" collapsed="false">
      <c r="A670" s="30"/>
      <c r="B670" s="21"/>
      <c r="C670" s="21" t="str">
        <f aca="false">IF(B670="","",IFERROR(INDEX(代理店一覧!$B$5:$B$204,MATCH(B670,代理店一覧!$A$5:$A$204,0)),"※未登録のID"))</f>
        <v/>
      </c>
      <c r="D670" s="20"/>
      <c r="E670" s="20"/>
      <c r="F670" s="20"/>
      <c r="G670" s="20"/>
      <c r="H670" s="20"/>
      <c r="I670" s="21"/>
    </row>
    <row r="671" customFormat="false" ht="15" hidden="false" customHeight="false" outlineLevel="0" collapsed="false">
      <c r="A671" s="30"/>
      <c r="B671" s="21"/>
      <c r="C671" s="21" t="str">
        <f aca="false">IF(B671="","",IFERROR(INDEX(代理店一覧!$B$5:$B$204,MATCH(B671,代理店一覧!$A$5:$A$204,0)),"※未登録のID"))</f>
        <v/>
      </c>
      <c r="D671" s="20"/>
      <c r="E671" s="20"/>
      <c r="F671" s="20"/>
      <c r="G671" s="20"/>
      <c r="H671" s="20"/>
      <c r="I671" s="21"/>
    </row>
    <row r="672" customFormat="false" ht="15" hidden="false" customHeight="false" outlineLevel="0" collapsed="false">
      <c r="A672" s="30"/>
      <c r="B672" s="21"/>
      <c r="C672" s="21" t="str">
        <f aca="false">IF(B672="","",IFERROR(INDEX(代理店一覧!$B$5:$B$204,MATCH(B672,代理店一覧!$A$5:$A$204,0)),"※未登録のID"))</f>
        <v/>
      </c>
      <c r="D672" s="20"/>
      <c r="E672" s="20"/>
      <c r="F672" s="20"/>
      <c r="G672" s="20"/>
      <c r="H672" s="20"/>
      <c r="I672" s="21"/>
    </row>
    <row r="673" customFormat="false" ht="15" hidden="false" customHeight="false" outlineLevel="0" collapsed="false">
      <c r="A673" s="30"/>
      <c r="B673" s="21"/>
      <c r="C673" s="21" t="str">
        <f aca="false">IF(B673="","",IFERROR(INDEX(代理店一覧!$B$5:$B$204,MATCH(B673,代理店一覧!$A$5:$A$204,0)),"※未登録のID"))</f>
        <v/>
      </c>
      <c r="D673" s="20"/>
      <c r="E673" s="20"/>
      <c r="F673" s="20"/>
      <c r="G673" s="20"/>
      <c r="H673" s="20"/>
      <c r="I673" s="21"/>
    </row>
    <row r="674" customFormat="false" ht="15" hidden="false" customHeight="false" outlineLevel="0" collapsed="false">
      <c r="A674" s="30"/>
      <c r="B674" s="21"/>
      <c r="C674" s="21" t="str">
        <f aca="false">IF(B674="","",IFERROR(INDEX(代理店一覧!$B$5:$B$204,MATCH(B674,代理店一覧!$A$5:$A$204,0)),"※未登録のID"))</f>
        <v/>
      </c>
      <c r="D674" s="20"/>
      <c r="E674" s="20"/>
      <c r="F674" s="20"/>
      <c r="G674" s="20"/>
      <c r="H674" s="20"/>
      <c r="I674" s="21"/>
    </row>
    <row r="675" customFormat="false" ht="15" hidden="false" customHeight="false" outlineLevel="0" collapsed="false">
      <c r="A675" s="30"/>
      <c r="B675" s="21"/>
      <c r="C675" s="21" t="str">
        <f aca="false">IF(B675="","",IFERROR(INDEX(代理店一覧!$B$5:$B$204,MATCH(B675,代理店一覧!$A$5:$A$204,0)),"※未登録のID"))</f>
        <v/>
      </c>
      <c r="D675" s="20"/>
      <c r="E675" s="20"/>
      <c r="F675" s="20"/>
      <c r="G675" s="20"/>
      <c r="H675" s="20"/>
      <c r="I675" s="21"/>
    </row>
    <row r="676" customFormat="false" ht="15" hidden="false" customHeight="false" outlineLevel="0" collapsed="false">
      <c r="A676" s="30"/>
      <c r="B676" s="21"/>
      <c r="C676" s="21" t="str">
        <f aca="false">IF(B676="","",IFERROR(INDEX(代理店一覧!$B$5:$B$204,MATCH(B676,代理店一覧!$A$5:$A$204,0)),"※未登録のID"))</f>
        <v/>
      </c>
      <c r="D676" s="20"/>
      <c r="E676" s="20"/>
      <c r="F676" s="20"/>
      <c r="G676" s="20"/>
      <c r="H676" s="20"/>
      <c r="I676" s="21"/>
    </row>
    <row r="677" customFormat="false" ht="15" hidden="false" customHeight="false" outlineLevel="0" collapsed="false">
      <c r="A677" s="30"/>
      <c r="B677" s="21"/>
      <c r="C677" s="21" t="str">
        <f aca="false">IF(B677="","",IFERROR(INDEX(代理店一覧!$B$5:$B$204,MATCH(B677,代理店一覧!$A$5:$A$204,0)),"※未登録のID"))</f>
        <v/>
      </c>
      <c r="D677" s="20"/>
      <c r="E677" s="20"/>
      <c r="F677" s="20"/>
      <c r="G677" s="20"/>
      <c r="H677" s="20"/>
      <c r="I677" s="21"/>
    </row>
    <row r="678" customFormat="false" ht="15" hidden="false" customHeight="false" outlineLevel="0" collapsed="false">
      <c r="A678" s="30"/>
      <c r="B678" s="21"/>
      <c r="C678" s="21" t="str">
        <f aca="false">IF(B678="","",IFERROR(INDEX(代理店一覧!$B$5:$B$204,MATCH(B678,代理店一覧!$A$5:$A$204,0)),"※未登録のID"))</f>
        <v/>
      </c>
      <c r="D678" s="20"/>
      <c r="E678" s="20"/>
      <c r="F678" s="20"/>
      <c r="G678" s="20"/>
      <c r="H678" s="20"/>
      <c r="I678" s="21"/>
    </row>
    <row r="679" customFormat="false" ht="15" hidden="false" customHeight="false" outlineLevel="0" collapsed="false">
      <c r="A679" s="30"/>
      <c r="B679" s="21"/>
      <c r="C679" s="21" t="str">
        <f aca="false">IF(B679="","",IFERROR(INDEX(代理店一覧!$B$5:$B$204,MATCH(B679,代理店一覧!$A$5:$A$204,0)),"※未登録のID"))</f>
        <v/>
      </c>
      <c r="D679" s="20"/>
      <c r="E679" s="20"/>
      <c r="F679" s="20"/>
      <c r="G679" s="20"/>
      <c r="H679" s="20"/>
      <c r="I679" s="21"/>
    </row>
    <row r="680" customFormat="false" ht="15" hidden="false" customHeight="false" outlineLevel="0" collapsed="false">
      <c r="A680" s="30"/>
      <c r="B680" s="21"/>
      <c r="C680" s="21" t="str">
        <f aca="false">IF(B680="","",IFERROR(INDEX(代理店一覧!$B$5:$B$204,MATCH(B680,代理店一覧!$A$5:$A$204,0)),"※未登録のID"))</f>
        <v/>
      </c>
      <c r="D680" s="20"/>
      <c r="E680" s="20"/>
      <c r="F680" s="20"/>
      <c r="G680" s="20"/>
      <c r="H680" s="20"/>
      <c r="I680" s="21"/>
    </row>
    <row r="681" customFormat="false" ht="15" hidden="false" customHeight="false" outlineLevel="0" collapsed="false">
      <c r="A681" s="30"/>
      <c r="B681" s="21"/>
      <c r="C681" s="21" t="str">
        <f aca="false">IF(B681="","",IFERROR(INDEX(代理店一覧!$B$5:$B$204,MATCH(B681,代理店一覧!$A$5:$A$204,0)),"※未登録のID"))</f>
        <v/>
      </c>
      <c r="D681" s="20"/>
      <c r="E681" s="20"/>
      <c r="F681" s="20"/>
      <c r="G681" s="20"/>
      <c r="H681" s="20"/>
      <c r="I681" s="21"/>
    </row>
    <row r="682" customFormat="false" ht="15" hidden="false" customHeight="false" outlineLevel="0" collapsed="false">
      <c r="A682" s="30"/>
      <c r="B682" s="21"/>
      <c r="C682" s="21" t="str">
        <f aca="false">IF(B682="","",IFERROR(INDEX(代理店一覧!$B$5:$B$204,MATCH(B682,代理店一覧!$A$5:$A$204,0)),"※未登録のID"))</f>
        <v/>
      </c>
      <c r="D682" s="20"/>
      <c r="E682" s="20"/>
      <c r="F682" s="20"/>
      <c r="G682" s="20"/>
      <c r="H682" s="20"/>
      <c r="I682" s="21"/>
    </row>
    <row r="683" customFormat="false" ht="15" hidden="false" customHeight="false" outlineLevel="0" collapsed="false">
      <c r="A683" s="30"/>
      <c r="B683" s="21"/>
      <c r="C683" s="21" t="str">
        <f aca="false">IF(B683="","",IFERROR(INDEX(代理店一覧!$B$5:$B$204,MATCH(B683,代理店一覧!$A$5:$A$204,0)),"※未登録のID"))</f>
        <v/>
      </c>
      <c r="D683" s="20"/>
      <c r="E683" s="20"/>
      <c r="F683" s="20"/>
      <c r="G683" s="20"/>
      <c r="H683" s="20"/>
      <c r="I683" s="21"/>
    </row>
    <row r="684" customFormat="false" ht="15" hidden="false" customHeight="false" outlineLevel="0" collapsed="false">
      <c r="A684" s="30"/>
      <c r="B684" s="21"/>
      <c r="C684" s="21" t="str">
        <f aca="false">IF(B684="","",IFERROR(INDEX(代理店一覧!$B$5:$B$204,MATCH(B684,代理店一覧!$A$5:$A$204,0)),"※未登録のID"))</f>
        <v/>
      </c>
      <c r="D684" s="20"/>
      <c r="E684" s="20"/>
      <c r="F684" s="20"/>
      <c r="G684" s="20"/>
      <c r="H684" s="20"/>
      <c r="I684" s="21"/>
    </row>
    <row r="685" customFormat="false" ht="15" hidden="false" customHeight="false" outlineLevel="0" collapsed="false">
      <c r="A685" s="30"/>
      <c r="B685" s="21"/>
      <c r="C685" s="21" t="str">
        <f aca="false">IF(B685="","",IFERROR(INDEX(代理店一覧!$B$5:$B$204,MATCH(B685,代理店一覧!$A$5:$A$204,0)),"※未登録のID"))</f>
        <v/>
      </c>
      <c r="D685" s="20"/>
      <c r="E685" s="20"/>
      <c r="F685" s="20"/>
      <c r="G685" s="20"/>
      <c r="H685" s="20"/>
      <c r="I685" s="21"/>
    </row>
    <row r="686" customFormat="false" ht="15" hidden="false" customHeight="false" outlineLevel="0" collapsed="false">
      <c r="A686" s="30"/>
      <c r="B686" s="21"/>
      <c r="C686" s="21" t="str">
        <f aca="false">IF(B686="","",IFERROR(INDEX(代理店一覧!$B$5:$B$204,MATCH(B686,代理店一覧!$A$5:$A$204,0)),"※未登録のID"))</f>
        <v/>
      </c>
      <c r="D686" s="20"/>
      <c r="E686" s="20"/>
      <c r="F686" s="20"/>
      <c r="G686" s="20"/>
      <c r="H686" s="20"/>
      <c r="I686" s="21"/>
    </row>
    <row r="687" customFormat="false" ht="15" hidden="false" customHeight="false" outlineLevel="0" collapsed="false">
      <c r="A687" s="30"/>
      <c r="B687" s="21"/>
      <c r="C687" s="21" t="str">
        <f aca="false">IF(B687="","",IFERROR(INDEX(代理店一覧!$B$5:$B$204,MATCH(B687,代理店一覧!$A$5:$A$204,0)),"※未登録のID"))</f>
        <v/>
      </c>
      <c r="D687" s="20"/>
      <c r="E687" s="20"/>
      <c r="F687" s="20"/>
      <c r="G687" s="20"/>
      <c r="H687" s="20"/>
      <c r="I687" s="21"/>
    </row>
    <row r="688" customFormat="false" ht="15" hidden="false" customHeight="false" outlineLevel="0" collapsed="false">
      <c r="A688" s="30"/>
      <c r="B688" s="21"/>
      <c r="C688" s="21" t="str">
        <f aca="false">IF(B688="","",IFERROR(INDEX(代理店一覧!$B$5:$B$204,MATCH(B688,代理店一覧!$A$5:$A$204,0)),"※未登録のID"))</f>
        <v/>
      </c>
      <c r="D688" s="20"/>
      <c r="E688" s="20"/>
      <c r="F688" s="20"/>
      <c r="G688" s="20"/>
      <c r="H688" s="20"/>
      <c r="I688" s="21"/>
    </row>
    <row r="689" customFormat="false" ht="15" hidden="false" customHeight="false" outlineLevel="0" collapsed="false">
      <c r="A689" s="30"/>
      <c r="B689" s="21"/>
      <c r="C689" s="21" t="str">
        <f aca="false">IF(B689="","",IFERROR(INDEX(代理店一覧!$B$5:$B$204,MATCH(B689,代理店一覧!$A$5:$A$204,0)),"※未登録のID"))</f>
        <v/>
      </c>
      <c r="D689" s="20"/>
      <c r="E689" s="20"/>
      <c r="F689" s="20"/>
      <c r="G689" s="20"/>
      <c r="H689" s="20"/>
      <c r="I689" s="21"/>
    </row>
    <row r="690" customFormat="false" ht="15" hidden="false" customHeight="false" outlineLevel="0" collapsed="false">
      <c r="A690" s="30"/>
      <c r="B690" s="21"/>
      <c r="C690" s="21" t="str">
        <f aca="false">IF(B690="","",IFERROR(INDEX(代理店一覧!$B$5:$B$204,MATCH(B690,代理店一覧!$A$5:$A$204,0)),"※未登録のID"))</f>
        <v/>
      </c>
      <c r="D690" s="20"/>
      <c r="E690" s="20"/>
      <c r="F690" s="20"/>
      <c r="G690" s="20"/>
      <c r="H690" s="20"/>
      <c r="I690" s="21"/>
    </row>
    <row r="691" customFormat="false" ht="15" hidden="false" customHeight="false" outlineLevel="0" collapsed="false">
      <c r="A691" s="30"/>
      <c r="B691" s="21"/>
      <c r="C691" s="21" t="str">
        <f aca="false">IF(B691="","",IFERROR(INDEX(代理店一覧!$B$5:$B$204,MATCH(B691,代理店一覧!$A$5:$A$204,0)),"※未登録のID"))</f>
        <v/>
      </c>
      <c r="D691" s="20"/>
      <c r="E691" s="20"/>
      <c r="F691" s="20"/>
      <c r="G691" s="20"/>
      <c r="H691" s="20"/>
      <c r="I691" s="21"/>
    </row>
    <row r="692" customFormat="false" ht="15" hidden="false" customHeight="false" outlineLevel="0" collapsed="false">
      <c r="A692" s="30"/>
      <c r="B692" s="21"/>
      <c r="C692" s="21" t="str">
        <f aca="false">IF(B692="","",IFERROR(INDEX(代理店一覧!$B$5:$B$204,MATCH(B692,代理店一覧!$A$5:$A$204,0)),"※未登録のID"))</f>
        <v/>
      </c>
      <c r="D692" s="20"/>
      <c r="E692" s="20"/>
      <c r="F692" s="20"/>
      <c r="G692" s="20"/>
      <c r="H692" s="20"/>
      <c r="I692" s="21"/>
    </row>
    <row r="693" customFormat="false" ht="15" hidden="false" customHeight="false" outlineLevel="0" collapsed="false">
      <c r="A693" s="30"/>
      <c r="B693" s="21"/>
      <c r="C693" s="21" t="str">
        <f aca="false">IF(B693="","",IFERROR(INDEX(代理店一覧!$B$5:$B$204,MATCH(B693,代理店一覧!$A$5:$A$204,0)),"※未登録のID"))</f>
        <v/>
      </c>
      <c r="D693" s="20"/>
      <c r="E693" s="20"/>
      <c r="F693" s="20"/>
      <c r="G693" s="20"/>
      <c r="H693" s="20"/>
      <c r="I693" s="21"/>
    </row>
    <row r="694" customFormat="false" ht="15" hidden="false" customHeight="false" outlineLevel="0" collapsed="false">
      <c r="A694" s="30"/>
      <c r="B694" s="21"/>
      <c r="C694" s="21" t="str">
        <f aca="false">IF(B694="","",IFERROR(INDEX(代理店一覧!$B$5:$B$204,MATCH(B694,代理店一覧!$A$5:$A$204,0)),"※未登録のID"))</f>
        <v/>
      </c>
      <c r="D694" s="20"/>
      <c r="E694" s="20"/>
      <c r="F694" s="20"/>
      <c r="G694" s="20"/>
      <c r="H694" s="20"/>
      <c r="I694" s="21"/>
    </row>
    <row r="695" customFormat="false" ht="15" hidden="false" customHeight="false" outlineLevel="0" collapsed="false">
      <c r="A695" s="30"/>
      <c r="B695" s="21"/>
      <c r="C695" s="21" t="str">
        <f aca="false">IF(B695="","",IFERROR(INDEX(代理店一覧!$B$5:$B$204,MATCH(B695,代理店一覧!$A$5:$A$204,0)),"※未登録のID"))</f>
        <v/>
      </c>
      <c r="D695" s="20"/>
      <c r="E695" s="20"/>
      <c r="F695" s="20"/>
      <c r="G695" s="20"/>
      <c r="H695" s="20"/>
      <c r="I695" s="21"/>
    </row>
    <row r="696" customFormat="false" ht="15" hidden="false" customHeight="false" outlineLevel="0" collapsed="false">
      <c r="A696" s="30"/>
      <c r="B696" s="21"/>
      <c r="C696" s="21" t="str">
        <f aca="false">IF(B696="","",IFERROR(INDEX(代理店一覧!$B$5:$B$204,MATCH(B696,代理店一覧!$A$5:$A$204,0)),"※未登録のID"))</f>
        <v/>
      </c>
      <c r="D696" s="20"/>
      <c r="E696" s="20"/>
      <c r="F696" s="20"/>
      <c r="G696" s="20"/>
      <c r="H696" s="20"/>
      <c r="I696" s="21"/>
    </row>
    <row r="697" customFormat="false" ht="15" hidden="false" customHeight="false" outlineLevel="0" collapsed="false">
      <c r="A697" s="30"/>
      <c r="B697" s="21"/>
      <c r="C697" s="21" t="str">
        <f aca="false">IF(B697="","",IFERROR(INDEX(代理店一覧!$B$5:$B$204,MATCH(B697,代理店一覧!$A$5:$A$204,0)),"※未登録のID"))</f>
        <v/>
      </c>
      <c r="D697" s="20"/>
      <c r="E697" s="20"/>
      <c r="F697" s="20"/>
      <c r="G697" s="20"/>
      <c r="H697" s="20"/>
      <c r="I697" s="21"/>
    </row>
    <row r="698" customFormat="false" ht="15" hidden="false" customHeight="false" outlineLevel="0" collapsed="false">
      <c r="A698" s="30"/>
      <c r="B698" s="21"/>
      <c r="C698" s="21" t="str">
        <f aca="false">IF(B698="","",IFERROR(INDEX(代理店一覧!$B$5:$B$204,MATCH(B698,代理店一覧!$A$5:$A$204,0)),"※未登録のID"))</f>
        <v/>
      </c>
      <c r="D698" s="20"/>
      <c r="E698" s="20"/>
      <c r="F698" s="20"/>
      <c r="G698" s="20"/>
      <c r="H698" s="20"/>
      <c r="I698" s="21"/>
    </row>
    <row r="699" customFormat="false" ht="15" hidden="false" customHeight="false" outlineLevel="0" collapsed="false">
      <c r="A699" s="30"/>
      <c r="B699" s="21"/>
      <c r="C699" s="21" t="str">
        <f aca="false">IF(B699="","",IFERROR(INDEX(代理店一覧!$B$5:$B$204,MATCH(B699,代理店一覧!$A$5:$A$204,0)),"※未登録のID"))</f>
        <v/>
      </c>
      <c r="D699" s="20"/>
      <c r="E699" s="20"/>
      <c r="F699" s="20"/>
      <c r="G699" s="20"/>
      <c r="H699" s="20"/>
      <c r="I699" s="21"/>
    </row>
    <row r="700" customFormat="false" ht="15" hidden="false" customHeight="false" outlineLevel="0" collapsed="false">
      <c r="A700" s="30"/>
      <c r="B700" s="21"/>
      <c r="C700" s="21" t="str">
        <f aca="false">IF(B700="","",IFERROR(INDEX(代理店一覧!$B$5:$B$204,MATCH(B700,代理店一覧!$A$5:$A$204,0)),"※未登録のID"))</f>
        <v/>
      </c>
      <c r="D700" s="20"/>
      <c r="E700" s="20"/>
      <c r="F700" s="20"/>
      <c r="G700" s="20"/>
      <c r="H700" s="20"/>
      <c r="I700" s="21"/>
    </row>
    <row r="701" customFormat="false" ht="15" hidden="false" customHeight="false" outlineLevel="0" collapsed="false">
      <c r="A701" s="30"/>
      <c r="B701" s="21"/>
      <c r="C701" s="21" t="str">
        <f aca="false">IF(B701="","",IFERROR(INDEX(代理店一覧!$B$5:$B$204,MATCH(B701,代理店一覧!$A$5:$A$204,0)),"※未登録のID"))</f>
        <v/>
      </c>
      <c r="D701" s="20"/>
      <c r="E701" s="20"/>
      <c r="F701" s="20"/>
      <c r="G701" s="20"/>
      <c r="H701" s="20"/>
      <c r="I701" s="21"/>
    </row>
    <row r="702" customFormat="false" ht="15" hidden="false" customHeight="false" outlineLevel="0" collapsed="false">
      <c r="A702" s="30"/>
      <c r="B702" s="21"/>
      <c r="C702" s="21" t="str">
        <f aca="false">IF(B702="","",IFERROR(INDEX(代理店一覧!$B$5:$B$204,MATCH(B702,代理店一覧!$A$5:$A$204,0)),"※未登録のID"))</f>
        <v/>
      </c>
      <c r="D702" s="20"/>
      <c r="E702" s="20"/>
      <c r="F702" s="20"/>
      <c r="G702" s="20"/>
      <c r="H702" s="20"/>
      <c r="I702" s="21"/>
    </row>
    <row r="703" customFormat="false" ht="15" hidden="false" customHeight="false" outlineLevel="0" collapsed="false">
      <c r="A703" s="30"/>
      <c r="B703" s="21"/>
      <c r="C703" s="21" t="str">
        <f aca="false">IF(B703="","",IFERROR(INDEX(代理店一覧!$B$5:$B$204,MATCH(B703,代理店一覧!$A$5:$A$204,0)),"※未登録のID"))</f>
        <v/>
      </c>
      <c r="D703" s="20"/>
      <c r="E703" s="20"/>
      <c r="F703" s="20"/>
      <c r="G703" s="20"/>
      <c r="H703" s="20"/>
      <c r="I703" s="21"/>
    </row>
    <row r="704" customFormat="false" ht="15" hidden="false" customHeight="false" outlineLevel="0" collapsed="false">
      <c r="A704" s="30"/>
      <c r="B704" s="21"/>
      <c r="C704" s="21" t="str">
        <f aca="false">IF(B704="","",IFERROR(INDEX(代理店一覧!$B$5:$B$204,MATCH(B704,代理店一覧!$A$5:$A$204,0)),"※未登録のID"))</f>
        <v/>
      </c>
      <c r="D704" s="20"/>
      <c r="E704" s="20"/>
      <c r="F704" s="20"/>
      <c r="G704" s="20"/>
      <c r="H704" s="20"/>
      <c r="I704" s="21"/>
    </row>
    <row r="705" customFormat="false" ht="15" hidden="false" customHeight="false" outlineLevel="0" collapsed="false">
      <c r="A705" s="30"/>
      <c r="B705" s="21"/>
      <c r="C705" s="21" t="str">
        <f aca="false">IF(B705="","",IFERROR(INDEX(代理店一覧!$B$5:$B$204,MATCH(B705,代理店一覧!$A$5:$A$204,0)),"※未登録のID"))</f>
        <v/>
      </c>
      <c r="D705" s="20"/>
      <c r="E705" s="20"/>
      <c r="F705" s="20"/>
      <c r="G705" s="20"/>
      <c r="H705" s="20"/>
      <c r="I705" s="21"/>
    </row>
    <row r="706" customFormat="false" ht="15" hidden="false" customHeight="false" outlineLevel="0" collapsed="false">
      <c r="A706" s="30"/>
      <c r="B706" s="21"/>
      <c r="C706" s="21" t="str">
        <f aca="false">IF(B706="","",IFERROR(INDEX(代理店一覧!$B$5:$B$204,MATCH(B706,代理店一覧!$A$5:$A$204,0)),"※未登録のID"))</f>
        <v/>
      </c>
      <c r="D706" s="20"/>
      <c r="E706" s="20"/>
      <c r="F706" s="20"/>
      <c r="G706" s="20"/>
      <c r="H706" s="20"/>
      <c r="I706" s="21"/>
    </row>
    <row r="707" customFormat="false" ht="15" hidden="false" customHeight="false" outlineLevel="0" collapsed="false">
      <c r="A707" s="30"/>
      <c r="B707" s="21"/>
      <c r="C707" s="21" t="str">
        <f aca="false">IF(B707="","",IFERROR(INDEX(代理店一覧!$B$5:$B$204,MATCH(B707,代理店一覧!$A$5:$A$204,0)),"※未登録のID"))</f>
        <v/>
      </c>
      <c r="D707" s="20"/>
      <c r="E707" s="20"/>
      <c r="F707" s="20"/>
      <c r="G707" s="20"/>
      <c r="H707" s="20"/>
      <c r="I707" s="21"/>
    </row>
    <row r="708" customFormat="false" ht="15" hidden="false" customHeight="false" outlineLevel="0" collapsed="false">
      <c r="A708" s="30"/>
      <c r="B708" s="21"/>
      <c r="C708" s="21" t="str">
        <f aca="false">IF(B708="","",IFERROR(INDEX(代理店一覧!$B$5:$B$204,MATCH(B708,代理店一覧!$A$5:$A$204,0)),"※未登録のID"))</f>
        <v/>
      </c>
      <c r="D708" s="20"/>
      <c r="E708" s="20"/>
      <c r="F708" s="20"/>
      <c r="G708" s="20"/>
      <c r="H708" s="20"/>
      <c r="I708" s="21"/>
    </row>
    <row r="709" customFormat="false" ht="15" hidden="false" customHeight="false" outlineLevel="0" collapsed="false">
      <c r="A709" s="30"/>
      <c r="B709" s="21"/>
      <c r="C709" s="21" t="str">
        <f aca="false">IF(B709="","",IFERROR(INDEX(代理店一覧!$B$5:$B$204,MATCH(B709,代理店一覧!$A$5:$A$204,0)),"※未登録のID"))</f>
        <v/>
      </c>
      <c r="D709" s="20"/>
      <c r="E709" s="20"/>
      <c r="F709" s="20"/>
      <c r="G709" s="20"/>
      <c r="H709" s="20"/>
      <c r="I709" s="21"/>
    </row>
    <row r="710" customFormat="false" ht="15" hidden="false" customHeight="false" outlineLevel="0" collapsed="false">
      <c r="A710" s="30"/>
      <c r="B710" s="21"/>
      <c r="C710" s="21" t="str">
        <f aca="false">IF(B710="","",IFERROR(INDEX(代理店一覧!$B$5:$B$204,MATCH(B710,代理店一覧!$A$5:$A$204,0)),"※未登録のID"))</f>
        <v/>
      </c>
      <c r="D710" s="20"/>
      <c r="E710" s="20"/>
      <c r="F710" s="20"/>
      <c r="G710" s="20"/>
      <c r="H710" s="20"/>
      <c r="I710" s="21"/>
    </row>
    <row r="711" customFormat="false" ht="15" hidden="false" customHeight="false" outlineLevel="0" collapsed="false">
      <c r="A711" s="30"/>
      <c r="B711" s="21"/>
      <c r="C711" s="21" t="str">
        <f aca="false">IF(B711="","",IFERROR(INDEX(代理店一覧!$B$5:$B$204,MATCH(B711,代理店一覧!$A$5:$A$204,0)),"※未登録のID"))</f>
        <v/>
      </c>
      <c r="D711" s="20"/>
      <c r="E711" s="20"/>
      <c r="F711" s="20"/>
      <c r="G711" s="20"/>
      <c r="H711" s="20"/>
      <c r="I711" s="21"/>
    </row>
    <row r="712" customFormat="false" ht="15" hidden="false" customHeight="false" outlineLevel="0" collapsed="false">
      <c r="A712" s="30"/>
      <c r="B712" s="21"/>
      <c r="C712" s="21" t="str">
        <f aca="false">IF(B712="","",IFERROR(INDEX(代理店一覧!$B$5:$B$204,MATCH(B712,代理店一覧!$A$5:$A$204,0)),"※未登録のID"))</f>
        <v/>
      </c>
      <c r="D712" s="20"/>
      <c r="E712" s="20"/>
      <c r="F712" s="20"/>
      <c r="G712" s="20"/>
      <c r="H712" s="20"/>
      <c r="I712" s="21"/>
    </row>
    <row r="713" customFormat="false" ht="15" hidden="false" customHeight="false" outlineLevel="0" collapsed="false">
      <c r="A713" s="30"/>
      <c r="B713" s="21"/>
      <c r="C713" s="21" t="str">
        <f aca="false">IF(B713="","",IFERROR(INDEX(代理店一覧!$B$5:$B$204,MATCH(B713,代理店一覧!$A$5:$A$204,0)),"※未登録のID"))</f>
        <v/>
      </c>
      <c r="D713" s="20"/>
      <c r="E713" s="20"/>
      <c r="F713" s="20"/>
      <c r="G713" s="20"/>
      <c r="H713" s="20"/>
      <c r="I713" s="21"/>
    </row>
    <row r="714" customFormat="false" ht="15" hidden="false" customHeight="false" outlineLevel="0" collapsed="false">
      <c r="A714" s="30"/>
      <c r="B714" s="21"/>
      <c r="C714" s="21" t="str">
        <f aca="false">IF(B714="","",IFERROR(INDEX(代理店一覧!$B$5:$B$204,MATCH(B714,代理店一覧!$A$5:$A$204,0)),"※未登録のID"))</f>
        <v/>
      </c>
      <c r="D714" s="20"/>
      <c r="E714" s="20"/>
      <c r="F714" s="20"/>
      <c r="G714" s="20"/>
      <c r="H714" s="20"/>
      <c r="I714" s="21"/>
    </row>
    <row r="715" customFormat="false" ht="15" hidden="false" customHeight="false" outlineLevel="0" collapsed="false">
      <c r="A715" s="30"/>
      <c r="B715" s="21"/>
      <c r="C715" s="21" t="str">
        <f aca="false">IF(B715="","",IFERROR(INDEX(代理店一覧!$B$5:$B$204,MATCH(B715,代理店一覧!$A$5:$A$204,0)),"※未登録のID"))</f>
        <v/>
      </c>
      <c r="D715" s="20"/>
      <c r="E715" s="20"/>
      <c r="F715" s="20"/>
      <c r="G715" s="20"/>
      <c r="H715" s="20"/>
      <c r="I715" s="21"/>
    </row>
    <row r="716" customFormat="false" ht="15" hidden="false" customHeight="false" outlineLevel="0" collapsed="false">
      <c r="A716" s="30"/>
      <c r="B716" s="21"/>
      <c r="C716" s="21" t="str">
        <f aca="false">IF(B716="","",IFERROR(INDEX(代理店一覧!$B$5:$B$204,MATCH(B716,代理店一覧!$A$5:$A$204,0)),"※未登録のID"))</f>
        <v/>
      </c>
      <c r="D716" s="20"/>
      <c r="E716" s="20"/>
      <c r="F716" s="20"/>
      <c r="G716" s="20"/>
      <c r="H716" s="20"/>
      <c r="I716" s="21"/>
    </row>
    <row r="717" customFormat="false" ht="15" hidden="false" customHeight="false" outlineLevel="0" collapsed="false">
      <c r="A717" s="30"/>
      <c r="B717" s="21"/>
      <c r="C717" s="21" t="str">
        <f aca="false">IF(B717="","",IFERROR(INDEX(代理店一覧!$B$5:$B$204,MATCH(B717,代理店一覧!$A$5:$A$204,0)),"※未登録のID"))</f>
        <v/>
      </c>
      <c r="D717" s="20"/>
      <c r="E717" s="20"/>
      <c r="F717" s="20"/>
      <c r="G717" s="20"/>
      <c r="H717" s="20"/>
      <c r="I717" s="21"/>
    </row>
    <row r="718" customFormat="false" ht="15" hidden="false" customHeight="false" outlineLevel="0" collapsed="false">
      <c r="A718" s="30"/>
      <c r="B718" s="21"/>
      <c r="C718" s="21" t="str">
        <f aca="false">IF(B718="","",IFERROR(INDEX(代理店一覧!$B$5:$B$204,MATCH(B718,代理店一覧!$A$5:$A$204,0)),"※未登録のID"))</f>
        <v/>
      </c>
      <c r="D718" s="20"/>
      <c r="E718" s="20"/>
      <c r="F718" s="20"/>
      <c r="G718" s="20"/>
      <c r="H718" s="20"/>
      <c r="I718" s="21"/>
    </row>
    <row r="719" customFormat="false" ht="15" hidden="false" customHeight="false" outlineLevel="0" collapsed="false">
      <c r="A719" s="30"/>
      <c r="B719" s="21"/>
      <c r="C719" s="21" t="str">
        <f aca="false">IF(B719="","",IFERROR(INDEX(代理店一覧!$B$5:$B$204,MATCH(B719,代理店一覧!$A$5:$A$204,0)),"※未登録のID"))</f>
        <v/>
      </c>
      <c r="D719" s="20"/>
      <c r="E719" s="20"/>
      <c r="F719" s="20"/>
      <c r="G719" s="20"/>
      <c r="H719" s="20"/>
      <c r="I719" s="21"/>
    </row>
    <row r="720" customFormat="false" ht="15" hidden="false" customHeight="false" outlineLevel="0" collapsed="false">
      <c r="A720" s="30"/>
      <c r="B720" s="21"/>
      <c r="C720" s="21" t="str">
        <f aca="false">IF(B720="","",IFERROR(INDEX(代理店一覧!$B$5:$B$204,MATCH(B720,代理店一覧!$A$5:$A$204,0)),"※未登録のID"))</f>
        <v/>
      </c>
      <c r="D720" s="20"/>
      <c r="E720" s="20"/>
      <c r="F720" s="20"/>
      <c r="G720" s="20"/>
      <c r="H720" s="20"/>
      <c r="I720" s="21"/>
    </row>
    <row r="721" customFormat="false" ht="15" hidden="false" customHeight="false" outlineLevel="0" collapsed="false">
      <c r="A721" s="30"/>
      <c r="B721" s="21"/>
      <c r="C721" s="21" t="str">
        <f aca="false">IF(B721="","",IFERROR(INDEX(代理店一覧!$B$5:$B$204,MATCH(B721,代理店一覧!$A$5:$A$204,0)),"※未登録のID"))</f>
        <v/>
      </c>
      <c r="D721" s="20"/>
      <c r="E721" s="20"/>
      <c r="F721" s="20"/>
      <c r="G721" s="20"/>
      <c r="H721" s="20"/>
      <c r="I721" s="21"/>
    </row>
    <row r="722" customFormat="false" ht="15" hidden="false" customHeight="false" outlineLevel="0" collapsed="false">
      <c r="A722" s="30"/>
      <c r="B722" s="21"/>
      <c r="C722" s="21" t="str">
        <f aca="false">IF(B722="","",IFERROR(INDEX(代理店一覧!$B$5:$B$204,MATCH(B722,代理店一覧!$A$5:$A$204,0)),"※未登録のID"))</f>
        <v/>
      </c>
      <c r="D722" s="20"/>
      <c r="E722" s="20"/>
      <c r="F722" s="20"/>
      <c r="G722" s="20"/>
      <c r="H722" s="20"/>
      <c r="I722" s="21"/>
    </row>
    <row r="723" customFormat="false" ht="15" hidden="false" customHeight="false" outlineLevel="0" collapsed="false">
      <c r="A723" s="30"/>
      <c r="B723" s="21"/>
      <c r="C723" s="21" t="str">
        <f aca="false">IF(B723="","",IFERROR(INDEX(代理店一覧!$B$5:$B$204,MATCH(B723,代理店一覧!$A$5:$A$204,0)),"※未登録のID"))</f>
        <v/>
      </c>
      <c r="D723" s="20"/>
      <c r="E723" s="20"/>
      <c r="F723" s="20"/>
      <c r="G723" s="20"/>
      <c r="H723" s="20"/>
      <c r="I723" s="21"/>
    </row>
    <row r="724" customFormat="false" ht="15" hidden="false" customHeight="false" outlineLevel="0" collapsed="false">
      <c r="A724" s="30"/>
      <c r="B724" s="21"/>
      <c r="C724" s="21" t="str">
        <f aca="false">IF(B724="","",IFERROR(INDEX(代理店一覧!$B$5:$B$204,MATCH(B724,代理店一覧!$A$5:$A$204,0)),"※未登録のID"))</f>
        <v/>
      </c>
      <c r="D724" s="20"/>
      <c r="E724" s="20"/>
      <c r="F724" s="20"/>
      <c r="G724" s="20"/>
      <c r="H724" s="20"/>
      <c r="I724" s="21"/>
    </row>
    <row r="725" customFormat="false" ht="15" hidden="false" customHeight="false" outlineLevel="0" collapsed="false">
      <c r="A725" s="30"/>
      <c r="B725" s="21"/>
      <c r="C725" s="21" t="str">
        <f aca="false">IF(B725="","",IFERROR(INDEX(代理店一覧!$B$5:$B$204,MATCH(B725,代理店一覧!$A$5:$A$204,0)),"※未登録のID"))</f>
        <v/>
      </c>
      <c r="D725" s="20"/>
      <c r="E725" s="20"/>
      <c r="F725" s="20"/>
      <c r="G725" s="20"/>
      <c r="H725" s="20"/>
      <c r="I725" s="21"/>
    </row>
    <row r="726" customFormat="false" ht="15" hidden="false" customHeight="false" outlineLevel="0" collapsed="false">
      <c r="A726" s="30"/>
      <c r="B726" s="21"/>
      <c r="C726" s="21" t="str">
        <f aca="false">IF(B726="","",IFERROR(INDEX(代理店一覧!$B$5:$B$204,MATCH(B726,代理店一覧!$A$5:$A$204,0)),"※未登録のID"))</f>
        <v/>
      </c>
      <c r="D726" s="20"/>
      <c r="E726" s="20"/>
      <c r="F726" s="20"/>
      <c r="G726" s="20"/>
      <c r="H726" s="20"/>
      <c r="I726" s="21"/>
    </row>
    <row r="727" customFormat="false" ht="15" hidden="false" customHeight="false" outlineLevel="0" collapsed="false">
      <c r="A727" s="30"/>
      <c r="B727" s="21"/>
      <c r="C727" s="21" t="str">
        <f aca="false">IF(B727="","",IFERROR(INDEX(代理店一覧!$B$5:$B$204,MATCH(B727,代理店一覧!$A$5:$A$204,0)),"※未登録のID"))</f>
        <v/>
      </c>
      <c r="D727" s="20"/>
      <c r="E727" s="20"/>
      <c r="F727" s="20"/>
      <c r="G727" s="20"/>
      <c r="H727" s="20"/>
      <c r="I727" s="21"/>
    </row>
    <row r="728" customFormat="false" ht="15" hidden="false" customHeight="false" outlineLevel="0" collapsed="false">
      <c r="A728" s="30"/>
      <c r="B728" s="21"/>
      <c r="C728" s="21" t="str">
        <f aca="false">IF(B728="","",IFERROR(INDEX(代理店一覧!$B$5:$B$204,MATCH(B728,代理店一覧!$A$5:$A$204,0)),"※未登録のID"))</f>
        <v/>
      </c>
      <c r="D728" s="20"/>
      <c r="E728" s="20"/>
      <c r="F728" s="20"/>
      <c r="G728" s="20"/>
      <c r="H728" s="20"/>
      <c r="I728" s="21"/>
    </row>
    <row r="729" customFormat="false" ht="15" hidden="false" customHeight="false" outlineLevel="0" collapsed="false">
      <c r="A729" s="30"/>
      <c r="B729" s="21"/>
      <c r="C729" s="21" t="str">
        <f aca="false">IF(B729="","",IFERROR(INDEX(代理店一覧!$B$5:$B$204,MATCH(B729,代理店一覧!$A$5:$A$204,0)),"※未登録のID"))</f>
        <v/>
      </c>
      <c r="D729" s="20"/>
      <c r="E729" s="20"/>
      <c r="F729" s="20"/>
      <c r="G729" s="20"/>
      <c r="H729" s="20"/>
      <c r="I729" s="21"/>
    </row>
    <row r="730" customFormat="false" ht="15" hidden="false" customHeight="false" outlineLevel="0" collapsed="false">
      <c r="A730" s="30"/>
      <c r="B730" s="21"/>
      <c r="C730" s="21" t="str">
        <f aca="false">IF(B730="","",IFERROR(INDEX(代理店一覧!$B$5:$B$204,MATCH(B730,代理店一覧!$A$5:$A$204,0)),"※未登録のID"))</f>
        <v/>
      </c>
      <c r="D730" s="20"/>
      <c r="E730" s="20"/>
      <c r="F730" s="20"/>
      <c r="G730" s="20"/>
      <c r="H730" s="20"/>
      <c r="I730" s="21"/>
    </row>
    <row r="731" customFormat="false" ht="15" hidden="false" customHeight="false" outlineLevel="0" collapsed="false">
      <c r="A731" s="30"/>
      <c r="B731" s="21"/>
      <c r="C731" s="21" t="str">
        <f aca="false">IF(B731="","",IFERROR(INDEX(代理店一覧!$B$5:$B$204,MATCH(B731,代理店一覧!$A$5:$A$204,0)),"※未登録のID"))</f>
        <v/>
      </c>
      <c r="D731" s="20"/>
      <c r="E731" s="20"/>
      <c r="F731" s="20"/>
      <c r="G731" s="20"/>
      <c r="H731" s="20"/>
      <c r="I731" s="21"/>
    </row>
    <row r="732" customFormat="false" ht="15" hidden="false" customHeight="false" outlineLevel="0" collapsed="false">
      <c r="A732" s="30"/>
      <c r="B732" s="21"/>
      <c r="C732" s="21" t="str">
        <f aca="false">IF(B732="","",IFERROR(INDEX(代理店一覧!$B$5:$B$204,MATCH(B732,代理店一覧!$A$5:$A$204,0)),"※未登録のID"))</f>
        <v/>
      </c>
      <c r="D732" s="20"/>
      <c r="E732" s="20"/>
      <c r="F732" s="20"/>
      <c r="G732" s="20"/>
      <c r="H732" s="20"/>
      <c r="I732" s="21"/>
    </row>
    <row r="733" customFormat="false" ht="15" hidden="false" customHeight="false" outlineLevel="0" collapsed="false">
      <c r="A733" s="30"/>
      <c r="B733" s="21"/>
      <c r="C733" s="21" t="str">
        <f aca="false">IF(B733="","",IFERROR(INDEX(代理店一覧!$B$5:$B$204,MATCH(B733,代理店一覧!$A$5:$A$204,0)),"※未登録のID"))</f>
        <v/>
      </c>
      <c r="D733" s="20"/>
      <c r="E733" s="20"/>
      <c r="F733" s="20"/>
      <c r="G733" s="20"/>
      <c r="H733" s="20"/>
      <c r="I733" s="21"/>
    </row>
    <row r="734" customFormat="false" ht="15" hidden="false" customHeight="false" outlineLevel="0" collapsed="false">
      <c r="A734" s="30"/>
      <c r="B734" s="21"/>
      <c r="C734" s="21" t="str">
        <f aca="false">IF(B734="","",IFERROR(INDEX(代理店一覧!$B$5:$B$204,MATCH(B734,代理店一覧!$A$5:$A$204,0)),"※未登録のID"))</f>
        <v/>
      </c>
      <c r="D734" s="20"/>
      <c r="E734" s="20"/>
      <c r="F734" s="20"/>
      <c r="G734" s="20"/>
      <c r="H734" s="20"/>
      <c r="I734" s="21"/>
    </row>
    <row r="735" customFormat="false" ht="15" hidden="false" customHeight="false" outlineLevel="0" collapsed="false">
      <c r="A735" s="30"/>
      <c r="B735" s="21"/>
      <c r="C735" s="21" t="str">
        <f aca="false">IF(B735="","",IFERROR(INDEX(代理店一覧!$B$5:$B$204,MATCH(B735,代理店一覧!$A$5:$A$204,0)),"※未登録のID"))</f>
        <v/>
      </c>
      <c r="D735" s="20"/>
      <c r="E735" s="20"/>
      <c r="F735" s="20"/>
      <c r="G735" s="20"/>
      <c r="H735" s="20"/>
      <c r="I735" s="21"/>
    </row>
    <row r="736" customFormat="false" ht="15" hidden="false" customHeight="false" outlineLevel="0" collapsed="false">
      <c r="A736" s="30"/>
      <c r="B736" s="21"/>
      <c r="C736" s="21" t="str">
        <f aca="false">IF(B736="","",IFERROR(INDEX(代理店一覧!$B$5:$B$204,MATCH(B736,代理店一覧!$A$5:$A$204,0)),"※未登録のID"))</f>
        <v/>
      </c>
      <c r="D736" s="20"/>
      <c r="E736" s="20"/>
      <c r="F736" s="20"/>
      <c r="G736" s="20"/>
      <c r="H736" s="20"/>
      <c r="I736" s="21"/>
    </row>
    <row r="737" customFormat="false" ht="15" hidden="false" customHeight="false" outlineLevel="0" collapsed="false">
      <c r="A737" s="30"/>
      <c r="B737" s="21"/>
      <c r="C737" s="21" t="str">
        <f aca="false">IF(B737="","",IFERROR(INDEX(代理店一覧!$B$5:$B$204,MATCH(B737,代理店一覧!$A$5:$A$204,0)),"※未登録のID"))</f>
        <v/>
      </c>
      <c r="D737" s="20"/>
      <c r="E737" s="20"/>
      <c r="F737" s="20"/>
      <c r="G737" s="20"/>
      <c r="H737" s="20"/>
      <c r="I737" s="21"/>
    </row>
    <row r="738" customFormat="false" ht="15" hidden="false" customHeight="false" outlineLevel="0" collapsed="false">
      <c r="A738" s="30"/>
      <c r="B738" s="21"/>
      <c r="C738" s="21" t="str">
        <f aca="false">IF(B738="","",IFERROR(INDEX(代理店一覧!$B$5:$B$204,MATCH(B738,代理店一覧!$A$5:$A$204,0)),"※未登録のID"))</f>
        <v/>
      </c>
      <c r="D738" s="20"/>
      <c r="E738" s="20"/>
      <c r="F738" s="20"/>
      <c r="G738" s="20"/>
      <c r="H738" s="20"/>
      <c r="I738" s="21"/>
    </row>
    <row r="739" customFormat="false" ht="15" hidden="false" customHeight="false" outlineLevel="0" collapsed="false">
      <c r="A739" s="30"/>
      <c r="B739" s="21"/>
      <c r="C739" s="21" t="str">
        <f aca="false">IF(B739="","",IFERROR(INDEX(代理店一覧!$B$5:$B$204,MATCH(B739,代理店一覧!$A$5:$A$204,0)),"※未登録のID"))</f>
        <v/>
      </c>
      <c r="D739" s="20"/>
      <c r="E739" s="20"/>
      <c r="F739" s="20"/>
      <c r="G739" s="20"/>
      <c r="H739" s="20"/>
      <c r="I739" s="21"/>
    </row>
    <row r="740" customFormat="false" ht="15" hidden="false" customHeight="false" outlineLevel="0" collapsed="false">
      <c r="A740" s="30"/>
      <c r="B740" s="21"/>
      <c r="C740" s="21" t="str">
        <f aca="false">IF(B740="","",IFERROR(INDEX(代理店一覧!$B$5:$B$204,MATCH(B740,代理店一覧!$A$5:$A$204,0)),"※未登録のID"))</f>
        <v/>
      </c>
      <c r="D740" s="20"/>
      <c r="E740" s="20"/>
      <c r="F740" s="20"/>
      <c r="G740" s="20"/>
      <c r="H740" s="20"/>
      <c r="I740" s="21"/>
    </row>
    <row r="741" customFormat="false" ht="15" hidden="false" customHeight="false" outlineLevel="0" collapsed="false">
      <c r="A741" s="30"/>
      <c r="B741" s="21"/>
      <c r="C741" s="21" t="str">
        <f aca="false">IF(B741="","",IFERROR(INDEX(代理店一覧!$B$5:$B$204,MATCH(B741,代理店一覧!$A$5:$A$204,0)),"※未登録のID"))</f>
        <v/>
      </c>
      <c r="D741" s="20"/>
      <c r="E741" s="20"/>
      <c r="F741" s="20"/>
      <c r="G741" s="20"/>
      <c r="H741" s="20"/>
      <c r="I741" s="21"/>
    </row>
    <row r="742" customFormat="false" ht="15" hidden="false" customHeight="false" outlineLevel="0" collapsed="false">
      <c r="A742" s="30"/>
      <c r="B742" s="21"/>
      <c r="C742" s="21" t="str">
        <f aca="false">IF(B742="","",IFERROR(INDEX(代理店一覧!$B$5:$B$204,MATCH(B742,代理店一覧!$A$5:$A$204,0)),"※未登録のID"))</f>
        <v/>
      </c>
      <c r="D742" s="20"/>
      <c r="E742" s="20"/>
      <c r="F742" s="20"/>
      <c r="G742" s="20"/>
      <c r="H742" s="20"/>
      <c r="I742" s="21"/>
    </row>
    <row r="743" customFormat="false" ht="15" hidden="false" customHeight="false" outlineLevel="0" collapsed="false">
      <c r="A743" s="30"/>
      <c r="B743" s="21"/>
      <c r="C743" s="21" t="str">
        <f aca="false">IF(B743="","",IFERROR(INDEX(代理店一覧!$B$5:$B$204,MATCH(B743,代理店一覧!$A$5:$A$204,0)),"※未登録のID"))</f>
        <v/>
      </c>
      <c r="D743" s="20"/>
      <c r="E743" s="20"/>
      <c r="F743" s="20"/>
      <c r="G743" s="20"/>
      <c r="H743" s="20"/>
      <c r="I743" s="21"/>
    </row>
    <row r="744" customFormat="false" ht="15" hidden="false" customHeight="false" outlineLevel="0" collapsed="false">
      <c r="A744" s="30"/>
      <c r="B744" s="21"/>
      <c r="C744" s="21" t="str">
        <f aca="false">IF(B744="","",IFERROR(INDEX(代理店一覧!$B$5:$B$204,MATCH(B744,代理店一覧!$A$5:$A$204,0)),"※未登録のID"))</f>
        <v/>
      </c>
      <c r="D744" s="20"/>
      <c r="E744" s="20"/>
      <c r="F744" s="20"/>
      <c r="G744" s="20"/>
      <c r="H744" s="20"/>
      <c r="I744" s="21"/>
    </row>
    <row r="745" customFormat="false" ht="15" hidden="false" customHeight="false" outlineLevel="0" collapsed="false">
      <c r="A745" s="30"/>
      <c r="B745" s="21"/>
      <c r="C745" s="21" t="str">
        <f aca="false">IF(B745="","",IFERROR(INDEX(代理店一覧!$B$5:$B$204,MATCH(B745,代理店一覧!$A$5:$A$204,0)),"※未登録のID"))</f>
        <v/>
      </c>
      <c r="D745" s="20"/>
      <c r="E745" s="20"/>
      <c r="F745" s="20"/>
      <c r="G745" s="20"/>
      <c r="H745" s="20"/>
      <c r="I745" s="21"/>
    </row>
    <row r="746" customFormat="false" ht="15" hidden="false" customHeight="false" outlineLevel="0" collapsed="false">
      <c r="A746" s="30"/>
      <c r="B746" s="21"/>
      <c r="C746" s="21" t="str">
        <f aca="false">IF(B746="","",IFERROR(INDEX(代理店一覧!$B$5:$B$204,MATCH(B746,代理店一覧!$A$5:$A$204,0)),"※未登録のID"))</f>
        <v/>
      </c>
      <c r="D746" s="20"/>
      <c r="E746" s="20"/>
      <c r="F746" s="20"/>
      <c r="G746" s="20"/>
      <c r="H746" s="20"/>
      <c r="I746" s="21"/>
    </row>
    <row r="747" customFormat="false" ht="15" hidden="false" customHeight="false" outlineLevel="0" collapsed="false">
      <c r="A747" s="30"/>
      <c r="B747" s="21"/>
      <c r="C747" s="21" t="str">
        <f aca="false">IF(B747="","",IFERROR(INDEX(代理店一覧!$B$5:$B$204,MATCH(B747,代理店一覧!$A$5:$A$204,0)),"※未登録のID"))</f>
        <v/>
      </c>
      <c r="D747" s="20"/>
      <c r="E747" s="20"/>
      <c r="F747" s="20"/>
      <c r="G747" s="20"/>
      <c r="H747" s="20"/>
      <c r="I747" s="21"/>
    </row>
    <row r="748" customFormat="false" ht="15" hidden="false" customHeight="false" outlineLevel="0" collapsed="false">
      <c r="A748" s="30"/>
      <c r="B748" s="21"/>
      <c r="C748" s="21" t="str">
        <f aca="false">IF(B748="","",IFERROR(INDEX(代理店一覧!$B$5:$B$204,MATCH(B748,代理店一覧!$A$5:$A$204,0)),"※未登録のID"))</f>
        <v/>
      </c>
      <c r="D748" s="20"/>
      <c r="E748" s="20"/>
      <c r="F748" s="20"/>
      <c r="G748" s="20"/>
      <c r="H748" s="20"/>
      <c r="I748" s="21"/>
    </row>
    <row r="749" customFormat="false" ht="15" hidden="false" customHeight="false" outlineLevel="0" collapsed="false">
      <c r="A749" s="30"/>
      <c r="B749" s="21"/>
      <c r="C749" s="21" t="str">
        <f aca="false">IF(B749="","",IFERROR(INDEX(代理店一覧!$B$5:$B$204,MATCH(B749,代理店一覧!$A$5:$A$204,0)),"※未登録のID"))</f>
        <v/>
      </c>
      <c r="D749" s="20"/>
      <c r="E749" s="20"/>
      <c r="F749" s="20"/>
      <c r="G749" s="20"/>
      <c r="H749" s="20"/>
      <c r="I749" s="21"/>
    </row>
    <row r="750" customFormat="false" ht="15" hidden="false" customHeight="false" outlineLevel="0" collapsed="false">
      <c r="A750" s="30"/>
      <c r="B750" s="21"/>
      <c r="C750" s="21" t="str">
        <f aca="false">IF(B750="","",IFERROR(INDEX(代理店一覧!$B$5:$B$204,MATCH(B750,代理店一覧!$A$5:$A$204,0)),"※未登録のID"))</f>
        <v/>
      </c>
      <c r="D750" s="20"/>
      <c r="E750" s="20"/>
      <c r="F750" s="20"/>
      <c r="G750" s="20"/>
      <c r="H750" s="20"/>
      <c r="I750" s="21"/>
    </row>
    <row r="751" customFormat="false" ht="15" hidden="false" customHeight="false" outlineLevel="0" collapsed="false">
      <c r="A751" s="30"/>
      <c r="B751" s="21"/>
      <c r="C751" s="21" t="str">
        <f aca="false">IF(B751="","",IFERROR(INDEX(代理店一覧!$B$5:$B$204,MATCH(B751,代理店一覧!$A$5:$A$204,0)),"※未登録のID"))</f>
        <v/>
      </c>
      <c r="D751" s="20"/>
      <c r="E751" s="20"/>
      <c r="F751" s="20"/>
      <c r="G751" s="20"/>
      <c r="H751" s="20"/>
      <c r="I751" s="21"/>
    </row>
    <row r="752" customFormat="false" ht="15" hidden="false" customHeight="false" outlineLevel="0" collapsed="false">
      <c r="A752" s="30"/>
      <c r="B752" s="21"/>
      <c r="C752" s="21" t="str">
        <f aca="false">IF(B752="","",IFERROR(INDEX(代理店一覧!$B$5:$B$204,MATCH(B752,代理店一覧!$A$5:$A$204,0)),"※未登録のID"))</f>
        <v/>
      </c>
      <c r="D752" s="20"/>
      <c r="E752" s="20"/>
      <c r="F752" s="20"/>
      <c r="G752" s="20"/>
      <c r="H752" s="20"/>
      <c r="I752" s="21"/>
    </row>
    <row r="753" customFormat="false" ht="15" hidden="false" customHeight="false" outlineLevel="0" collapsed="false">
      <c r="A753" s="30"/>
      <c r="B753" s="21"/>
      <c r="C753" s="21" t="str">
        <f aca="false">IF(B753="","",IFERROR(INDEX(代理店一覧!$B$5:$B$204,MATCH(B753,代理店一覧!$A$5:$A$204,0)),"※未登録のID"))</f>
        <v/>
      </c>
      <c r="D753" s="20"/>
      <c r="E753" s="20"/>
      <c r="F753" s="20"/>
      <c r="G753" s="20"/>
      <c r="H753" s="20"/>
      <c r="I753" s="21"/>
    </row>
    <row r="754" customFormat="false" ht="15" hidden="false" customHeight="false" outlineLevel="0" collapsed="false">
      <c r="A754" s="30"/>
      <c r="B754" s="21"/>
      <c r="C754" s="21" t="str">
        <f aca="false">IF(B754="","",IFERROR(INDEX(代理店一覧!$B$5:$B$204,MATCH(B754,代理店一覧!$A$5:$A$204,0)),"※未登録のID"))</f>
        <v/>
      </c>
      <c r="D754" s="20"/>
      <c r="E754" s="20"/>
      <c r="F754" s="20"/>
      <c r="G754" s="20"/>
      <c r="H754" s="20"/>
      <c r="I754" s="21"/>
    </row>
    <row r="755" customFormat="false" ht="15" hidden="false" customHeight="false" outlineLevel="0" collapsed="false">
      <c r="A755" s="30"/>
      <c r="B755" s="21"/>
      <c r="C755" s="21" t="str">
        <f aca="false">IF(B755="","",IFERROR(INDEX(代理店一覧!$B$5:$B$204,MATCH(B755,代理店一覧!$A$5:$A$204,0)),"※未登録のID"))</f>
        <v/>
      </c>
      <c r="D755" s="20"/>
      <c r="E755" s="20"/>
      <c r="F755" s="20"/>
      <c r="G755" s="20"/>
      <c r="H755" s="20"/>
      <c r="I755" s="21"/>
    </row>
    <row r="756" customFormat="false" ht="15" hidden="false" customHeight="false" outlineLevel="0" collapsed="false">
      <c r="A756" s="30"/>
      <c r="B756" s="21"/>
      <c r="C756" s="21" t="str">
        <f aca="false">IF(B756="","",IFERROR(INDEX(代理店一覧!$B$5:$B$204,MATCH(B756,代理店一覧!$A$5:$A$204,0)),"※未登録のID"))</f>
        <v/>
      </c>
      <c r="D756" s="20"/>
      <c r="E756" s="20"/>
      <c r="F756" s="20"/>
      <c r="G756" s="20"/>
      <c r="H756" s="20"/>
      <c r="I756" s="21"/>
    </row>
    <row r="757" customFormat="false" ht="15" hidden="false" customHeight="false" outlineLevel="0" collapsed="false">
      <c r="A757" s="30"/>
      <c r="B757" s="21"/>
      <c r="C757" s="21" t="str">
        <f aca="false">IF(B757="","",IFERROR(INDEX(代理店一覧!$B$5:$B$204,MATCH(B757,代理店一覧!$A$5:$A$204,0)),"※未登録のID"))</f>
        <v/>
      </c>
      <c r="D757" s="20"/>
      <c r="E757" s="20"/>
      <c r="F757" s="20"/>
      <c r="G757" s="20"/>
      <c r="H757" s="20"/>
      <c r="I757" s="21"/>
    </row>
    <row r="758" customFormat="false" ht="15" hidden="false" customHeight="false" outlineLevel="0" collapsed="false">
      <c r="A758" s="30"/>
      <c r="B758" s="21"/>
      <c r="C758" s="21" t="str">
        <f aca="false">IF(B758="","",IFERROR(INDEX(代理店一覧!$B$5:$B$204,MATCH(B758,代理店一覧!$A$5:$A$204,0)),"※未登録のID"))</f>
        <v/>
      </c>
      <c r="D758" s="20"/>
      <c r="E758" s="20"/>
      <c r="F758" s="20"/>
      <c r="G758" s="20"/>
      <c r="H758" s="20"/>
      <c r="I758" s="21"/>
    </row>
    <row r="759" customFormat="false" ht="15" hidden="false" customHeight="false" outlineLevel="0" collapsed="false">
      <c r="A759" s="30"/>
      <c r="B759" s="21"/>
      <c r="C759" s="21" t="str">
        <f aca="false">IF(B759="","",IFERROR(INDEX(代理店一覧!$B$5:$B$204,MATCH(B759,代理店一覧!$A$5:$A$204,0)),"※未登録のID"))</f>
        <v/>
      </c>
      <c r="D759" s="20"/>
      <c r="E759" s="20"/>
      <c r="F759" s="20"/>
      <c r="G759" s="20"/>
      <c r="H759" s="20"/>
      <c r="I759" s="21"/>
    </row>
    <row r="760" customFormat="false" ht="15" hidden="false" customHeight="false" outlineLevel="0" collapsed="false">
      <c r="A760" s="30"/>
      <c r="B760" s="21"/>
      <c r="C760" s="21" t="str">
        <f aca="false">IF(B760="","",IFERROR(INDEX(代理店一覧!$B$5:$B$204,MATCH(B760,代理店一覧!$A$5:$A$204,0)),"※未登録のID"))</f>
        <v/>
      </c>
      <c r="D760" s="20"/>
      <c r="E760" s="20"/>
      <c r="F760" s="20"/>
      <c r="G760" s="20"/>
      <c r="H760" s="20"/>
      <c r="I760" s="21"/>
    </row>
    <row r="761" customFormat="false" ht="15" hidden="false" customHeight="false" outlineLevel="0" collapsed="false">
      <c r="A761" s="30"/>
      <c r="B761" s="21"/>
      <c r="C761" s="21" t="str">
        <f aca="false">IF(B761="","",IFERROR(INDEX(代理店一覧!$B$5:$B$204,MATCH(B761,代理店一覧!$A$5:$A$204,0)),"※未登録のID"))</f>
        <v/>
      </c>
      <c r="D761" s="20"/>
      <c r="E761" s="20"/>
      <c r="F761" s="20"/>
      <c r="G761" s="20"/>
      <c r="H761" s="20"/>
      <c r="I761" s="21"/>
    </row>
    <row r="762" customFormat="false" ht="15" hidden="false" customHeight="false" outlineLevel="0" collapsed="false">
      <c r="A762" s="30"/>
      <c r="B762" s="21"/>
      <c r="C762" s="21" t="str">
        <f aca="false">IF(B762="","",IFERROR(INDEX(代理店一覧!$B$5:$B$204,MATCH(B762,代理店一覧!$A$5:$A$204,0)),"※未登録のID"))</f>
        <v/>
      </c>
      <c r="D762" s="20"/>
      <c r="E762" s="20"/>
      <c r="F762" s="20"/>
      <c r="G762" s="20"/>
      <c r="H762" s="20"/>
      <c r="I762" s="21"/>
    </row>
    <row r="763" customFormat="false" ht="15" hidden="false" customHeight="false" outlineLevel="0" collapsed="false">
      <c r="A763" s="30"/>
      <c r="B763" s="21"/>
      <c r="C763" s="21" t="str">
        <f aca="false">IF(B763="","",IFERROR(INDEX(代理店一覧!$B$5:$B$204,MATCH(B763,代理店一覧!$A$5:$A$204,0)),"※未登録のID"))</f>
        <v/>
      </c>
      <c r="D763" s="20"/>
      <c r="E763" s="20"/>
      <c r="F763" s="20"/>
      <c r="G763" s="20"/>
      <c r="H763" s="20"/>
      <c r="I763" s="21"/>
    </row>
    <row r="764" customFormat="false" ht="15" hidden="false" customHeight="false" outlineLevel="0" collapsed="false">
      <c r="A764" s="30"/>
      <c r="B764" s="21"/>
      <c r="C764" s="21" t="str">
        <f aca="false">IF(B764="","",IFERROR(INDEX(代理店一覧!$B$5:$B$204,MATCH(B764,代理店一覧!$A$5:$A$204,0)),"※未登録のID"))</f>
        <v/>
      </c>
      <c r="D764" s="20"/>
      <c r="E764" s="20"/>
      <c r="F764" s="20"/>
      <c r="G764" s="20"/>
      <c r="H764" s="20"/>
      <c r="I764" s="21"/>
    </row>
    <row r="765" customFormat="false" ht="15" hidden="false" customHeight="false" outlineLevel="0" collapsed="false">
      <c r="A765" s="30"/>
      <c r="B765" s="21"/>
      <c r="C765" s="21" t="str">
        <f aca="false">IF(B765="","",IFERROR(INDEX(代理店一覧!$B$5:$B$204,MATCH(B765,代理店一覧!$A$5:$A$204,0)),"※未登録のID"))</f>
        <v/>
      </c>
      <c r="D765" s="20"/>
      <c r="E765" s="20"/>
      <c r="F765" s="20"/>
      <c r="G765" s="20"/>
      <c r="H765" s="20"/>
      <c r="I765" s="21"/>
    </row>
    <row r="766" customFormat="false" ht="15" hidden="false" customHeight="false" outlineLevel="0" collapsed="false">
      <c r="A766" s="30"/>
      <c r="B766" s="21"/>
      <c r="C766" s="21" t="str">
        <f aca="false">IF(B766="","",IFERROR(INDEX(代理店一覧!$B$5:$B$204,MATCH(B766,代理店一覧!$A$5:$A$204,0)),"※未登録のID"))</f>
        <v/>
      </c>
      <c r="D766" s="20"/>
      <c r="E766" s="20"/>
      <c r="F766" s="20"/>
      <c r="G766" s="20"/>
      <c r="H766" s="20"/>
      <c r="I766" s="21"/>
    </row>
    <row r="767" customFormat="false" ht="15" hidden="false" customHeight="false" outlineLevel="0" collapsed="false">
      <c r="A767" s="30"/>
      <c r="B767" s="21"/>
      <c r="C767" s="21" t="str">
        <f aca="false">IF(B767="","",IFERROR(INDEX(代理店一覧!$B$5:$B$204,MATCH(B767,代理店一覧!$A$5:$A$204,0)),"※未登録のID"))</f>
        <v/>
      </c>
      <c r="D767" s="20"/>
      <c r="E767" s="20"/>
      <c r="F767" s="20"/>
      <c r="G767" s="20"/>
      <c r="H767" s="20"/>
      <c r="I767" s="21"/>
    </row>
    <row r="768" customFormat="false" ht="15" hidden="false" customHeight="false" outlineLevel="0" collapsed="false">
      <c r="A768" s="30"/>
      <c r="B768" s="21"/>
      <c r="C768" s="21" t="str">
        <f aca="false">IF(B768="","",IFERROR(INDEX(代理店一覧!$B$5:$B$204,MATCH(B768,代理店一覧!$A$5:$A$204,0)),"※未登録のID"))</f>
        <v/>
      </c>
      <c r="D768" s="20"/>
      <c r="E768" s="20"/>
      <c r="F768" s="20"/>
      <c r="G768" s="20"/>
      <c r="H768" s="20"/>
      <c r="I768" s="21"/>
    </row>
    <row r="769" customFormat="false" ht="15" hidden="false" customHeight="false" outlineLevel="0" collapsed="false">
      <c r="A769" s="30"/>
      <c r="B769" s="21"/>
      <c r="C769" s="21" t="str">
        <f aca="false">IF(B769="","",IFERROR(INDEX(代理店一覧!$B$5:$B$204,MATCH(B769,代理店一覧!$A$5:$A$204,0)),"※未登録のID"))</f>
        <v/>
      </c>
      <c r="D769" s="20"/>
      <c r="E769" s="20"/>
      <c r="F769" s="20"/>
      <c r="G769" s="20"/>
      <c r="H769" s="20"/>
      <c r="I769" s="21"/>
    </row>
    <row r="770" customFormat="false" ht="15" hidden="false" customHeight="false" outlineLevel="0" collapsed="false">
      <c r="A770" s="30"/>
      <c r="B770" s="21"/>
      <c r="C770" s="21" t="str">
        <f aca="false">IF(B770="","",IFERROR(INDEX(代理店一覧!$B$5:$B$204,MATCH(B770,代理店一覧!$A$5:$A$204,0)),"※未登録のID"))</f>
        <v/>
      </c>
      <c r="D770" s="20"/>
      <c r="E770" s="20"/>
      <c r="F770" s="20"/>
      <c r="G770" s="20"/>
      <c r="H770" s="20"/>
      <c r="I770" s="21"/>
    </row>
    <row r="771" customFormat="false" ht="15" hidden="false" customHeight="false" outlineLevel="0" collapsed="false">
      <c r="A771" s="30"/>
      <c r="B771" s="21"/>
      <c r="C771" s="21" t="str">
        <f aca="false">IF(B771="","",IFERROR(INDEX(代理店一覧!$B$5:$B$204,MATCH(B771,代理店一覧!$A$5:$A$204,0)),"※未登録のID"))</f>
        <v/>
      </c>
      <c r="D771" s="20"/>
      <c r="E771" s="20"/>
      <c r="F771" s="20"/>
      <c r="G771" s="20"/>
      <c r="H771" s="20"/>
      <c r="I771" s="21"/>
    </row>
    <row r="772" customFormat="false" ht="15" hidden="false" customHeight="false" outlineLevel="0" collapsed="false">
      <c r="A772" s="30"/>
      <c r="B772" s="21"/>
      <c r="C772" s="21" t="str">
        <f aca="false">IF(B772="","",IFERROR(INDEX(代理店一覧!$B$5:$B$204,MATCH(B772,代理店一覧!$A$5:$A$204,0)),"※未登録のID"))</f>
        <v/>
      </c>
      <c r="D772" s="20"/>
      <c r="E772" s="20"/>
      <c r="F772" s="20"/>
      <c r="G772" s="20"/>
      <c r="H772" s="20"/>
      <c r="I772" s="21"/>
    </row>
    <row r="773" customFormat="false" ht="15" hidden="false" customHeight="false" outlineLevel="0" collapsed="false">
      <c r="A773" s="30"/>
      <c r="B773" s="21"/>
      <c r="C773" s="21" t="str">
        <f aca="false">IF(B773="","",IFERROR(INDEX(代理店一覧!$B$5:$B$204,MATCH(B773,代理店一覧!$A$5:$A$204,0)),"※未登録のID"))</f>
        <v/>
      </c>
      <c r="D773" s="20"/>
      <c r="E773" s="20"/>
      <c r="F773" s="20"/>
      <c r="G773" s="20"/>
      <c r="H773" s="20"/>
      <c r="I773" s="21"/>
    </row>
    <row r="774" customFormat="false" ht="15" hidden="false" customHeight="false" outlineLevel="0" collapsed="false">
      <c r="A774" s="30"/>
      <c r="B774" s="21"/>
      <c r="C774" s="21" t="str">
        <f aca="false">IF(B774="","",IFERROR(INDEX(代理店一覧!$B$5:$B$204,MATCH(B774,代理店一覧!$A$5:$A$204,0)),"※未登録のID"))</f>
        <v/>
      </c>
      <c r="D774" s="20"/>
      <c r="E774" s="20"/>
      <c r="F774" s="20"/>
      <c r="G774" s="20"/>
      <c r="H774" s="20"/>
      <c r="I774" s="21"/>
    </row>
    <row r="775" customFormat="false" ht="15" hidden="false" customHeight="false" outlineLevel="0" collapsed="false">
      <c r="A775" s="30"/>
      <c r="B775" s="21"/>
      <c r="C775" s="21" t="str">
        <f aca="false">IF(B775="","",IFERROR(INDEX(代理店一覧!$B$5:$B$204,MATCH(B775,代理店一覧!$A$5:$A$204,0)),"※未登録のID"))</f>
        <v/>
      </c>
      <c r="D775" s="20"/>
      <c r="E775" s="20"/>
      <c r="F775" s="20"/>
      <c r="G775" s="20"/>
      <c r="H775" s="20"/>
      <c r="I775" s="21"/>
    </row>
    <row r="776" customFormat="false" ht="15" hidden="false" customHeight="false" outlineLevel="0" collapsed="false">
      <c r="A776" s="30"/>
      <c r="B776" s="21"/>
      <c r="C776" s="21" t="str">
        <f aca="false">IF(B776="","",IFERROR(INDEX(代理店一覧!$B$5:$B$204,MATCH(B776,代理店一覧!$A$5:$A$204,0)),"※未登録のID"))</f>
        <v/>
      </c>
      <c r="D776" s="20"/>
      <c r="E776" s="20"/>
      <c r="F776" s="20"/>
      <c r="G776" s="20"/>
      <c r="H776" s="20"/>
      <c r="I776" s="21"/>
    </row>
    <row r="777" customFormat="false" ht="15" hidden="false" customHeight="false" outlineLevel="0" collapsed="false">
      <c r="A777" s="30"/>
      <c r="B777" s="21"/>
      <c r="C777" s="21" t="str">
        <f aca="false">IF(B777="","",IFERROR(INDEX(代理店一覧!$B$5:$B$204,MATCH(B777,代理店一覧!$A$5:$A$204,0)),"※未登録のID"))</f>
        <v/>
      </c>
      <c r="D777" s="20"/>
      <c r="E777" s="20"/>
      <c r="F777" s="20"/>
      <c r="G777" s="20"/>
      <c r="H777" s="20"/>
      <c r="I777" s="21"/>
    </row>
    <row r="778" customFormat="false" ht="15" hidden="false" customHeight="false" outlineLevel="0" collapsed="false">
      <c r="A778" s="30"/>
      <c r="B778" s="21"/>
      <c r="C778" s="21" t="str">
        <f aca="false">IF(B778="","",IFERROR(INDEX(代理店一覧!$B$5:$B$204,MATCH(B778,代理店一覧!$A$5:$A$204,0)),"※未登録のID"))</f>
        <v/>
      </c>
      <c r="D778" s="20"/>
      <c r="E778" s="20"/>
      <c r="F778" s="20"/>
      <c r="G778" s="20"/>
      <c r="H778" s="20"/>
      <c r="I778" s="21"/>
    </row>
    <row r="779" customFormat="false" ht="15" hidden="false" customHeight="false" outlineLevel="0" collapsed="false">
      <c r="A779" s="30"/>
      <c r="B779" s="21"/>
      <c r="C779" s="21" t="str">
        <f aca="false">IF(B779="","",IFERROR(INDEX(代理店一覧!$B$5:$B$204,MATCH(B779,代理店一覧!$A$5:$A$204,0)),"※未登録のID"))</f>
        <v/>
      </c>
      <c r="D779" s="20"/>
      <c r="E779" s="20"/>
      <c r="F779" s="20"/>
      <c r="G779" s="20"/>
      <c r="H779" s="20"/>
      <c r="I779" s="21"/>
    </row>
    <row r="780" customFormat="false" ht="15" hidden="false" customHeight="false" outlineLevel="0" collapsed="false">
      <c r="A780" s="30"/>
      <c r="B780" s="21"/>
      <c r="C780" s="21" t="str">
        <f aca="false">IF(B780="","",IFERROR(INDEX(代理店一覧!$B$5:$B$204,MATCH(B780,代理店一覧!$A$5:$A$204,0)),"※未登録のID"))</f>
        <v/>
      </c>
      <c r="D780" s="20"/>
      <c r="E780" s="20"/>
      <c r="F780" s="20"/>
      <c r="G780" s="20"/>
      <c r="H780" s="20"/>
      <c r="I780" s="21"/>
    </row>
    <row r="781" customFormat="false" ht="15" hidden="false" customHeight="false" outlineLevel="0" collapsed="false">
      <c r="A781" s="30"/>
      <c r="B781" s="21"/>
      <c r="C781" s="21" t="str">
        <f aca="false">IF(B781="","",IFERROR(INDEX(代理店一覧!$B$5:$B$204,MATCH(B781,代理店一覧!$A$5:$A$204,0)),"※未登録のID"))</f>
        <v/>
      </c>
      <c r="D781" s="20"/>
      <c r="E781" s="20"/>
      <c r="F781" s="20"/>
      <c r="G781" s="20"/>
      <c r="H781" s="20"/>
      <c r="I781" s="21"/>
    </row>
    <row r="782" customFormat="false" ht="15" hidden="false" customHeight="false" outlineLevel="0" collapsed="false">
      <c r="A782" s="30"/>
      <c r="B782" s="21"/>
      <c r="C782" s="21" t="str">
        <f aca="false">IF(B782="","",IFERROR(INDEX(代理店一覧!$B$5:$B$204,MATCH(B782,代理店一覧!$A$5:$A$204,0)),"※未登録のID"))</f>
        <v/>
      </c>
      <c r="D782" s="20"/>
      <c r="E782" s="20"/>
      <c r="F782" s="20"/>
      <c r="G782" s="20"/>
      <c r="H782" s="20"/>
      <c r="I782" s="21"/>
    </row>
    <row r="783" customFormat="false" ht="15" hidden="false" customHeight="false" outlineLevel="0" collapsed="false">
      <c r="A783" s="30"/>
      <c r="B783" s="21"/>
      <c r="C783" s="21" t="str">
        <f aca="false">IF(B783="","",IFERROR(INDEX(代理店一覧!$B$5:$B$204,MATCH(B783,代理店一覧!$A$5:$A$204,0)),"※未登録のID"))</f>
        <v/>
      </c>
      <c r="D783" s="20"/>
      <c r="E783" s="20"/>
      <c r="F783" s="20"/>
      <c r="G783" s="20"/>
      <c r="H783" s="20"/>
      <c r="I783" s="21"/>
    </row>
    <row r="784" customFormat="false" ht="15" hidden="false" customHeight="false" outlineLevel="0" collapsed="false">
      <c r="A784" s="30"/>
      <c r="B784" s="21"/>
      <c r="C784" s="21" t="str">
        <f aca="false">IF(B784="","",IFERROR(INDEX(代理店一覧!$B$5:$B$204,MATCH(B784,代理店一覧!$A$5:$A$204,0)),"※未登録のID"))</f>
        <v/>
      </c>
      <c r="D784" s="20"/>
      <c r="E784" s="20"/>
      <c r="F784" s="20"/>
      <c r="G784" s="20"/>
      <c r="H784" s="20"/>
      <c r="I784" s="21"/>
    </row>
    <row r="785" customFormat="false" ht="15" hidden="false" customHeight="false" outlineLevel="0" collapsed="false">
      <c r="A785" s="30"/>
      <c r="B785" s="21"/>
      <c r="C785" s="21" t="str">
        <f aca="false">IF(B785="","",IFERROR(INDEX(代理店一覧!$B$5:$B$204,MATCH(B785,代理店一覧!$A$5:$A$204,0)),"※未登録のID"))</f>
        <v/>
      </c>
      <c r="D785" s="20"/>
      <c r="E785" s="20"/>
      <c r="F785" s="20"/>
      <c r="G785" s="20"/>
      <c r="H785" s="20"/>
      <c r="I785" s="21"/>
    </row>
    <row r="786" customFormat="false" ht="15" hidden="false" customHeight="false" outlineLevel="0" collapsed="false">
      <c r="A786" s="30"/>
      <c r="B786" s="21"/>
      <c r="C786" s="21" t="str">
        <f aca="false">IF(B786="","",IFERROR(INDEX(代理店一覧!$B$5:$B$204,MATCH(B786,代理店一覧!$A$5:$A$204,0)),"※未登録のID"))</f>
        <v/>
      </c>
      <c r="D786" s="20"/>
      <c r="E786" s="20"/>
      <c r="F786" s="20"/>
      <c r="G786" s="20"/>
      <c r="H786" s="20"/>
      <c r="I786" s="21"/>
    </row>
    <row r="787" customFormat="false" ht="15" hidden="false" customHeight="false" outlineLevel="0" collapsed="false">
      <c r="A787" s="30"/>
      <c r="B787" s="21"/>
      <c r="C787" s="21" t="str">
        <f aca="false">IF(B787="","",IFERROR(INDEX(代理店一覧!$B$5:$B$204,MATCH(B787,代理店一覧!$A$5:$A$204,0)),"※未登録のID"))</f>
        <v/>
      </c>
      <c r="D787" s="20"/>
      <c r="E787" s="20"/>
      <c r="F787" s="20"/>
      <c r="G787" s="20"/>
      <c r="H787" s="20"/>
      <c r="I787" s="21"/>
    </row>
    <row r="788" customFormat="false" ht="15" hidden="false" customHeight="false" outlineLevel="0" collapsed="false">
      <c r="A788" s="30"/>
      <c r="B788" s="21"/>
      <c r="C788" s="21" t="str">
        <f aca="false">IF(B788="","",IFERROR(INDEX(代理店一覧!$B$5:$B$204,MATCH(B788,代理店一覧!$A$5:$A$204,0)),"※未登録のID"))</f>
        <v/>
      </c>
      <c r="D788" s="20"/>
      <c r="E788" s="20"/>
      <c r="F788" s="20"/>
      <c r="G788" s="20"/>
      <c r="H788" s="20"/>
      <c r="I788" s="21"/>
    </row>
    <row r="789" customFormat="false" ht="15" hidden="false" customHeight="false" outlineLevel="0" collapsed="false">
      <c r="A789" s="30"/>
      <c r="B789" s="21"/>
      <c r="C789" s="21" t="str">
        <f aca="false">IF(B789="","",IFERROR(INDEX(代理店一覧!$B$5:$B$204,MATCH(B789,代理店一覧!$A$5:$A$204,0)),"※未登録のID"))</f>
        <v/>
      </c>
      <c r="D789" s="20"/>
      <c r="E789" s="20"/>
      <c r="F789" s="20"/>
      <c r="G789" s="20"/>
      <c r="H789" s="20"/>
      <c r="I789" s="21"/>
    </row>
    <row r="790" customFormat="false" ht="15" hidden="false" customHeight="false" outlineLevel="0" collapsed="false">
      <c r="A790" s="30"/>
      <c r="B790" s="21"/>
      <c r="C790" s="21" t="str">
        <f aca="false">IF(B790="","",IFERROR(INDEX(代理店一覧!$B$5:$B$204,MATCH(B790,代理店一覧!$A$5:$A$204,0)),"※未登録のID"))</f>
        <v/>
      </c>
      <c r="D790" s="20"/>
      <c r="E790" s="20"/>
      <c r="F790" s="20"/>
      <c r="G790" s="20"/>
      <c r="H790" s="20"/>
      <c r="I790" s="21"/>
    </row>
    <row r="791" customFormat="false" ht="15" hidden="false" customHeight="false" outlineLevel="0" collapsed="false">
      <c r="A791" s="30"/>
      <c r="B791" s="21"/>
      <c r="C791" s="21" t="str">
        <f aca="false">IF(B791="","",IFERROR(INDEX(代理店一覧!$B$5:$B$204,MATCH(B791,代理店一覧!$A$5:$A$204,0)),"※未登録のID"))</f>
        <v/>
      </c>
      <c r="D791" s="20"/>
      <c r="E791" s="20"/>
      <c r="F791" s="20"/>
      <c r="G791" s="20"/>
      <c r="H791" s="20"/>
      <c r="I791" s="21"/>
    </row>
    <row r="792" customFormat="false" ht="15" hidden="false" customHeight="false" outlineLevel="0" collapsed="false">
      <c r="A792" s="30"/>
      <c r="B792" s="21"/>
      <c r="C792" s="21" t="str">
        <f aca="false">IF(B792="","",IFERROR(INDEX(代理店一覧!$B$5:$B$204,MATCH(B792,代理店一覧!$A$5:$A$204,0)),"※未登録のID"))</f>
        <v/>
      </c>
      <c r="D792" s="20"/>
      <c r="E792" s="20"/>
      <c r="F792" s="20"/>
      <c r="G792" s="20"/>
      <c r="H792" s="20"/>
      <c r="I792" s="21"/>
    </row>
    <row r="793" customFormat="false" ht="15" hidden="false" customHeight="false" outlineLevel="0" collapsed="false">
      <c r="A793" s="30"/>
      <c r="B793" s="21"/>
      <c r="C793" s="21" t="str">
        <f aca="false">IF(B793="","",IFERROR(INDEX(代理店一覧!$B$5:$B$204,MATCH(B793,代理店一覧!$A$5:$A$204,0)),"※未登録のID"))</f>
        <v/>
      </c>
      <c r="D793" s="20"/>
      <c r="E793" s="20"/>
      <c r="F793" s="20"/>
      <c r="G793" s="20"/>
      <c r="H793" s="20"/>
      <c r="I793" s="21"/>
    </row>
    <row r="794" customFormat="false" ht="15" hidden="false" customHeight="false" outlineLevel="0" collapsed="false">
      <c r="A794" s="30"/>
      <c r="B794" s="21"/>
      <c r="C794" s="21" t="str">
        <f aca="false">IF(B794="","",IFERROR(INDEX(代理店一覧!$B$5:$B$204,MATCH(B794,代理店一覧!$A$5:$A$204,0)),"※未登録のID"))</f>
        <v/>
      </c>
      <c r="D794" s="20"/>
      <c r="E794" s="20"/>
      <c r="F794" s="20"/>
      <c r="G794" s="20"/>
      <c r="H794" s="20"/>
      <c r="I794" s="21"/>
    </row>
    <row r="795" customFormat="false" ht="15" hidden="false" customHeight="false" outlineLevel="0" collapsed="false">
      <c r="A795" s="30"/>
      <c r="B795" s="21"/>
      <c r="C795" s="21" t="str">
        <f aca="false">IF(B795="","",IFERROR(INDEX(代理店一覧!$B$5:$B$204,MATCH(B795,代理店一覧!$A$5:$A$204,0)),"※未登録のID"))</f>
        <v/>
      </c>
      <c r="D795" s="20"/>
      <c r="E795" s="20"/>
      <c r="F795" s="20"/>
      <c r="G795" s="20"/>
      <c r="H795" s="20"/>
      <c r="I795" s="21"/>
    </row>
    <row r="796" customFormat="false" ht="15" hidden="false" customHeight="false" outlineLevel="0" collapsed="false">
      <c r="A796" s="30"/>
      <c r="B796" s="21"/>
      <c r="C796" s="21" t="str">
        <f aca="false">IF(B796="","",IFERROR(INDEX(代理店一覧!$B$5:$B$204,MATCH(B796,代理店一覧!$A$5:$A$204,0)),"※未登録のID"))</f>
        <v/>
      </c>
      <c r="D796" s="20"/>
      <c r="E796" s="20"/>
      <c r="F796" s="20"/>
      <c r="G796" s="20"/>
      <c r="H796" s="20"/>
      <c r="I796" s="21"/>
    </row>
    <row r="797" customFormat="false" ht="15" hidden="false" customHeight="false" outlineLevel="0" collapsed="false">
      <c r="A797" s="30"/>
      <c r="B797" s="21"/>
      <c r="C797" s="21" t="str">
        <f aca="false">IF(B797="","",IFERROR(INDEX(代理店一覧!$B$5:$B$204,MATCH(B797,代理店一覧!$A$5:$A$204,0)),"※未登録のID"))</f>
        <v/>
      </c>
      <c r="D797" s="20"/>
      <c r="E797" s="20"/>
      <c r="F797" s="20"/>
      <c r="G797" s="20"/>
      <c r="H797" s="20"/>
      <c r="I797" s="21"/>
    </row>
    <row r="798" customFormat="false" ht="15" hidden="false" customHeight="false" outlineLevel="0" collapsed="false">
      <c r="A798" s="30"/>
      <c r="B798" s="21"/>
      <c r="C798" s="21" t="str">
        <f aca="false">IF(B798="","",IFERROR(INDEX(代理店一覧!$B$5:$B$204,MATCH(B798,代理店一覧!$A$5:$A$204,0)),"※未登録のID"))</f>
        <v/>
      </c>
      <c r="D798" s="20"/>
      <c r="E798" s="20"/>
      <c r="F798" s="20"/>
      <c r="G798" s="20"/>
      <c r="H798" s="20"/>
      <c r="I798" s="21"/>
    </row>
    <row r="799" customFormat="false" ht="15" hidden="false" customHeight="false" outlineLevel="0" collapsed="false">
      <c r="A799" s="30"/>
      <c r="B799" s="21"/>
      <c r="C799" s="21" t="str">
        <f aca="false">IF(B799="","",IFERROR(INDEX(代理店一覧!$B$5:$B$204,MATCH(B799,代理店一覧!$A$5:$A$204,0)),"※未登録のID"))</f>
        <v/>
      </c>
      <c r="D799" s="20"/>
      <c r="E799" s="20"/>
      <c r="F799" s="20"/>
      <c r="G799" s="20"/>
      <c r="H799" s="20"/>
      <c r="I799" s="21"/>
    </row>
    <row r="800" customFormat="false" ht="15" hidden="false" customHeight="false" outlineLevel="0" collapsed="false">
      <c r="A800" s="30"/>
      <c r="B800" s="21"/>
      <c r="C800" s="21" t="str">
        <f aca="false">IF(B800="","",IFERROR(INDEX(代理店一覧!$B$5:$B$204,MATCH(B800,代理店一覧!$A$5:$A$204,0)),"※未登録のID"))</f>
        <v/>
      </c>
      <c r="D800" s="20"/>
      <c r="E800" s="20"/>
      <c r="F800" s="20"/>
      <c r="G800" s="20"/>
      <c r="H800" s="20"/>
      <c r="I800" s="21"/>
    </row>
    <row r="801" customFormat="false" ht="15" hidden="false" customHeight="false" outlineLevel="0" collapsed="false">
      <c r="A801" s="30"/>
      <c r="B801" s="21"/>
      <c r="C801" s="21" t="str">
        <f aca="false">IF(B801="","",IFERROR(INDEX(代理店一覧!$B$5:$B$204,MATCH(B801,代理店一覧!$A$5:$A$204,0)),"※未登録のID"))</f>
        <v/>
      </c>
      <c r="D801" s="20"/>
      <c r="E801" s="20"/>
      <c r="F801" s="20"/>
      <c r="G801" s="20"/>
      <c r="H801" s="20"/>
      <c r="I801" s="21"/>
    </row>
    <row r="802" customFormat="false" ht="15" hidden="false" customHeight="false" outlineLevel="0" collapsed="false">
      <c r="A802" s="30"/>
      <c r="B802" s="21"/>
      <c r="C802" s="21" t="str">
        <f aca="false">IF(B802="","",IFERROR(INDEX(代理店一覧!$B$5:$B$204,MATCH(B802,代理店一覧!$A$5:$A$204,0)),"※未登録のID"))</f>
        <v/>
      </c>
      <c r="D802" s="20"/>
      <c r="E802" s="20"/>
      <c r="F802" s="20"/>
      <c r="G802" s="20"/>
      <c r="H802" s="20"/>
      <c r="I802" s="21"/>
    </row>
    <row r="803" customFormat="false" ht="15" hidden="false" customHeight="false" outlineLevel="0" collapsed="false">
      <c r="A803" s="30"/>
      <c r="B803" s="21"/>
      <c r="C803" s="21" t="str">
        <f aca="false">IF(B803="","",IFERROR(INDEX(代理店一覧!$B$5:$B$204,MATCH(B803,代理店一覧!$A$5:$A$204,0)),"※未登録のID"))</f>
        <v/>
      </c>
      <c r="D803" s="20"/>
      <c r="E803" s="20"/>
      <c r="F803" s="20"/>
      <c r="G803" s="20"/>
      <c r="H803" s="20"/>
      <c r="I803" s="21"/>
    </row>
    <row r="804" customFormat="false" ht="15" hidden="false" customHeight="false" outlineLevel="0" collapsed="false">
      <c r="A804" s="30"/>
      <c r="B804" s="21"/>
      <c r="C804" s="21" t="str">
        <f aca="false">IF(B804="","",IFERROR(INDEX(代理店一覧!$B$5:$B$204,MATCH(B804,代理店一覧!$A$5:$A$204,0)),"※未登録のID"))</f>
        <v/>
      </c>
      <c r="D804" s="20"/>
      <c r="E804" s="20"/>
      <c r="F804" s="20"/>
      <c r="G804" s="20"/>
      <c r="H804" s="20"/>
      <c r="I804" s="21"/>
    </row>
    <row r="805" customFormat="false" ht="15" hidden="false" customHeight="false" outlineLevel="0" collapsed="false">
      <c r="A805" s="30"/>
      <c r="B805" s="21"/>
      <c r="C805" s="21" t="str">
        <f aca="false">IF(B805="","",IFERROR(INDEX(代理店一覧!$B$5:$B$204,MATCH(B805,代理店一覧!$A$5:$A$204,0)),"※未登録のID"))</f>
        <v/>
      </c>
      <c r="D805" s="20"/>
      <c r="E805" s="20"/>
      <c r="F805" s="20"/>
      <c r="G805" s="20"/>
      <c r="H805" s="20"/>
      <c r="I805" s="21"/>
    </row>
    <row r="806" customFormat="false" ht="15" hidden="false" customHeight="false" outlineLevel="0" collapsed="false">
      <c r="A806" s="30"/>
      <c r="B806" s="21"/>
      <c r="C806" s="21" t="str">
        <f aca="false">IF(B806="","",IFERROR(INDEX(代理店一覧!$B$5:$B$204,MATCH(B806,代理店一覧!$A$5:$A$204,0)),"※未登録のID"))</f>
        <v/>
      </c>
      <c r="D806" s="20"/>
      <c r="E806" s="20"/>
      <c r="F806" s="20"/>
      <c r="G806" s="20"/>
      <c r="H806" s="20"/>
      <c r="I806" s="21"/>
    </row>
    <row r="807" customFormat="false" ht="15" hidden="false" customHeight="false" outlineLevel="0" collapsed="false">
      <c r="A807" s="30"/>
      <c r="B807" s="21"/>
      <c r="C807" s="21" t="str">
        <f aca="false">IF(B807="","",IFERROR(INDEX(代理店一覧!$B$5:$B$204,MATCH(B807,代理店一覧!$A$5:$A$204,0)),"※未登録のID"))</f>
        <v/>
      </c>
      <c r="D807" s="20"/>
      <c r="E807" s="20"/>
      <c r="F807" s="20"/>
      <c r="G807" s="20"/>
      <c r="H807" s="20"/>
      <c r="I807" s="21"/>
    </row>
    <row r="808" customFormat="false" ht="15" hidden="false" customHeight="false" outlineLevel="0" collapsed="false">
      <c r="A808" s="30"/>
      <c r="B808" s="21"/>
      <c r="C808" s="21" t="str">
        <f aca="false">IF(B808="","",IFERROR(INDEX(代理店一覧!$B$5:$B$204,MATCH(B808,代理店一覧!$A$5:$A$204,0)),"※未登録のID"))</f>
        <v/>
      </c>
      <c r="D808" s="20"/>
      <c r="E808" s="20"/>
      <c r="F808" s="20"/>
      <c r="G808" s="20"/>
      <c r="H808" s="20"/>
      <c r="I808" s="21"/>
    </row>
    <row r="809" customFormat="false" ht="15" hidden="false" customHeight="false" outlineLevel="0" collapsed="false">
      <c r="A809" s="30"/>
      <c r="B809" s="21"/>
      <c r="C809" s="21" t="str">
        <f aca="false">IF(B809="","",IFERROR(INDEX(代理店一覧!$B$5:$B$204,MATCH(B809,代理店一覧!$A$5:$A$204,0)),"※未登録のID"))</f>
        <v/>
      </c>
      <c r="D809" s="20"/>
      <c r="E809" s="20"/>
      <c r="F809" s="20"/>
      <c r="G809" s="20"/>
      <c r="H809" s="20"/>
      <c r="I809" s="21"/>
    </row>
    <row r="810" customFormat="false" ht="15" hidden="false" customHeight="false" outlineLevel="0" collapsed="false">
      <c r="A810" s="30"/>
      <c r="B810" s="21"/>
      <c r="C810" s="21" t="str">
        <f aca="false">IF(B810="","",IFERROR(INDEX(代理店一覧!$B$5:$B$204,MATCH(B810,代理店一覧!$A$5:$A$204,0)),"※未登録のID"))</f>
        <v/>
      </c>
      <c r="D810" s="20"/>
      <c r="E810" s="20"/>
      <c r="F810" s="20"/>
      <c r="G810" s="20"/>
      <c r="H810" s="20"/>
      <c r="I810" s="21"/>
    </row>
    <row r="811" customFormat="false" ht="15" hidden="false" customHeight="false" outlineLevel="0" collapsed="false">
      <c r="A811" s="30"/>
      <c r="B811" s="21"/>
      <c r="C811" s="21" t="str">
        <f aca="false">IF(B811="","",IFERROR(INDEX(代理店一覧!$B$5:$B$204,MATCH(B811,代理店一覧!$A$5:$A$204,0)),"※未登録のID"))</f>
        <v/>
      </c>
      <c r="D811" s="20"/>
      <c r="E811" s="20"/>
      <c r="F811" s="20"/>
      <c r="G811" s="20"/>
      <c r="H811" s="20"/>
      <c r="I811" s="21"/>
    </row>
    <row r="812" customFormat="false" ht="15" hidden="false" customHeight="false" outlineLevel="0" collapsed="false">
      <c r="A812" s="30"/>
      <c r="B812" s="21"/>
      <c r="C812" s="21" t="str">
        <f aca="false">IF(B812="","",IFERROR(INDEX(代理店一覧!$B$5:$B$204,MATCH(B812,代理店一覧!$A$5:$A$204,0)),"※未登録のID"))</f>
        <v/>
      </c>
      <c r="D812" s="20"/>
      <c r="E812" s="20"/>
      <c r="F812" s="20"/>
      <c r="G812" s="20"/>
      <c r="H812" s="20"/>
      <c r="I812" s="21"/>
    </row>
    <row r="813" customFormat="false" ht="15" hidden="false" customHeight="false" outlineLevel="0" collapsed="false">
      <c r="A813" s="30"/>
      <c r="B813" s="21"/>
      <c r="C813" s="21" t="str">
        <f aca="false">IF(B813="","",IFERROR(INDEX(代理店一覧!$B$5:$B$204,MATCH(B813,代理店一覧!$A$5:$A$204,0)),"※未登録のID"))</f>
        <v/>
      </c>
      <c r="D813" s="20"/>
      <c r="E813" s="20"/>
      <c r="F813" s="20"/>
      <c r="G813" s="20"/>
      <c r="H813" s="20"/>
      <c r="I813" s="21"/>
    </row>
    <row r="814" customFormat="false" ht="15" hidden="false" customHeight="false" outlineLevel="0" collapsed="false">
      <c r="A814" s="30"/>
      <c r="B814" s="21"/>
      <c r="C814" s="21" t="str">
        <f aca="false">IF(B814="","",IFERROR(INDEX(代理店一覧!$B$5:$B$204,MATCH(B814,代理店一覧!$A$5:$A$204,0)),"※未登録のID"))</f>
        <v/>
      </c>
      <c r="D814" s="20"/>
      <c r="E814" s="20"/>
      <c r="F814" s="20"/>
      <c r="G814" s="20"/>
      <c r="H814" s="20"/>
      <c r="I814" s="21"/>
    </row>
    <row r="815" customFormat="false" ht="15" hidden="false" customHeight="false" outlineLevel="0" collapsed="false">
      <c r="A815" s="30"/>
      <c r="B815" s="21"/>
      <c r="C815" s="21" t="str">
        <f aca="false">IF(B815="","",IFERROR(INDEX(代理店一覧!$B$5:$B$204,MATCH(B815,代理店一覧!$A$5:$A$204,0)),"※未登録のID"))</f>
        <v/>
      </c>
      <c r="D815" s="20"/>
      <c r="E815" s="20"/>
      <c r="F815" s="20"/>
      <c r="G815" s="20"/>
      <c r="H815" s="20"/>
      <c r="I815" s="21"/>
    </row>
    <row r="816" customFormat="false" ht="15" hidden="false" customHeight="false" outlineLevel="0" collapsed="false">
      <c r="A816" s="30"/>
      <c r="B816" s="21"/>
      <c r="C816" s="21" t="str">
        <f aca="false">IF(B816="","",IFERROR(INDEX(代理店一覧!$B$5:$B$204,MATCH(B816,代理店一覧!$A$5:$A$204,0)),"※未登録のID"))</f>
        <v/>
      </c>
      <c r="D816" s="20"/>
      <c r="E816" s="20"/>
      <c r="F816" s="20"/>
      <c r="G816" s="20"/>
      <c r="H816" s="20"/>
      <c r="I816" s="21"/>
    </row>
    <row r="817" customFormat="false" ht="15" hidden="false" customHeight="false" outlineLevel="0" collapsed="false">
      <c r="A817" s="30"/>
      <c r="B817" s="21"/>
      <c r="C817" s="21" t="str">
        <f aca="false">IF(B817="","",IFERROR(INDEX(代理店一覧!$B$5:$B$204,MATCH(B817,代理店一覧!$A$5:$A$204,0)),"※未登録のID"))</f>
        <v/>
      </c>
      <c r="D817" s="20"/>
      <c r="E817" s="20"/>
      <c r="F817" s="20"/>
      <c r="G817" s="20"/>
      <c r="H817" s="20"/>
      <c r="I817" s="21"/>
    </row>
    <row r="818" customFormat="false" ht="15" hidden="false" customHeight="false" outlineLevel="0" collapsed="false">
      <c r="A818" s="30"/>
      <c r="B818" s="21"/>
      <c r="C818" s="21" t="str">
        <f aca="false">IF(B818="","",IFERROR(INDEX(代理店一覧!$B$5:$B$204,MATCH(B818,代理店一覧!$A$5:$A$204,0)),"※未登録のID"))</f>
        <v/>
      </c>
      <c r="D818" s="20"/>
      <c r="E818" s="20"/>
      <c r="F818" s="20"/>
      <c r="G818" s="20"/>
      <c r="H818" s="20"/>
      <c r="I818" s="21"/>
    </row>
    <row r="819" customFormat="false" ht="15" hidden="false" customHeight="false" outlineLevel="0" collapsed="false">
      <c r="A819" s="30"/>
      <c r="B819" s="21"/>
      <c r="C819" s="21" t="str">
        <f aca="false">IF(B819="","",IFERROR(INDEX(代理店一覧!$B$5:$B$204,MATCH(B819,代理店一覧!$A$5:$A$204,0)),"※未登録のID"))</f>
        <v/>
      </c>
      <c r="D819" s="20"/>
      <c r="E819" s="20"/>
      <c r="F819" s="20"/>
      <c r="G819" s="20"/>
      <c r="H819" s="20"/>
      <c r="I819" s="21"/>
    </row>
    <row r="820" customFormat="false" ht="15" hidden="false" customHeight="false" outlineLevel="0" collapsed="false">
      <c r="A820" s="30"/>
      <c r="B820" s="21"/>
      <c r="C820" s="21" t="str">
        <f aca="false">IF(B820="","",IFERROR(INDEX(代理店一覧!$B$5:$B$204,MATCH(B820,代理店一覧!$A$5:$A$204,0)),"※未登録のID"))</f>
        <v/>
      </c>
      <c r="D820" s="20"/>
      <c r="E820" s="20"/>
      <c r="F820" s="20"/>
      <c r="G820" s="20"/>
      <c r="H820" s="20"/>
      <c r="I820" s="21"/>
    </row>
    <row r="821" customFormat="false" ht="15" hidden="false" customHeight="false" outlineLevel="0" collapsed="false">
      <c r="A821" s="30"/>
      <c r="B821" s="21"/>
      <c r="C821" s="21" t="str">
        <f aca="false">IF(B821="","",IFERROR(INDEX(代理店一覧!$B$5:$B$204,MATCH(B821,代理店一覧!$A$5:$A$204,0)),"※未登録のID"))</f>
        <v/>
      </c>
      <c r="D821" s="20"/>
      <c r="E821" s="20"/>
      <c r="F821" s="20"/>
      <c r="G821" s="20"/>
      <c r="H821" s="20"/>
      <c r="I821" s="21"/>
    </row>
    <row r="822" customFormat="false" ht="15" hidden="false" customHeight="false" outlineLevel="0" collapsed="false">
      <c r="A822" s="30"/>
      <c r="B822" s="21"/>
      <c r="C822" s="21" t="str">
        <f aca="false">IF(B822="","",IFERROR(INDEX(代理店一覧!$B$5:$B$204,MATCH(B822,代理店一覧!$A$5:$A$204,0)),"※未登録のID"))</f>
        <v/>
      </c>
      <c r="D822" s="20"/>
      <c r="E822" s="20"/>
      <c r="F822" s="20"/>
      <c r="G822" s="20"/>
      <c r="H822" s="20"/>
      <c r="I822" s="21"/>
    </row>
    <row r="823" customFormat="false" ht="15" hidden="false" customHeight="false" outlineLevel="0" collapsed="false">
      <c r="A823" s="30"/>
      <c r="B823" s="21"/>
      <c r="C823" s="21" t="str">
        <f aca="false">IF(B823="","",IFERROR(INDEX(代理店一覧!$B$5:$B$204,MATCH(B823,代理店一覧!$A$5:$A$204,0)),"※未登録のID"))</f>
        <v/>
      </c>
      <c r="D823" s="20"/>
      <c r="E823" s="20"/>
      <c r="F823" s="20"/>
      <c r="G823" s="20"/>
      <c r="H823" s="20"/>
      <c r="I823" s="21"/>
    </row>
    <row r="824" customFormat="false" ht="15" hidden="false" customHeight="false" outlineLevel="0" collapsed="false">
      <c r="A824" s="30"/>
      <c r="B824" s="21"/>
      <c r="C824" s="21" t="str">
        <f aca="false">IF(B824="","",IFERROR(INDEX(代理店一覧!$B$5:$B$204,MATCH(B824,代理店一覧!$A$5:$A$204,0)),"※未登録のID"))</f>
        <v/>
      </c>
      <c r="D824" s="20"/>
      <c r="E824" s="20"/>
      <c r="F824" s="20"/>
      <c r="G824" s="20"/>
      <c r="H824" s="20"/>
      <c r="I824" s="21"/>
    </row>
    <row r="825" customFormat="false" ht="15" hidden="false" customHeight="false" outlineLevel="0" collapsed="false">
      <c r="A825" s="30"/>
      <c r="B825" s="21"/>
      <c r="C825" s="21" t="str">
        <f aca="false">IF(B825="","",IFERROR(INDEX(代理店一覧!$B$5:$B$204,MATCH(B825,代理店一覧!$A$5:$A$204,0)),"※未登録のID"))</f>
        <v/>
      </c>
      <c r="D825" s="20"/>
      <c r="E825" s="20"/>
      <c r="F825" s="20"/>
      <c r="G825" s="20"/>
      <c r="H825" s="20"/>
      <c r="I825" s="21"/>
    </row>
    <row r="826" customFormat="false" ht="15" hidden="false" customHeight="false" outlineLevel="0" collapsed="false">
      <c r="A826" s="30"/>
      <c r="B826" s="21"/>
      <c r="C826" s="21" t="str">
        <f aca="false">IF(B826="","",IFERROR(INDEX(代理店一覧!$B$5:$B$204,MATCH(B826,代理店一覧!$A$5:$A$204,0)),"※未登録のID"))</f>
        <v/>
      </c>
      <c r="D826" s="20"/>
      <c r="E826" s="20"/>
      <c r="F826" s="20"/>
      <c r="G826" s="20"/>
      <c r="H826" s="20"/>
      <c r="I826" s="21"/>
    </row>
    <row r="827" customFormat="false" ht="15" hidden="false" customHeight="false" outlineLevel="0" collapsed="false">
      <c r="A827" s="30"/>
      <c r="B827" s="21"/>
      <c r="C827" s="21" t="str">
        <f aca="false">IF(B827="","",IFERROR(INDEX(代理店一覧!$B$5:$B$204,MATCH(B827,代理店一覧!$A$5:$A$204,0)),"※未登録のID"))</f>
        <v/>
      </c>
      <c r="D827" s="20"/>
      <c r="E827" s="20"/>
      <c r="F827" s="20"/>
      <c r="G827" s="20"/>
      <c r="H827" s="20"/>
      <c r="I827" s="21"/>
    </row>
    <row r="828" customFormat="false" ht="15" hidden="false" customHeight="false" outlineLevel="0" collapsed="false">
      <c r="A828" s="30"/>
      <c r="B828" s="21"/>
      <c r="C828" s="21" t="str">
        <f aca="false">IF(B828="","",IFERROR(INDEX(代理店一覧!$B$5:$B$204,MATCH(B828,代理店一覧!$A$5:$A$204,0)),"※未登録のID"))</f>
        <v/>
      </c>
      <c r="D828" s="20"/>
      <c r="E828" s="20"/>
      <c r="F828" s="20"/>
      <c r="G828" s="20"/>
      <c r="H828" s="20"/>
      <c r="I828" s="21"/>
    </row>
    <row r="829" customFormat="false" ht="15" hidden="false" customHeight="false" outlineLevel="0" collapsed="false">
      <c r="A829" s="30"/>
      <c r="B829" s="21"/>
      <c r="C829" s="21" t="str">
        <f aca="false">IF(B829="","",IFERROR(INDEX(代理店一覧!$B$5:$B$204,MATCH(B829,代理店一覧!$A$5:$A$204,0)),"※未登録のID"))</f>
        <v/>
      </c>
      <c r="D829" s="20"/>
      <c r="E829" s="20"/>
      <c r="F829" s="20"/>
      <c r="G829" s="20"/>
      <c r="H829" s="20"/>
      <c r="I829" s="21"/>
    </row>
    <row r="830" customFormat="false" ht="15" hidden="false" customHeight="false" outlineLevel="0" collapsed="false">
      <c r="A830" s="30"/>
      <c r="B830" s="21"/>
      <c r="C830" s="21" t="str">
        <f aca="false">IF(B830="","",IFERROR(INDEX(代理店一覧!$B$5:$B$204,MATCH(B830,代理店一覧!$A$5:$A$204,0)),"※未登録のID"))</f>
        <v/>
      </c>
      <c r="D830" s="20"/>
      <c r="E830" s="20"/>
      <c r="F830" s="20"/>
      <c r="G830" s="20"/>
      <c r="H830" s="20"/>
      <c r="I830" s="21"/>
    </row>
    <row r="831" customFormat="false" ht="15" hidden="false" customHeight="false" outlineLevel="0" collapsed="false">
      <c r="A831" s="30"/>
      <c r="B831" s="21"/>
      <c r="C831" s="21" t="str">
        <f aca="false">IF(B831="","",IFERROR(INDEX(代理店一覧!$B$5:$B$204,MATCH(B831,代理店一覧!$A$5:$A$204,0)),"※未登録のID"))</f>
        <v/>
      </c>
      <c r="D831" s="20"/>
      <c r="E831" s="20"/>
      <c r="F831" s="20"/>
      <c r="G831" s="20"/>
      <c r="H831" s="20"/>
      <c r="I831" s="21"/>
    </row>
    <row r="832" customFormat="false" ht="15" hidden="false" customHeight="false" outlineLevel="0" collapsed="false">
      <c r="A832" s="30"/>
      <c r="B832" s="21"/>
      <c r="C832" s="21" t="str">
        <f aca="false">IF(B832="","",IFERROR(INDEX(代理店一覧!$B$5:$B$204,MATCH(B832,代理店一覧!$A$5:$A$204,0)),"※未登録のID"))</f>
        <v/>
      </c>
      <c r="D832" s="20"/>
      <c r="E832" s="20"/>
      <c r="F832" s="20"/>
      <c r="G832" s="20"/>
      <c r="H832" s="20"/>
      <c r="I832" s="21"/>
    </row>
    <row r="833" customFormat="false" ht="15" hidden="false" customHeight="false" outlineLevel="0" collapsed="false">
      <c r="A833" s="30"/>
      <c r="B833" s="21"/>
      <c r="C833" s="21" t="str">
        <f aca="false">IF(B833="","",IFERROR(INDEX(代理店一覧!$B$5:$B$204,MATCH(B833,代理店一覧!$A$5:$A$204,0)),"※未登録のID"))</f>
        <v/>
      </c>
      <c r="D833" s="20"/>
      <c r="E833" s="20"/>
      <c r="F833" s="20"/>
      <c r="G833" s="20"/>
      <c r="H833" s="20"/>
      <c r="I833" s="21"/>
    </row>
    <row r="834" customFormat="false" ht="15" hidden="false" customHeight="false" outlineLevel="0" collapsed="false">
      <c r="A834" s="30"/>
      <c r="B834" s="21"/>
      <c r="C834" s="21" t="str">
        <f aca="false">IF(B834="","",IFERROR(INDEX(代理店一覧!$B$5:$B$204,MATCH(B834,代理店一覧!$A$5:$A$204,0)),"※未登録のID"))</f>
        <v/>
      </c>
      <c r="D834" s="20"/>
      <c r="E834" s="20"/>
      <c r="F834" s="20"/>
      <c r="G834" s="20"/>
      <c r="H834" s="20"/>
      <c r="I834" s="21"/>
    </row>
    <row r="835" customFormat="false" ht="15" hidden="false" customHeight="false" outlineLevel="0" collapsed="false">
      <c r="A835" s="30"/>
      <c r="B835" s="21"/>
      <c r="C835" s="21" t="str">
        <f aca="false">IF(B835="","",IFERROR(INDEX(代理店一覧!$B$5:$B$204,MATCH(B835,代理店一覧!$A$5:$A$204,0)),"※未登録のID"))</f>
        <v/>
      </c>
      <c r="D835" s="20"/>
      <c r="E835" s="20"/>
      <c r="F835" s="20"/>
      <c r="G835" s="20"/>
      <c r="H835" s="20"/>
      <c r="I835" s="21"/>
    </row>
    <row r="836" customFormat="false" ht="15" hidden="false" customHeight="false" outlineLevel="0" collapsed="false">
      <c r="A836" s="30"/>
      <c r="B836" s="21"/>
      <c r="C836" s="21" t="str">
        <f aca="false">IF(B836="","",IFERROR(INDEX(代理店一覧!$B$5:$B$204,MATCH(B836,代理店一覧!$A$5:$A$204,0)),"※未登録のID"))</f>
        <v/>
      </c>
      <c r="D836" s="20"/>
      <c r="E836" s="20"/>
      <c r="F836" s="20"/>
      <c r="G836" s="20"/>
      <c r="H836" s="20"/>
      <c r="I836" s="21"/>
    </row>
    <row r="837" customFormat="false" ht="15" hidden="false" customHeight="false" outlineLevel="0" collapsed="false">
      <c r="A837" s="30"/>
      <c r="B837" s="21"/>
      <c r="C837" s="21" t="str">
        <f aca="false">IF(B837="","",IFERROR(INDEX(代理店一覧!$B$5:$B$204,MATCH(B837,代理店一覧!$A$5:$A$204,0)),"※未登録のID"))</f>
        <v/>
      </c>
      <c r="D837" s="20"/>
      <c r="E837" s="20"/>
      <c r="F837" s="20"/>
      <c r="G837" s="20"/>
      <c r="H837" s="20"/>
      <c r="I837" s="21"/>
    </row>
    <row r="838" customFormat="false" ht="15" hidden="false" customHeight="false" outlineLevel="0" collapsed="false">
      <c r="A838" s="30"/>
      <c r="B838" s="21"/>
      <c r="C838" s="21" t="str">
        <f aca="false">IF(B838="","",IFERROR(INDEX(代理店一覧!$B$5:$B$204,MATCH(B838,代理店一覧!$A$5:$A$204,0)),"※未登録のID"))</f>
        <v/>
      </c>
      <c r="D838" s="20"/>
      <c r="E838" s="20"/>
      <c r="F838" s="20"/>
      <c r="G838" s="20"/>
      <c r="H838" s="20"/>
      <c r="I838" s="21"/>
    </row>
    <row r="839" customFormat="false" ht="15" hidden="false" customHeight="false" outlineLevel="0" collapsed="false">
      <c r="A839" s="30"/>
      <c r="B839" s="21"/>
      <c r="C839" s="21" t="str">
        <f aca="false">IF(B839="","",IFERROR(INDEX(代理店一覧!$B$5:$B$204,MATCH(B839,代理店一覧!$A$5:$A$204,0)),"※未登録のID"))</f>
        <v/>
      </c>
      <c r="D839" s="20"/>
      <c r="E839" s="20"/>
      <c r="F839" s="20"/>
      <c r="G839" s="20"/>
      <c r="H839" s="20"/>
      <c r="I839" s="21"/>
    </row>
    <row r="840" customFormat="false" ht="15" hidden="false" customHeight="false" outlineLevel="0" collapsed="false">
      <c r="A840" s="30"/>
      <c r="B840" s="21"/>
      <c r="C840" s="21" t="str">
        <f aca="false">IF(B840="","",IFERROR(INDEX(代理店一覧!$B$5:$B$204,MATCH(B840,代理店一覧!$A$5:$A$204,0)),"※未登録のID"))</f>
        <v/>
      </c>
      <c r="D840" s="20"/>
      <c r="E840" s="20"/>
      <c r="F840" s="20"/>
      <c r="G840" s="20"/>
      <c r="H840" s="20"/>
      <c r="I840" s="21"/>
    </row>
    <row r="841" customFormat="false" ht="15" hidden="false" customHeight="false" outlineLevel="0" collapsed="false">
      <c r="A841" s="30"/>
      <c r="B841" s="21"/>
      <c r="C841" s="21" t="str">
        <f aca="false">IF(B841="","",IFERROR(INDEX(代理店一覧!$B$5:$B$204,MATCH(B841,代理店一覧!$A$5:$A$204,0)),"※未登録のID"))</f>
        <v/>
      </c>
      <c r="D841" s="20"/>
      <c r="E841" s="20"/>
      <c r="F841" s="20"/>
      <c r="G841" s="20"/>
      <c r="H841" s="20"/>
      <c r="I841" s="21"/>
    </row>
    <row r="842" customFormat="false" ht="15" hidden="false" customHeight="false" outlineLevel="0" collapsed="false">
      <c r="A842" s="30"/>
      <c r="B842" s="21"/>
      <c r="C842" s="21" t="str">
        <f aca="false">IF(B842="","",IFERROR(INDEX(代理店一覧!$B$5:$B$204,MATCH(B842,代理店一覧!$A$5:$A$204,0)),"※未登録のID"))</f>
        <v/>
      </c>
      <c r="D842" s="20"/>
      <c r="E842" s="20"/>
      <c r="F842" s="20"/>
      <c r="G842" s="20"/>
      <c r="H842" s="20"/>
      <c r="I842" s="21"/>
    </row>
    <row r="843" customFormat="false" ht="15" hidden="false" customHeight="false" outlineLevel="0" collapsed="false">
      <c r="A843" s="30"/>
      <c r="B843" s="21"/>
      <c r="C843" s="21" t="str">
        <f aca="false">IF(B843="","",IFERROR(INDEX(代理店一覧!$B$5:$B$204,MATCH(B843,代理店一覧!$A$5:$A$204,0)),"※未登録のID"))</f>
        <v/>
      </c>
      <c r="D843" s="20"/>
      <c r="E843" s="20"/>
      <c r="F843" s="20"/>
      <c r="G843" s="20"/>
      <c r="H843" s="20"/>
      <c r="I843" s="21"/>
    </row>
    <row r="844" customFormat="false" ht="15" hidden="false" customHeight="false" outlineLevel="0" collapsed="false">
      <c r="A844" s="30"/>
      <c r="B844" s="21"/>
      <c r="C844" s="21" t="str">
        <f aca="false">IF(B844="","",IFERROR(INDEX(代理店一覧!$B$5:$B$204,MATCH(B844,代理店一覧!$A$5:$A$204,0)),"※未登録のID"))</f>
        <v/>
      </c>
      <c r="D844" s="20"/>
      <c r="E844" s="20"/>
      <c r="F844" s="20"/>
      <c r="G844" s="20"/>
      <c r="H844" s="20"/>
      <c r="I844" s="21"/>
    </row>
    <row r="845" customFormat="false" ht="15" hidden="false" customHeight="false" outlineLevel="0" collapsed="false">
      <c r="A845" s="30"/>
      <c r="B845" s="21"/>
      <c r="C845" s="21" t="str">
        <f aca="false">IF(B845="","",IFERROR(INDEX(代理店一覧!$B$5:$B$204,MATCH(B845,代理店一覧!$A$5:$A$204,0)),"※未登録のID"))</f>
        <v/>
      </c>
      <c r="D845" s="20"/>
      <c r="E845" s="20"/>
      <c r="F845" s="20"/>
      <c r="G845" s="20"/>
      <c r="H845" s="20"/>
      <c r="I845" s="21"/>
    </row>
    <row r="846" customFormat="false" ht="15" hidden="false" customHeight="false" outlineLevel="0" collapsed="false">
      <c r="A846" s="30"/>
      <c r="B846" s="21"/>
      <c r="C846" s="21" t="str">
        <f aca="false">IF(B846="","",IFERROR(INDEX(代理店一覧!$B$5:$B$204,MATCH(B846,代理店一覧!$A$5:$A$204,0)),"※未登録のID"))</f>
        <v/>
      </c>
      <c r="D846" s="20"/>
      <c r="E846" s="20"/>
      <c r="F846" s="20"/>
      <c r="G846" s="20"/>
      <c r="H846" s="20"/>
      <c r="I846" s="21"/>
    </row>
    <row r="847" customFormat="false" ht="15" hidden="false" customHeight="false" outlineLevel="0" collapsed="false">
      <c r="A847" s="30"/>
      <c r="B847" s="21"/>
      <c r="C847" s="21" t="str">
        <f aca="false">IF(B847="","",IFERROR(INDEX(代理店一覧!$B$5:$B$204,MATCH(B847,代理店一覧!$A$5:$A$204,0)),"※未登録のID"))</f>
        <v/>
      </c>
      <c r="D847" s="20"/>
      <c r="E847" s="20"/>
      <c r="F847" s="20"/>
      <c r="G847" s="20"/>
      <c r="H847" s="20"/>
      <c r="I847" s="21"/>
    </row>
    <row r="848" customFormat="false" ht="15" hidden="false" customHeight="false" outlineLevel="0" collapsed="false">
      <c r="A848" s="30"/>
      <c r="B848" s="21"/>
      <c r="C848" s="21" t="str">
        <f aca="false">IF(B848="","",IFERROR(INDEX(代理店一覧!$B$5:$B$204,MATCH(B848,代理店一覧!$A$5:$A$204,0)),"※未登録のID"))</f>
        <v/>
      </c>
      <c r="D848" s="20"/>
      <c r="E848" s="20"/>
      <c r="F848" s="20"/>
      <c r="G848" s="20"/>
      <c r="H848" s="20"/>
      <c r="I848" s="21"/>
    </row>
    <row r="849" customFormat="false" ht="15" hidden="false" customHeight="false" outlineLevel="0" collapsed="false">
      <c r="A849" s="30"/>
      <c r="B849" s="21"/>
      <c r="C849" s="21" t="str">
        <f aca="false">IF(B849="","",IFERROR(INDEX(代理店一覧!$B$5:$B$204,MATCH(B849,代理店一覧!$A$5:$A$204,0)),"※未登録のID"))</f>
        <v/>
      </c>
      <c r="D849" s="20"/>
      <c r="E849" s="20"/>
      <c r="F849" s="20"/>
      <c r="G849" s="20"/>
      <c r="H849" s="20"/>
      <c r="I849" s="21"/>
    </row>
    <row r="850" customFormat="false" ht="15" hidden="false" customHeight="false" outlineLevel="0" collapsed="false">
      <c r="A850" s="30"/>
      <c r="B850" s="21"/>
      <c r="C850" s="21" t="str">
        <f aca="false">IF(B850="","",IFERROR(INDEX(代理店一覧!$B$5:$B$204,MATCH(B850,代理店一覧!$A$5:$A$204,0)),"※未登録のID"))</f>
        <v/>
      </c>
      <c r="D850" s="20"/>
      <c r="E850" s="20"/>
      <c r="F850" s="20"/>
      <c r="G850" s="20"/>
      <c r="H850" s="20"/>
      <c r="I850" s="21"/>
    </row>
    <row r="851" customFormat="false" ht="15" hidden="false" customHeight="false" outlineLevel="0" collapsed="false">
      <c r="A851" s="30"/>
      <c r="B851" s="21"/>
      <c r="C851" s="21" t="str">
        <f aca="false">IF(B851="","",IFERROR(INDEX(代理店一覧!$B$5:$B$204,MATCH(B851,代理店一覧!$A$5:$A$204,0)),"※未登録のID"))</f>
        <v/>
      </c>
      <c r="D851" s="20"/>
      <c r="E851" s="20"/>
      <c r="F851" s="20"/>
      <c r="G851" s="20"/>
      <c r="H851" s="20"/>
      <c r="I851" s="21"/>
    </row>
    <row r="852" customFormat="false" ht="15" hidden="false" customHeight="false" outlineLevel="0" collapsed="false">
      <c r="A852" s="30"/>
      <c r="B852" s="21"/>
      <c r="C852" s="21" t="str">
        <f aca="false">IF(B852="","",IFERROR(INDEX(代理店一覧!$B$5:$B$204,MATCH(B852,代理店一覧!$A$5:$A$204,0)),"※未登録のID"))</f>
        <v/>
      </c>
      <c r="D852" s="20"/>
      <c r="E852" s="20"/>
      <c r="F852" s="20"/>
      <c r="G852" s="20"/>
      <c r="H852" s="20"/>
      <c r="I852" s="21"/>
    </row>
    <row r="853" customFormat="false" ht="15" hidden="false" customHeight="false" outlineLevel="0" collapsed="false">
      <c r="A853" s="30"/>
      <c r="B853" s="21"/>
      <c r="C853" s="21" t="str">
        <f aca="false">IF(B853="","",IFERROR(INDEX(代理店一覧!$B$5:$B$204,MATCH(B853,代理店一覧!$A$5:$A$204,0)),"※未登録のID"))</f>
        <v/>
      </c>
      <c r="D853" s="20"/>
      <c r="E853" s="20"/>
      <c r="F853" s="20"/>
      <c r="G853" s="20"/>
      <c r="H853" s="20"/>
      <c r="I853" s="21"/>
    </row>
    <row r="854" customFormat="false" ht="15" hidden="false" customHeight="false" outlineLevel="0" collapsed="false">
      <c r="A854" s="30"/>
      <c r="B854" s="21"/>
      <c r="C854" s="21" t="str">
        <f aca="false">IF(B854="","",IFERROR(INDEX(代理店一覧!$B$5:$B$204,MATCH(B854,代理店一覧!$A$5:$A$204,0)),"※未登録のID"))</f>
        <v/>
      </c>
      <c r="D854" s="20"/>
      <c r="E854" s="20"/>
      <c r="F854" s="20"/>
      <c r="G854" s="20"/>
      <c r="H854" s="20"/>
      <c r="I854" s="21"/>
    </row>
    <row r="855" customFormat="false" ht="15" hidden="false" customHeight="false" outlineLevel="0" collapsed="false">
      <c r="A855" s="30"/>
      <c r="B855" s="21"/>
      <c r="C855" s="21" t="str">
        <f aca="false">IF(B855="","",IFERROR(INDEX(代理店一覧!$B$5:$B$204,MATCH(B855,代理店一覧!$A$5:$A$204,0)),"※未登録のID"))</f>
        <v/>
      </c>
      <c r="D855" s="20"/>
      <c r="E855" s="20"/>
      <c r="F855" s="20"/>
      <c r="G855" s="20"/>
      <c r="H855" s="20"/>
      <c r="I855" s="21"/>
    </row>
    <row r="856" customFormat="false" ht="15" hidden="false" customHeight="false" outlineLevel="0" collapsed="false">
      <c r="A856" s="30"/>
      <c r="B856" s="21"/>
      <c r="C856" s="21" t="str">
        <f aca="false">IF(B856="","",IFERROR(INDEX(代理店一覧!$B$5:$B$204,MATCH(B856,代理店一覧!$A$5:$A$204,0)),"※未登録のID"))</f>
        <v/>
      </c>
      <c r="D856" s="20"/>
      <c r="E856" s="20"/>
      <c r="F856" s="20"/>
      <c r="G856" s="20"/>
      <c r="H856" s="20"/>
      <c r="I856" s="21"/>
    </row>
    <row r="857" customFormat="false" ht="15" hidden="false" customHeight="false" outlineLevel="0" collapsed="false">
      <c r="A857" s="30"/>
      <c r="B857" s="21"/>
      <c r="C857" s="21" t="str">
        <f aca="false">IF(B857="","",IFERROR(INDEX(代理店一覧!$B$5:$B$204,MATCH(B857,代理店一覧!$A$5:$A$204,0)),"※未登録のID"))</f>
        <v/>
      </c>
      <c r="D857" s="20"/>
      <c r="E857" s="20"/>
      <c r="F857" s="20"/>
      <c r="G857" s="20"/>
      <c r="H857" s="20"/>
      <c r="I857" s="21"/>
    </row>
    <row r="858" customFormat="false" ht="15" hidden="false" customHeight="false" outlineLevel="0" collapsed="false">
      <c r="A858" s="30"/>
      <c r="B858" s="21"/>
      <c r="C858" s="21" t="str">
        <f aca="false">IF(B858="","",IFERROR(INDEX(代理店一覧!$B$5:$B$204,MATCH(B858,代理店一覧!$A$5:$A$204,0)),"※未登録のID"))</f>
        <v/>
      </c>
      <c r="D858" s="20"/>
      <c r="E858" s="20"/>
      <c r="F858" s="20"/>
      <c r="G858" s="20"/>
      <c r="H858" s="20"/>
      <c r="I858" s="21"/>
    </row>
    <row r="859" customFormat="false" ht="15" hidden="false" customHeight="false" outlineLevel="0" collapsed="false">
      <c r="A859" s="30"/>
      <c r="B859" s="21"/>
      <c r="C859" s="21" t="str">
        <f aca="false">IF(B859="","",IFERROR(INDEX(代理店一覧!$B$5:$B$204,MATCH(B859,代理店一覧!$A$5:$A$204,0)),"※未登録のID"))</f>
        <v/>
      </c>
      <c r="D859" s="20"/>
      <c r="E859" s="20"/>
      <c r="F859" s="20"/>
      <c r="G859" s="20"/>
      <c r="H859" s="20"/>
      <c r="I859" s="21"/>
    </row>
    <row r="860" customFormat="false" ht="15" hidden="false" customHeight="false" outlineLevel="0" collapsed="false">
      <c r="A860" s="30"/>
      <c r="B860" s="21"/>
      <c r="C860" s="21" t="str">
        <f aca="false">IF(B860="","",IFERROR(INDEX(代理店一覧!$B$5:$B$204,MATCH(B860,代理店一覧!$A$5:$A$204,0)),"※未登録のID"))</f>
        <v/>
      </c>
      <c r="D860" s="20"/>
      <c r="E860" s="20"/>
      <c r="F860" s="20"/>
      <c r="G860" s="20"/>
      <c r="H860" s="20"/>
      <c r="I860" s="21"/>
    </row>
    <row r="861" customFormat="false" ht="15" hidden="false" customHeight="false" outlineLevel="0" collapsed="false">
      <c r="A861" s="30"/>
      <c r="B861" s="21"/>
      <c r="C861" s="21" t="str">
        <f aca="false">IF(B861="","",IFERROR(INDEX(代理店一覧!$B$5:$B$204,MATCH(B861,代理店一覧!$A$5:$A$204,0)),"※未登録のID"))</f>
        <v/>
      </c>
      <c r="D861" s="20"/>
      <c r="E861" s="20"/>
      <c r="F861" s="20"/>
      <c r="G861" s="20"/>
      <c r="H861" s="20"/>
      <c r="I861" s="21"/>
    </row>
    <row r="862" customFormat="false" ht="15" hidden="false" customHeight="false" outlineLevel="0" collapsed="false">
      <c r="A862" s="30"/>
      <c r="B862" s="21"/>
      <c r="C862" s="21" t="str">
        <f aca="false">IF(B862="","",IFERROR(INDEX(代理店一覧!$B$5:$B$204,MATCH(B862,代理店一覧!$A$5:$A$204,0)),"※未登録のID"))</f>
        <v/>
      </c>
      <c r="D862" s="20"/>
      <c r="E862" s="20"/>
      <c r="F862" s="20"/>
      <c r="G862" s="20"/>
      <c r="H862" s="20"/>
      <c r="I862" s="21"/>
    </row>
    <row r="863" customFormat="false" ht="15" hidden="false" customHeight="false" outlineLevel="0" collapsed="false">
      <c r="A863" s="30"/>
      <c r="B863" s="21"/>
      <c r="C863" s="21" t="str">
        <f aca="false">IF(B863="","",IFERROR(INDEX(代理店一覧!$B$5:$B$204,MATCH(B863,代理店一覧!$A$5:$A$204,0)),"※未登録のID"))</f>
        <v/>
      </c>
      <c r="D863" s="20"/>
      <c r="E863" s="20"/>
      <c r="F863" s="20"/>
      <c r="G863" s="20"/>
      <c r="H863" s="20"/>
      <c r="I863" s="21"/>
    </row>
    <row r="864" customFormat="false" ht="15" hidden="false" customHeight="false" outlineLevel="0" collapsed="false">
      <c r="A864" s="30"/>
      <c r="B864" s="21"/>
      <c r="C864" s="21" t="str">
        <f aca="false">IF(B864="","",IFERROR(INDEX(代理店一覧!$B$5:$B$204,MATCH(B864,代理店一覧!$A$5:$A$204,0)),"※未登録のID"))</f>
        <v/>
      </c>
      <c r="D864" s="20"/>
      <c r="E864" s="20"/>
      <c r="F864" s="20"/>
      <c r="G864" s="20"/>
      <c r="H864" s="20"/>
      <c r="I864" s="21"/>
    </row>
    <row r="865" customFormat="false" ht="15" hidden="false" customHeight="false" outlineLevel="0" collapsed="false">
      <c r="A865" s="30"/>
      <c r="B865" s="21"/>
      <c r="C865" s="21" t="str">
        <f aca="false">IF(B865="","",IFERROR(INDEX(代理店一覧!$B$5:$B$204,MATCH(B865,代理店一覧!$A$5:$A$204,0)),"※未登録のID"))</f>
        <v/>
      </c>
      <c r="D865" s="20"/>
      <c r="E865" s="20"/>
      <c r="F865" s="20"/>
      <c r="G865" s="20"/>
      <c r="H865" s="20"/>
      <c r="I865" s="21"/>
    </row>
    <row r="866" customFormat="false" ht="15" hidden="false" customHeight="false" outlineLevel="0" collapsed="false">
      <c r="A866" s="30"/>
      <c r="B866" s="21"/>
      <c r="C866" s="21" t="str">
        <f aca="false">IF(B866="","",IFERROR(INDEX(代理店一覧!$B$5:$B$204,MATCH(B866,代理店一覧!$A$5:$A$204,0)),"※未登録のID"))</f>
        <v/>
      </c>
      <c r="D866" s="20"/>
      <c r="E866" s="20"/>
      <c r="F866" s="20"/>
      <c r="G866" s="20"/>
      <c r="H866" s="20"/>
      <c r="I866" s="21"/>
    </row>
    <row r="867" customFormat="false" ht="15" hidden="false" customHeight="false" outlineLevel="0" collapsed="false">
      <c r="A867" s="30"/>
      <c r="B867" s="21"/>
      <c r="C867" s="21" t="str">
        <f aca="false">IF(B867="","",IFERROR(INDEX(代理店一覧!$B$5:$B$204,MATCH(B867,代理店一覧!$A$5:$A$204,0)),"※未登録のID"))</f>
        <v/>
      </c>
      <c r="D867" s="20"/>
      <c r="E867" s="20"/>
      <c r="F867" s="20"/>
      <c r="G867" s="20"/>
      <c r="H867" s="20"/>
      <c r="I867" s="21"/>
    </row>
    <row r="868" customFormat="false" ht="15" hidden="false" customHeight="false" outlineLevel="0" collapsed="false">
      <c r="A868" s="30"/>
      <c r="B868" s="21"/>
      <c r="C868" s="21" t="str">
        <f aca="false">IF(B868="","",IFERROR(INDEX(代理店一覧!$B$5:$B$204,MATCH(B868,代理店一覧!$A$5:$A$204,0)),"※未登録のID"))</f>
        <v/>
      </c>
      <c r="D868" s="20"/>
      <c r="E868" s="20"/>
      <c r="F868" s="20"/>
      <c r="G868" s="20"/>
      <c r="H868" s="20"/>
      <c r="I868" s="21"/>
    </row>
    <row r="869" customFormat="false" ht="15" hidden="false" customHeight="false" outlineLevel="0" collapsed="false">
      <c r="A869" s="30"/>
      <c r="B869" s="21"/>
      <c r="C869" s="21" t="str">
        <f aca="false">IF(B869="","",IFERROR(INDEX(代理店一覧!$B$5:$B$204,MATCH(B869,代理店一覧!$A$5:$A$204,0)),"※未登録のID"))</f>
        <v/>
      </c>
      <c r="D869" s="20"/>
      <c r="E869" s="20"/>
      <c r="F869" s="20"/>
      <c r="G869" s="20"/>
      <c r="H869" s="20"/>
      <c r="I869" s="21"/>
    </row>
    <row r="870" customFormat="false" ht="15" hidden="false" customHeight="false" outlineLevel="0" collapsed="false">
      <c r="A870" s="30"/>
      <c r="B870" s="21"/>
      <c r="C870" s="21" t="str">
        <f aca="false">IF(B870="","",IFERROR(INDEX(代理店一覧!$B$5:$B$204,MATCH(B870,代理店一覧!$A$5:$A$204,0)),"※未登録のID"))</f>
        <v/>
      </c>
      <c r="D870" s="20"/>
      <c r="E870" s="20"/>
      <c r="F870" s="20"/>
      <c r="G870" s="20"/>
      <c r="H870" s="20"/>
      <c r="I870" s="21"/>
    </row>
    <row r="871" customFormat="false" ht="15" hidden="false" customHeight="false" outlineLevel="0" collapsed="false">
      <c r="A871" s="30"/>
      <c r="B871" s="21"/>
      <c r="C871" s="21" t="str">
        <f aca="false">IF(B871="","",IFERROR(INDEX(代理店一覧!$B$5:$B$204,MATCH(B871,代理店一覧!$A$5:$A$204,0)),"※未登録のID"))</f>
        <v/>
      </c>
      <c r="D871" s="20"/>
      <c r="E871" s="20"/>
      <c r="F871" s="20"/>
      <c r="G871" s="20"/>
      <c r="H871" s="20"/>
      <c r="I871" s="21"/>
    </row>
    <row r="872" customFormat="false" ht="15" hidden="false" customHeight="false" outlineLevel="0" collapsed="false">
      <c r="A872" s="30"/>
      <c r="B872" s="21"/>
      <c r="C872" s="21" t="str">
        <f aca="false">IF(B872="","",IFERROR(INDEX(代理店一覧!$B$5:$B$204,MATCH(B872,代理店一覧!$A$5:$A$204,0)),"※未登録のID"))</f>
        <v/>
      </c>
      <c r="D872" s="20"/>
      <c r="E872" s="20"/>
      <c r="F872" s="20"/>
      <c r="G872" s="20"/>
      <c r="H872" s="20"/>
      <c r="I872" s="21"/>
    </row>
    <row r="873" customFormat="false" ht="15" hidden="false" customHeight="false" outlineLevel="0" collapsed="false">
      <c r="A873" s="30"/>
      <c r="B873" s="21"/>
      <c r="C873" s="21" t="str">
        <f aca="false">IF(B873="","",IFERROR(INDEX(代理店一覧!$B$5:$B$204,MATCH(B873,代理店一覧!$A$5:$A$204,0)),"※未登録のID"))</f>
        <v/>
      </c>
      <c r="D873" s="20"/>
      <c r="E873" s="20"/>
      <c r="F873" s="20"/>
      <c r="G873" s="20"/>
      <c r="H873" s="20"/>
      <c r="I873" s="21"/>
    </row>
    <row r="874" customFormat="false" ht="15" hidden="false" customHeight="false" outlineLevel="0" collapsed="false">
      <c r="A874" s="30"/>
      <c r="B874" s="21"/>
      <c r="C874" s="21" t="str">
        <f aca="false">IF(B874="","",IFERROR(INDEX(代理店一覧!$B$5:$B$204,MATCH(B874,代理店一覧!$A$5:$A$204,0)),"※未登録のID"))</f>
        <v/>
      </c>
      <c r="D874" s="20"/>
      <c r="E874" s="20"/>
      <c r="F874" s="20"/>
      <c r="G874" s="20"/>
      <c r="H874" s="20"/>
      <c r="I874" s="21"/>
    </row>
    <row r="875" customFormat="false" ht="15" hidden="false" customHeight="false" outlineLevel="0" collapsed="false">
      <c r="A875" s="30"/>
      <c r="B875" s="21"/>
      <c r="C875" s="21" t="str">
        <f aca="false">IF(B875="","",IFERROR(INDEX(代理店一覧!$B$5:$B$204,MATCH(B875,代理店一覧!$A$5:$A$204,0)),"※未登録のID"))</f>
        <v/>
      </c>
      <c r="D875" s="20"/>
      <c r="E875" s="20"/>
      <c r="F875" s="20"/>
      <c r="G875" s="20"/>
      <c r="H875" s="20"/>
      <c r="I875" s="21"/>
    </row>
    <row r="876" customFormat="false" ht="15" hidden="false" customHeight="false" outlineLevel="0" collapsed="false">
      <c r="A876" s="30"/>
      <c r="B876" s="21"/>
      <c r="C876" s="21" t="str">
        <f aca="false">IF(B876="","",IFERROR(INDEX(代理店一覧!$B$5:$B$204,MATCH(B876,代理店一覧!$A$5:$A$204,0)),"※未登録のID"))</f>
        <v/>
      </c>
      <c r="D876" s="20"/>
      <c r="E876" s="20"/>
      <c r="F876" s="20"/>
      <c r="G876" s="20"/>
      <c r="H876" s="20"/>
      <c r="I876" s="21"/>
    </row>
    <row r="877" customFormat="false" ht="15" hidden="false" customHeight="false" outlineLevel="0" collapsed="false">
      <c r="A877" s="30"/>
      <c r="B877" s="21"/>
      <c r="C877" s="21" t="str">
        <f aca="false">IF(B877="","",IFERROR(INDEX(代理店一覧!$B$5:$B$204,MATCH(B877,代理店一覧!$A$5:$A$204,0)),"※未登録のID"))</f>
        <v/>
      </c>
      <c r="D877" s="20"/>
      <c r="E877" s="20"/>
      <c r="F877" s="20"/>
      <c r="G877" s="20"/>
      <c r="H877" s="20"/>
      <c r="I877" s="21"/>
    </row>
    <row r="878" customFormat="false" ht="15" hidden="false" customHeight="false" outlineLevel="0" collapsed="false">
      <c r="A878" s="30"/>
      <c r="B878" s="21"/>
      <c r="C878" s="21" t="str">
        <f aca="false">IF(B878="","",IFERROR(INDEX(代理店一覧!$B$5:$B$204,MATCH(B878,代理店一覧!$A$5:$A$204,0)),"※未登録のID"))</f>
        <v/>
      </c>
      <c r="D878" s="20"/>
      <c r="E878" s="20"/>
      <c r="F878" s="20"/>
      <c r="G878" s="20"/>
      <c r="H878" s="20"/>
      <c r="I878" s="21"/>
    </row>
    <row r="879" customFormat="false" ht="15" hidden="false" customHeight="false" outlineLevel="0" collapsed="false">
      <c r="A879" s="30"/>
      <c r="B879" s="21"/>
      <c r="C879" s="21" t="str">
        <f aca="false">IF(B879="","",IFERROR(INDEX(代理店一覧!$B$5:$B$204,MATCH(B879,代理店一覧!$A$5:$A$204,0)),"※未登録のID"))</f>
        <v/>
      </c>
      <c r="D879" s="20"/>
      <c r="E879" s="20"/>
      <c r="F879" s="20"/>
      <c r="G879" s="20"/>
      <c r="H879" s="20"/>
      <c r="I879" s="21"/>
    </row>
    <row r="880" customFormat="false" ht="15" hidden="false" customHeight="false" outlineLevel="0" collapsed="false">
      <c r="A880" s="30"/>
      <c r="B880" s="21"/>
      <c r="C880" s="21" t="str">
        <f aca="false">IF(B880="","",IFERROR(INDEX(代理店一覧!$B$5:$B$204,MATCH(B880,代理店一覧!$A$5:$A$204,0)),"※未登録のID"))</f>
        <v/>
      </c>
      <c r="D880" s="20"/>
      <c r="E880" s="20"/>
      <c r="F880" s="20"/>
      <c r="G880" s="20"/>
      <c r="H880" s="20"/>
      <c r="I880" s="21"/>
    </row>
    <row r="881" customFormat="false" ht="15" hidden="false" customHeight="false" outlineLevel="0" collapsed="false">
      <c r="A881" s="30"/>
      <c r="B881" s="21"/>
      <c r="C881" s="21" t="str">
        <f aca="false">IF(B881="","",IFERROR(INDEX(代理店一覧!$B$5:$B$204,MATCH(B881,代理店一覧!$A$5:$A$204,0)),"※未登録のID"))</f>
        <v/>
      </c>
      <c r="D881" s="20"/>
      <c r="E881" s="20"/>
      <c r="F881" s="20"/>
      <c r="G881" s="20"/>
      <c r="H881" s="20"/>
      <c r="I881" s="21"/>
    </row>
    <row r="882" customFormat="false" ht="15" hidden="false" customHeight="false" outlineLevel="0" collapsed="false">
      <c r="A882" s="30"/>
      <c r="B882" s="21"/>
      <c r="C882" s="21" t="str">
        <f aca="false">IF(B882="","",IFERROR(INDEX(代理店一覧!$B$5:$B$204,MATCH(B882,代理店一覧!$A$5:$A$204,0)),"※未登録のID"))</f>
        <v/>
      </c>
      <c r="D882" s="20"/>
      <c r="E882" s="20"/>
      <c r="F882" s="20"/>
      <c r="G882" s="20"/>
      <c r="H882" s="20"/>
      <c r="I882" s="21"/>
    </row>
    <row r="883" customFormat="false" ht="15" hidden="false" customHeight="false" outlineLevel="0" collapsed="false">
      <c r="A883" s="30"/>
      <c r="B883" s="21"/>
      <c r="C883" s="21" t="str">
        <f aca="false">IF(B883="","",IFERROR(INDEX(代理店一覧!$B$5:$B$204,MATCH(B883,代理店一覧!$A$5:$A$204,0)),"※未登録のID"))</f>
        <v/>
      </c>
      <c r="D883" s="20"/>
      <c r="E883" s="20"/>
      <c r="F883" s="20"/>
      <c r="G883" s="20"/>
      <c r="H883" s="20"/>
      <c r="I883" s="21"/>
    </row>
    <row r="884" customFormat="false" ht="15" hidden="false" customHeight="false" outlineLevel="0" collapsed="false">
      <c r="A884" s="30"/>
      <c r="B884" s="21"/>
      <c r="C884" s="21" t="str">
        <f aca="false">IF(B884="","",IFERROR(INDEX(代理店一覧!$B$5:$B$204,MATCH(B884,代理店一覧!$A$5:$A$204,0)),"※未登録のID"))</f>
        <v/>
      </c>
      <c r="D884" s="20"/>
      <c r="E884" s="20"/>
      <c r="F884" s="20"/>
      <c r="G884" s="20"/>
      <c r="H884" s="20"/>
      <c r="I884" s="21"/>
    </row>
    <row r="885" customFormat="false" ht="15" hidden="false" customHeight="false" outlineLevel="0" collapsed="false">
      <c r="A885" s="30"/>
      <c r="B885" s="21"/>
      <c r="C885" s="21" t="str">
        <f aca="false">IF(B885="","",IFERROR(INDEX(代理店一覧!$B$5:$B$204,MATCH(B885,代理店一覧!$A$5:$A$204,0)),"※未登録のID"))</f>
        <v/>
      </c>
      <c r="D885" s="20"/>
      <c r="E885" s="20"/>
      <c r="F885" s="20"/>
      <c r="G885" s="20"/>
      <c r="H885" s="20"/>
      <c r="I885" s="21"/>
    </row>
    <row r="886" customFormat="false" ht="15" hidden="false" customHeight="false" outlineLevel="0" collapsed="false">
      <c r="A886" s="30"/>
      <c r="B886" s="21"/>
      <c r="C886" s="21" t="str">
        <f aca="false">IF(B886="","",IFERROR(INDEX(代理店一覧!$B$5:$B$204,MATCH(B886,代理店一覧!$A$5:$A$204,0)),"※未登録のID"))</f>
        <v/>
      </c>
      <c r="D886" s="20"/>
      <c r="E886" s="20"/>
      <c r="F886" s="20"/>
      <c r="G886" s="20"/>
      <c r="H886" s="20"/>
      <c r="I886" s="21"/>
    </row>
    <row r="887" customFormat="false" ht="15" hidden="false" customHeight="false" outlineLevel="0" collapsed="false">
      <c r="A887" s="30"/>
      <c r="B887" s="21"/>
      <c r="C887" s="21" t="str">
        <f aca="false">IF(B887="","",IFERROR(INDEX(代理店一覧!$B$5:$B$204,MATCH(B887,代理店一覧!$A$5:$A$204,0)),"※未登録のID"))</f>
        <v/>
      </c>
      <c r="D887" s="20"/>
      <c r="E887" s="20"/>
      <c r="F887" s="20"/>
      <c r="G887" s="20"/>
      <c r="H887" s="20"/>
      <c r="I887" s="21"/>
    </row>
    <row r="888" customFormat="false" ht="15" hidden="false" customHeight="false" outlineLevel="0" collapsed="false">
      <c r="A888" s="30"/>
      <c r="B888" s="21"/>
      <c r="C888" s="21" t="str">
        <f aca="false">IF(B888="","",IFERROR(INDEX(代理店一覧!$B$5:$B$204,MATCH(B888,代理店一覧!$A$5:$A$204,0)),"※未登録のID"))</f>
        <v/>
      </c>
      <c r="D888" s="20"/>
      <c r="E888" s="20"/>
      <c r="F888" s="20"/>
      <c r="G888" s="20"/>
      <c r="H888" s="20"/>
      <c r="I888" s="21"/>
    </row>
    <row r="889" customFormat="false" ht="15" hidden="false" customHeight="false" outlineLevel="0" collapsed="false">
      <c r="A889" s="30"/>
      <c r="B889" s="21"/>
      <c r="C889" s="21" t="str">
        <f aca="false">IF(B889="","",IFERROR(INDEX(代理店一覧!$B$5:$B$204,MATCH(B889,代理店一覧!$A$5:$A$204,0)),"※未登録のID"))</f>
        <v/>
      </c>
      <c r="D889" s="20"/>
      <c r="E889" s="20"/>
      <c r="F889" s="20"/>
      <c r="G889" s="20"/>
      <c r="H889" s="20"/>
      <c r="I889" s="21"/>
    </row>
    <row r="890" customFormat="false" ht="15" hidden="false" customHeight="false" outlineLevel="0" collapsed="false">
      <c r="A890" s="30"/>
      <c r="B890" s="21"/>
      <c r="C890" s="21" t="str">
        <f aca="false">IF(B890="","",IFERROR(INDEX(代理店一覧!$B$5:$B$204,MATCH(B890,代理店一覧!$A$5:$A$204,0)),"※未登録のID"))</f>
        <v/>
      </c>
      <c r="D890" s="20"/>
      <c r="E890" s="20"/>
      <c r="F890" s="20"/>
      <c r="G890" s="20"/>
      <c r="H890" s="20"/>
      <c r="I890" s="21"/>
    </row>
    <row r="891" customFormat="false" ht="15" hidden="false" customHeight="false" outlineLevel="0" collapsed="false">
      <c r="A891" s="30"/>
      <c r="B891" s="21"/>
      <c r="C891" s="21" t="str">
        <f aca="false">IF(B891="","",IFERROR(INDEX(代理店一覧!$B$5:$B$204,MATCH(B891,代理店一覧!$A$5:$A$204,0)),"※未登録のID"))</f>
        <v/>
      </c>
      <c r="D891" s="20"/>
      <c r="E891" s="20"/>
      <c r="F891" s="20"/>
      <c r="G891" s="20"/>
      <c r="H891" s="20"/>
      <c r="I891" s="21"/>
    </row>
    <row r="892" customFormat="false" ht="15" hidden="false" customHeight="false" outlineLevel="0" collapsed="false">
      <c r="A892" s="30"/>
      <c r="B892" s="21"/>
      <c r="C892" s="21" t="str">
        <f aca="false">IF(B892="","",IFERROR(INDEX(代理店一覧!$B$5:$B$204,MATCH(B892,代理店一覧!$A$5:$A$204,0)),"※未登録のID"))</f>
        <v/>
      </c>
      <c r="D892" s="20"/>
      <c r="E892" s="20"/>
      <c r="F892" s="20"/>
      <c r="G892" s="20"/>
      <c r="H892" s="20"/>
      <c r="I892" s="21"/>
    </row>
    <row r="893" customFormat="false" ht="15" hidden="false" customHeight="false" outlineLevel="0" collapsed="false">
      <c r="A893" s="30"/>
      <c r="B893" s="21"/>
      <c r="C893" s="21" t="str">
        <f aca="false">IF(B893="","",IFERROR(INDEX(代理店一覧!$B$5:$B$204,MATCH(B893,代理店一覧!$A$5:$A$204,0)),"※未登録のID"))</f>
        <v/>
      </c>
      <c r="D893" s="20"/>
      <c r="E893" s="20"/>
      <c r="F893" s="20"/>
      <c r="G893" s="20"/>
      <c r="H893" s="20"/>
      <c r="I893" s="21"/>
    </row>
    <row r="894" customFormat="false" ht="15" hidden="false" customHeight="false" outlineLevel="0" collapsed="false">
      <c r="A894" s="30"/>
      <c r="B894" s="21"/>
      <c r="C894" s="21" t="str">
        <f aca="false">IF(B894="","",IFERROR(INDEX(代理店一覧!$B$5:$B$204,MATCH(B894,代理店一覧!$A$5:$A$204,0)),"※未登録のID"))</f>
        <v/>
      </c>
      <c r="D894" s="20"/>
      <c r="E894" s="20"/>
      <c r="F894" s="20"/>
      <c r="G894" s="20"/>
      <c r="H894" s="20"/>
      <c r="I894" s="21"/>
    </row>
    <row r="895" customFormat="false" ht="15" hidden="false" customHeight="false" outlineLevel="0" collapsed="false">
      <c r="A895" s="30"/>
      <c r="B895" s="21"/>
      <c r="C895" s="21" t="str">
        <f aca="false">IF(B895="","",IFERROR(INDEX(代理店一覧!$B$5:$B$204,MATCH(B895,代理店一覧!$A$5:$A$204,0)),"※未登録のID"))</f>
        <v/>
      </c>
      <c r="D895" s="20"/>
      <c r="E895" s="20"/>
      <c r="F895" s="20"/>
      <c r="G895" s="20"/>
      <c r="H895" s="20"/>
      <c r="I895" s="21"/>
    </row>
    <row r="896" customFormat="false" ht="15" hidden="false" customHeight="false" outlineLevel="0" collapsed="false">
      <c r="A896" s="30"/>
      <c r="B896" s="21"/>
      <c r="C896" s="21" t="str">
        <f aca="false">IF(B896="","",IFERROR(INDEX(代理店一覧!$B$5:$B$204,MATCH(B896,代理店一覧!$A$5:$A$204,0)),"※未登録のID"))</f>
        <v/>
      </c>
      <c r="D896" s="20"/>
      <c r="E896" s="20"/>
      <c r="F896" s="20"/>
      <c r="G896" s="20"/>
      <c r="H896" s="20"/>
      <c r="I896" s="21"/>
    </row>
    <row r="897" customFormat="false" ht="15" hidden="false" customHeight="false" outlineLevel="0" collapsed="false">
      <c r="A897" s="30"/>
      <c r="B897" s="21"/>
      <c r="C897" s="21" t="str">
        <f aca="false">IF(B897="","",IFERROR(INDEX(代理店一覧!$B$5:$B$204,MATCH(B897,代理店一覧!$A$5:$A$204,0)),"※未登録のID"))</f>
        <v/>
      </c>
      <c r="D897" s="20"/>
      <c r="E897" s="20"/>
      <c r="F897" s="20"/>
      <c r="G897" s="20"/>
      <c r="H897" s="20"/>
      <c r="I897" s="21"/>
    </row>
    <row r="898" customFormat="false" ht="15" hidden="false" customHeight="false" outlineLevel="0" collapsed="false">
      <c r="A898" s="30"/>
      <c r="B898" s="21"/>
      <c r="C898" s="21" t="str">
        <f aca="false">IF(B898="","",IFERROR(INDEX(代理店一覧!$B$5:$B$204,MATCH(B898,代理店一覧!$A$5:$A$204,0)),"※未登録のID"))</f>
        <v/>
      </c>
      <c r="D898" s="20"/>
      <c r="E898" s="20"/>
      <c r="F898" s="20"/>
      <c r="G898" s="20"/>
      <c r="H898" s="20"/>
      <c r="I898" s="21"/>
    </row>
    <row r="899" customFormat="false" ht="15" hidden="false" customHeight="false" outlineLevel="0" collapsed="false">
      <c r="A899" s="30"/>
      <c r="B899" s="21"/>
      <c r="C899" s="21" t="str">
        <f aca="false">IF(B899="","",IFERROR(INDEX(代理店一覧!$B$5:$B$204,MATCH(B899,代理店一覧!$A$5:$A$204,0)),"※未登録のID"))</f>
        <v/>
      </c>
      <c r="D899" s="20"/>
      <c r="E899" s="20"/>
      <c r="F899" s="20"/>
      <c r="G899" s="20"/>
      <c r="H899" s="20"/>
      <c r="I899" s="21"/>
    </row>
    <row r="900" customFormat="false" ht="15" hidden="false" customHeight="false" outlineLevel="0" collapsed="false">
      <c r="A900" s="30"/>
      <c r="B900" s="21"/>
      <c r="C900" s="21" t="str">
        <f aca="false">IF(B900="","",IFERROR(INDEX(代理店一覧!$B$5:$B$204,MATCH(B900,代理店一覧!$A$5:$A$204,0)),"※未登録のID"))</f>
        <v/>
      </c>
      <c r="D900" s="20"/>
      <c r="E900" s="20"/>
      <c r="F900" s="20"/>
      <c r="G900" s="20"/>
      <c r="H900" s="20"/>
      <c r="I900" s="21"/>
    </row>
    <row r="901" customFormat="false" ht="15" hidden="false" customHeight="false" outlineLevel="0" collapsed="false">
      <c r="A901" s="30"/>
      <c r="B901" s="21"/>
      <c r="C901" s="21" t="str">
        <f aca="false">IF(B901="","",IFERROR(INDEX(代理店一覧!$B$5:$B$204,MATCH(B901,代理店一覧!$A$5:$A$204,0)),"※未登録のID"))</f>
        <v/>
      </c>
      <c r="D901" s="20"/>
      <c r="E901" s="20"/>
      <c r="F901" s="20"/>
      <c r="G901" s="20"/>
      <c r="H901" s="20"/>
      <c r="I901" s="21"/>
    </row>
    <row r="902" customFormat="false" ht="15" hidden="false" customHeight="false" outlineLevel="0" collapsed="false">
      <c r="A902" s="30"/>
      <c r="B902" s="21"/>
      <c r="C902" s="21" t="str">
        <f aca="false">IF(B902="","",IFERROR(INDEX(代理店一覧!$B$5:$B$204,MATCH(B902,代理店一覧!$A$5:$A$204,0)),"※未登録のID"))</f>
        <v/>
      </c>
      <c r="D902" s="20"/>
      <c r="E902" s="20"/>
      <c r="F902" s="20"/>
      <c r="G902" s="20"/>
      <c r="H902" s="20"/>
      <c r="I902" s="21"/>
    </row>
    <row r="903" customFormat="false" ht="15" hidden="false" customHeight="false" outlineLevel="0" collapsed="false">
      <c r="A903" s="30"/>
      <c r="B903" s="21"/>
      <c r="C903" s="21" t="str">
        <f aca="false">IF(B903="","",IFERROR(INDEX(代理店一覧!$B$5:$B$204,MATCH(B903,代理店一覧!$A$5:$A$204,0)),"※未登録のID"))</f>
        <v/>
      </c>
      <c r="D903" s="20"/>
      <c r="E903" s="20"/>
      <c r="F903" s="20"/>
      <c r="G903" s="20"/>
      <c r="H903" s="20"/>
      <c r="I903" s="21"/>
    </row>
    <row r="904" customFormat="false" ht="15" hidden="false" customHeight="false" outlineLevel="0" collapsed="false">
      <c r="A904" s="30"/>
      <c r="B904" s="21"/>
      <c r="C904" s="21" t="str">
        <f aca="false">IF(B904="","",IFERROR(INDEX(代理店一覧!$B$5:$B$204,MATCH(B904,代理店一覧!$A$5:$A$204,0)),"※未登録のID"))</f>
        <v/>
      </c>
      <c r="D904" s="20"/>
      <c r="E904" s="20"/>
      <c r="F904" s="20"/>
      <c r="G904" s="20"/>
      <c r="H904" s="20"/>
      <c r="I904" s="21"/>
    </row>
    <row r="905" customFormat="false" ht="15" hidden="false" customHeight="false" outlineLevel="0" collapsed="false">
      <c r="A905" s="30"/>
      <c r="B905" s="21"/>
      <c r="C905" s="21" t="str">
        <f aca="false">IF(B905="","",IFERROR(INDEX(代理店一覧!$B$5:$B$204,MATCH(B905,代理店一覧!$A$5:$A$204,0)),"※未登録のID"))</f>
        <v/>
      </c>
      <c r="D905" s="20"/>
      <c r="E905" s="20"/>
      <c r="F905" s="20"/>
      <c r="G905" s="20"/>
      <c r="H905" s="20"/>
      <c r="I905" s="21"/>
    </row>
    <row r="906" customFormat="false" ht="15" hidden="false" customHeight="false" outlineLevel="0" collapsed="false">
      <c r="A906" s="30"/>
      <c r="B906" s="21"/>
      <c r="C906" s="21" t="str">
        <f aca="false">IF(B906="","",IFERROR(INDEX(代理店一覧!$B$5:$B$204,MATCH(B906,代理店一覧!$A$5:$A$204,0)),"※未登録のID"))</f>
        <v/>
      </c>
      <c r="D906" s="20"/>
      <c r="E906" s="20"/>
      <c r="F906" s="20"/>
      <c r="G906" s="20"/>
      <c r="H906" s="20"/>
      <c r="I906" s="21"/>
    </row>
    <row r="907" customFormat="false" ht="15" hidden="false" customHeight="false" outlineLevel="0" collapsed="false">
      <c r="A907" s="30"/>
      <c r="B907" s="21"/>
      <c r="C907" s="21" t="str">
        <f aca="false">IF(B907="","",IFERROR(INDEX(代理店一覧!$B$5:$B$204,MATCH(B907,代理店一覧!$A$5:$A$204,0)),"※未登録のID"))</f>
        <v/>
      </c>
      <c r="D907" s="20"/>
      <c r="E907" s="20"/>
      <c r="F907" s="20"/>
      <c r="G907" s="20"/>
      <c r="H907" s="20"/>
      <c r="I907" s="21"/>
    </row>
    <row r="908" customFormat="false" ht="15" hidden="false" customHeight="false" outlineLevel="0" collapsed="false">
      <c r="A908" s="30"/>
      <c r="B908" s="21"/>
      <c r="C908" s="21" t="str">
        <f aca="false">IF(B908="","",IFERROR(INDEX(代理店一覧!$B$5:$B$204,MATCH(B908,代理店一覧!$A$5:$A$204,0)),"※未登録のID"))</f>
        <v/>
      </c>
      <c r="D908" s="20"/>
      <c r="E908" s="20"/>
      <c r="F908" s="20"/>
      <c r="G908" s="20"/>
      <c r="H908" s="20"/>
      <c r="I908" s="21"/>
    </row>
    <row r="909" customFormat="false" ht="15" hidden="false" customHeight="false" outlineLevel="0" collapsed="false">
      <c r="A909" s="30"/>
      <c r="B909" s="21"/>
      <c r="C909" s="21" t="str">
        <f aca="false">IF(B909="","",IFERROR(INDEX(代理店一覧!$B$5:$B$204,MATCH(B909,代理店一覧!$A$5:$A$204,0)),"※未登録のID"))</f>
        <v/>
      </c>
      <c r="D909" s="20"/>
      <c r="E909" s="20"/>
      <c r="F909" s="20"/>
      <c r="G909" s="20"/>
      <c r="H909" s="20"/>
      <c r="I909" s="21"/>
    </row>
    <row r="910" customFormat="false" ht="15" hidden="false" customHeight="false" outlineLevel="0" collapsed="false">
      <c r="A910" s="30"/>
      <c r="B910" s="21"/>
      <c r="C910" s="21" t="str">
        <f aca="false">IF(B910="","",IFERROR(INDEX(代理店一覧!$B$5:$B$204,MATCH(B910,代理店一覧!$A$5:$A$204,0)),"※未登録のID"))</f>
        <v/>
      </c>
      <c r="D910" s="20"/>
      <c r="E910" s="20"/>
      <c r="F910" s="20"/>
      <c r="G910" s="20"/>
      <c r="H910" s="20"/>
      <c r="I910" s="21"/>
    </row>
    <row r="911" customFormat="false" ht="15" hidden="false" customHeight="false" outlineLevel="0" collapsed="false">
      <c r="A911" s="30"/>
      <c r="B911" s="21"/>
      <c r="C911" s="21" t="str">
        <f aca="false">IF(B911="","",IFERROR(INDEX(代理店一覧!$B$5:$B$204,MATCH(B911,代理店一覧!$A$5:$A$204,0)),"※未登録のID"))</f>
        <v/>
      </c>
      <c r="D911" s="20"/>
      <c r="E911" s="20"/>
      <c r="F911" s="20"/>
      <c r="G911" s="20"/>
      <c r="H911" s="20"/>
      <c r="I911" s="21"/>
    </row>
    <row r="912" customFormat="false" ht="15" hidden="false" customHeight="false" outlineLevel="0" collapsed="false">
      <c r="A912" s="30"/>
      <c r="B912" s="21"/>
      <c r="C912" s="21" t="str">
        <f aca="false">IF(B912="","",IFERROR(INDEX(代理店一覧!$B$5:$B$204,MATCH(B912,代理店一覧!$A$5:$A$204,0)),"※未登録のID"))</f>
        <v/>
      </c>
      <c r="D912" s="20"/>
      <c r="E912" s="20"/>
      <c r="F912" s="20"/>
      <c r="G912" s="20"/>
      <c r="H912" s="20"/>
      <c r="I912" s="21"/>
    </row>
    <row r="913" customFormat="false" ht="15" hidden="false" customHeight="false" outlineLevel="0" collapsed="false">
      <c r="A913" s="30"/>
      <c r="B913" s="21"/>
      <c r="C913" s="21" t="str">
        <f aca="false">IF(B913="","",IFERROR(INDEX(代理店一覧!$B$5:$B$204,MATCH(B913,代理店一覧!$A$5:$A$204,0)),"※未登録のID"))</f>
        <v/>
      </c>
      <c r="D913" s="20"/>
      <c r="E913" s="20"/>
      <c r="F913" s="20"/>
      <c r="G913" s="20"/>
      <c r="H913" s="20"/>
      <c r="I913" s="21"/>
    </row>
    <row r="914" customFormat="false" ht="15" hidden="false" customHeight="false" outlineLevel="0" collapsed="false">
      <c r="A914" s="30"/>
      <c r="B914" s="21"/>
      <c r="C914" s="21" t="str">
        <f aca="false">IF(B914="","",IFERROR(INDEX(代理店一覧!$B$5:$B$204,MATCH(B914,代理店一覧!$A$5:$A$204,0)),"※未登録のID"))</f>
        <v/>
      </c>
      <c r="D914" s="20"/>
      <c r="E914" s="20"/>
      <c r="F914" s="20"/>
      <c r="G914" s="20"/>
      <c r="H914" s="20"/>
      <c r="I914" s="21"/>
    </row>
    <row r="915" customFormat="false" ht="15" hidden="false" customHeight="false" outlineLevel="0" collapsed="false">
      <c r="A915" s="30"/>
      <c r="B915" s="21"/>
      <c r="C915" s="21" t="str">
        <f aca="false">IF(B915="","",IFERROR(INDEX(代理店一覧!$B$5:$B$204,MATCH(B915,代理店一覧!$A$5:$A$204,0)),"※未登録のID"))</f>
        <v/>
      </c>
      <c r="D915" s="20"/>
      <c r="E915" s="20"/>
      <c r="F915" s="20"/>
      <c r="G915" s="20"/>
      <c r="H915" s="20"/>
      <c r="I915" s="21"/>
    </row>
    <row r="916" customFormat="false" ht="15" hidden="false" customHeight="false" outlineLevel="0" collapsed="false">
      <c r="A916" s="30"/>
      <c r="B916" s="21"/>
      <c r="C916" s="21" t="str">
        <f aca="false">IF(B916="","",IFERROR(INDEX(代理店一覧!$B$5:$B$204,MATCH(B916,代理店一覧!$A$5:$A$204,0)),"※未登録のID"))</f>
        <v/>
      </c>
      <c r="D916" s="20"/>
      <c r="E916" s="20"/>
      <c r="F916" s="20"/>
      <c r="G916" s="20"/>
      <c r="H916" s="20"/>
      <c r="I916" s="21"/>
    </row>
    <row r="917" customFormat="false" ht="15" hidden="false" customHeight="false" outlineLevel="0" collapsed="false">
      <c r="A917" s="30"/>
      <c r="B917" s="21"/>
      <c r="C917" s="21" t="str">
        <f aca="false">IF(B917="","",IFERROR(INDEX(代理店一覧!$B$5:$B$204,MATCH(B917,代理店一覧!$A$5:$A$204,0)),"※未登録のID"))</f>
        <v/>
      </c>
      <c r="D917" s="20"/>
      <c r="E917" s="20"/>
      <c r="F917" s="20"/>
      <c r="G917" s="20"/>
      <c r="H917" s="20"/>
      <c r="I917" s="21"/>
    </row>
    <row r="918" customFormat="false" ht="15" hidden="false" customHeight="false" outlineLevel="0" collapsed="false">
      <c r="A918" s="30"/>
      <c r="B918" s="21"/>
      <c r="C918" s="21" t="str">
        <f aca="false">IF(B918="","",IFERROR(INDEX(代理店一覧!$B$5:$B$204,MATCH(B918,代理店一覧!$A$5:$A$204,0)),"※未登録のID"))</f>
        <v/>
      </c>
      <c r="D918" s="20"/>
      <c r="E918" s="20"/>
      <c r="F918" s="20"/>
      <c r="G918" s="20"/>
      <c r="H918" s="20"/>
      <c r="I918" s="21"/>
    </row>
    <row r="919" customFormat="false" ht="15" hidden="false" customHeight="false" outlineLevel="0" collapsed="false">
      <c r="A919" s="30"/>
      <c r="B919" s="21"/>
      <c r="C919" s="21" t="str">
        <f aca="false">IF(B919="","",IFERROR(INDEX(代理店一覧!$B$5:$B$204,MATCH(B919,代理店一覧!$A$5:$A$204,0)),"※未登録のID"))</f>
        <v/>
      </c>
      <c r="D919" s="20"/>
      <c r="E919" s="20"/>
      <c r="F919" s="20"/>
      <c r="G919" s="20"/>
      <c r="H919" s="20"/>
      <c r="I919" s="21"/>
    </row>
    <row r="920" customFormat="false" ht="15" hidden="false" customHeight="false" outlineLevel="0" collapsed="false">
      <c r="A920" s="30"/>
      <c r="B920" s="21"/>
      <c r="C920" s="21" t="str">
        <f aca="false">IF(B920="","",IFERROR(INDEX(代理店一覧!$B$5:$B$204,MATCH(B920,代理店一覧!$A$5:$A$204,0)),"※未登録のID"))</f>
        <v/>
      </c>
      <c r="D920" s="20"/>
      <c r="E920" s="20"/>
      <c r="F920" s="20"/>
      <c r="G920" s="20"/>
      <c r="H920" s="20"/>
      <c r="I920" s="21"/>
    </row>
    <row r="921" customFormat="false" ht="15" hidden="false" customHeight="false" outlineLevel="0" collapsed="false">
      <c r="A921" s="30"/>
      <c r="B921" s="21"/>
      <c r="C921" s="21" t="str">
        <f aca="false">IF(B921="","",IFERROR(INDEX(代理店一覧!$B$5:$B$204,MATCH(B921,代理店一覧!$A$5:$A$204,0)),"※未登録のID"))</f>
        <v/>
      </c>
      <c r="D921" s="20"/>
      <c r="E921" s="20"/>
      <c r="F921" s="20"/>
      <c r="G921" s="20"/>
      <c r="H921" s="20"/>
      <c r="I921" s="21"/>
    </row>
    <row r="922" customFormat="false" ht="15" hidden="false" customHeight="false" outlineLevel="0" collapsed="false">
      <c r="A922" s="30"/>
      <c r="B922" s="21"/>
      <c r="C922" s="21" t="str">
        <f aca="false">IF(B922="","",IFERROR(INDEX(代理店一覧!$B$5:$B$204,MATCH(B922,代理店一覧!$A$5:$A$204,0)),"※未登録のID"))</f>
        <v/>
      </c>
      <c r="D922" s="20"/>
      <c r="E922" s="20"/>
      <c r="F922" s="20"/>
      <c r="G922" s="20"/>
      <c r="H922" s="20"/>
      <c r="I922" s="21"/>
    </row>
    <row r="923" customFormat="false" ht="15" hidden="false" customHeight="false" outlineLevel="0" collapsed="false">
      <c r="A923" s="30"/>
      <c r="B923" s="21"/>
      <c r="C923" s="21" t="str">
        <f aca="false">IF(B923="","",IFERROR(INDEX(代理店一覧!$B$5:$B$204,MATCH(B923,代理店一覧!$A$5:$A$204,0)),"※未登録のID"))</f>
        <v/>
      </c>
      <c r="D923" s="20"/>
      <c r="E923" s="20"/>
      <c r="F923" s="20"/>
      <c r="G923" s="20"/>
      <c r="H923" s="20"/>
      <c r="I923" s="21"/>
    </row>
    <row r="924" customFormat="false" ht="15" hidden="false" customHeight="false" outlineLevel="0" collapsed="false">
      <c r="A924" s="30"/>
      <c r="B924" s="21"/>
      <c r="C924" s="21" t="str">
        <f aca="false">IF(B924="","",IFERROR(INDEX(代理店一覧!$B$5:$B$204,MATCH(B924,代理店一覧!$A$5:$A$204,0)),"※未登録のID"))</f>
        <v/>
      </c>
      <c r="D924" s="20"/>
      <c r="E924" s="20"/>
      <c r="F924" s="20"/>
      <c r="G924" s="20"/>
      <c r="H924" s="20"/>
      <c r="I924" s="21"/>
    </row>
    <row r="925" customFormat="false" ht="15" hidden="false" customHeight="false" outlineLevel="0" collapsed="false">
      <c r="A925" s="30"/>
      <c r="B925" s="21"/>
      <c r="C925" s="21" t="str">
        <f aca="false">IF(B925="","",IFERROR(INDEX(代理店一覧!$B$5:$B$204,MATCH(B925,代理店一覧!$A$5:$A$204,0)),"※未登録のID"))</f>
        <v/>
      </c>
      <c r="D925" s="20"/>
      <c r="E925" s="20"/>
      <c r="F925" s="20"/>
      <c r="G925" s="20"/>
      <c r="H925" s="20"/>
      <c r="I925" s="21"/>
    </row>
    <row r="926" customFormat="false" ht="15" hidden="false" customHeight="false" outlineLevel="0" collapsed="false">
      <c r="A926" s="30"/>
      <c r="B926" s="21"/>
      <c r="C926" s="21" t="str">
        <f aca="false">IF(B926="","",IFERROR(INDEX(代理店一覧!$B$5:$B$204,MATCH(B926,代理店一覧!$A$5:$A$204,0)),"※未登録のID"))</f>
        <v/>
      </c>
      <c r="D926" s="20"/>
      <c r="E926" s="20"/>
      <c r="F926" s="20"/>
      <c r="G926" s="20"/>
      <c r="H926" s="20"/>
      <c r="I926" s="21"/>
    </row>
    <row r="927" customFormat="false" ht="15" hidden="false" customHeight="false" outlineLevel="0" collapsed="false">
      <c r="A927" s="30"/>
      <c r="B927" s="21"/>
      <c r="C927" s="21" t="str">
        <f aca="false">IF(B927="","",IFERROR(INDEX(代理店一覧!$B$5:$B$204,MATCH(B927,代理店一覧!$A$5:$A$204,0)),"※未登録のID"))</f>
        <v/>
      </c>
      <c r="D927" s="20"/>
      <c r="E927" s="20"/>
      <c r="F927" s="20"/>
      <c r="G927" s="20"/>
      <c r="H927" s="20"/>
      <c r="I927" s="21"/>
    </row>
    <row r="928" customFormat="false" ht="15" hidden="false" customHeight="false" outlineLevel="0" collapsed="false">
      <c r="A928" s="30"/>
      <c r="B928" s="21"/>
      <c r="C928" s="21" t="str">
        <f aca="false">IF(B928="","",IFERROR(INDEX(代理店一覧!$B$5:$B$204,MATCH(B928,代理店一覧!$A$5:$A$204,0)),"※未登録のID"))</f>
        <v/>
      </c>
      <c r="D928" s="20"/>
      <c r="E928" s="20"/>
      <c r="F928" s="20"/>
      <c r="G928" s="20"/>
      <c r="H928" s="20"/>
      <c r="I928" s="21"/>
    </row>
    <row r="929" customFormat="false" ht="15" hidden="false" customHeight="false" outlineLevel="0" collapsed="false">
      <c r="A929" s="30"/>
      <c r="B929" s="21"/>
      <c r="C929" s="21" t="str">
        <f aca="false">IF(B929="","",IFERROR(INDEX(代理店一覧!$B$5:$B$204,MATCH(B929,代理店一覧!$A$5:$A$204,0)),"※未登録のID"))</f>
        <v/>
      </c>
      <c r="D929" s="20"/>
      <c r="E929" s="20"/>
      <c r="F929" s="20"/>
      <c r="G929" s="20"/>
      <c r="H929" s="20"/>
      <c r="I929" s="21"/>
    </row>
    <row r="930" customFormat="false" ht="15" hidden="false" customHeight="false" outlineLevel="0" collapsed="false">
      <c r="A930" s="30"/>
      <c r="B930" s="21"/>
      <c r="C930" s="21" t="str">
        <f aca="false">IF(B930="","",IFERROR(INDEX(代理店一覧!$B$5:$B$204,MATCH(B930,代理店一覧!$A$5:$A$204,0)),"※未登録のID"))</f>
        <v/>
      </c>
      <c r="D930" s="20"/>
      <c r="E930" s="20"/>
      <c r="F930" s="20"/>
      <c r="G930" s="20"/>
      <c r="H930" s="20"/>
      <c r="I930" s="21"/>
    </row>
    <row r="931" customFormat="false" ht="15" hidden="false" customHeight="false" outlineLevel="0" collapsed="false">
      <c r="A931" s="30"/>
      <c r="B931" s="21"/>
      <c r="C931" s="21" t="str">
        <f aca="false">IF(B931="","",IFERROR(INDEX(代理店一覧!$B$5:$B$204,MATCH(B931,代理店一覧!$A$5:$A$204,0)),"※未登録のID"))</f>
        <v/>
      </c>
      <c r="D931" s="20"/>
      <c r="E931" s="20"/>
      <c r="F931" s="20"/>
      <c r="G931" s="20"/>
      <c r="H931" s="20"/>
      <c r="I931" s="21"/>
    </row>
    <row r="932" customFormat="false" ht="15" hidden="false" customHeight="false" outlineLevel="0" collapsed="false">
      <c r="A932" s="30"/>
      <c r="B932" s="21"/>
      <c r="C932" s="21" t="str">
        <f aca="false">IF(B932="","",IFERROR(INDEX(代理店一覧!$B$5:$B$204,MATCH(B932,代理店一覧!$A$5:$A$204,0)),"※未登録のID"))</f>
        <v/>
      </c>
      <c r="D932" s="20"/>
      <c r="E932" s="20"/>
      <c r="F932" s="20"/>
      <c r="G932" s="20"/>
      <c r="H932" s="20"/>
      <c r="I932" s="21"/>
    </row>
    <row r="933" customFormat="false" ht="15" hidden="false" customHeight="false" outlineLevel="0" collapsed="false">
      <c r="A933" s="30"/>
      <c r="B933" s="21"/>
      <c r="C933" s="21" t="str">
        <f aca="false">IF(B933="","",IFERROR(INDEX(代理店一覧!$B$5:$B$204,MATCH(B933,代理店一覧!$A$5:$A$204,0)),"※未登録のID"))</f>
        <v/>
      </c>
      <c r="D933" s="20"/>
      <c r="E933" s="20"/>
      <c r="F933" s="20"/>
      <c r="G933" s="20"/>
      <c r="H933" s="20"/>
      <c r="I933" s="21"/>
    </row>
    <row r="934" customFormat="false" ht="15" hidden="false" customHeight="false" outlineLevel="0" collapsed="false">
      <c r="A934" s="30"/>
      <c r="B934" s="21"/>
      <c r="C934" s="21" t="str">
        <f aca="false">IF(B934="","",IFERROR(INDEX(代理店一覧!$B$5:$B$204,MATCH(B934,代理店一覧!$A$5:$A$204,0)),"※未登録のID"))</f>
        <v/>
      </c>
      <c r="D934" s="20"/>
      <c r="E934" s="20"/>
      <c r="F934" s="20"/>
      <c r="G934" s="20"/>
      <c r="H934" s="20"/>
      <c r="I934" s="21"/>
    </row>
    <row r="935" customFormat="false" ht="15" hidden="false" customHeight="false" outlineLevel="0" collapsed="false">
      <c r="A935" s="30"/>
      <c r="B935" s="21"/>
      <c r="C935" s="21" t="str">
        <f aca="false">IF(B935="","",IFERROR(INDEX(代理店一覧!$B$5:$B$204,MATCH(B935,代理店一覧!$A$5:$A$204,0)),"※未登録のID"))</f>
        <v/>
      </c>
      <c r="D935" s="20"/>
      <c r="E935" s="20"/>
      <c r="F935" s="20"/>
      <c r="G935" s="20"/>
      <c r="H935" s="20"/>
      <c r="I935" s="21"/>
    </row>
    <row r="936" customFormat="false" ht="15" hidden="false" customHeight="false" outlineLevel="0" collapsed="false">
      <c r="A936" s="30"/>
      <c r="B936" s="21"/>
      <c r="C936" s="21" t="str">
        <f aca="false">IF(B936="","",IFERROR(INDEX(代理店一覧!$B$5:$B$204,MATCH(B936,代理店一覧!$A$5:$A$204,0)),"※未登録のID"))</f>
        <v/>
      </c>
      <c r="D936" s="20"/>
      <c r="E936" s="20"/>
      <c r="F936" s="20"/>
      <c r="G936" s="20"/>
      <c r="H936" s="20"/>
      <c r="I936" s="21"/>
    </row>
    <row r="937" customFormat="false" ht="15" hidden="false" customHeight="false" outlineLevel="0" collapsed="false">
      <c r="A937" s="30"/>
      <c r="B937" s="21"/>
      <c r="C937" s="21" t="str">
        <f aca="false">IF(B937="","",IFERROR(INDEX(代理店一覧!$B$5:$B$204,MATCH(B937,代理店一覧!$A$5:$A$204,0)),"※未登録のID"))</f>
        <v/>
      </c>
      <c r="D937" s="20"/>
      <c r="E937" s="20"/>
      <c r="F937" s="20"/>
      <c r="G937" s="20"/>
      <c r="H937" s="20"/>
      <c r="I937" s="21"/>
    </row>
    <row r="938" customFormat="false" ht="15" hidden="false" customHeight="false" outlineLevel="0" collapsed="false">
      <c r="A938" s="30"/>
      <c r="B938" s="21"/>
      <c r="C938" s="21" t="str">
        <f aca="false">IF(B938="","",IFERROR(INDEX(代理店一覧!$B$5:$B$204,MATCH(B938,代理店一覧!$A$5:$A$204,0)),"※未登録のID"))</f>
        <v/>
      </c>
      <c r="D938" s="20"/>
      <c r="E938" s="20"/>
      <c r="F938" s="20"/>
      <c r="G938" s="20"/>
      <c r="H938" s="20"/>
      <c r="I938" s="21"/>
    </row>
    <row r="939" customFormat="false" ht="15" hidden="false" customHeight="false" outlineLevel="0" collapsed="false">
      <c r="A939" s="30"/>
      <c r="B939" s="21"/>
      <c r="C939" s="21" t="str">
        <f aca="false">IF(B939="","",IFERROR(INDEX(代理店一覧!$B$5:$B$204,MATCH(B939,代理店一覧!$A$5:$A$204,0)),"※未登録のID"))</f>
        <v/>
      </c>
      <c r="D939" s="20"/>
      <c r="E939" s="20"/>
      <c r="F939" s="20"/>
      <c r="G939" s="20"/>
      <c r="H939" s="20"/>
      <c r="I939" s="21"/>
    </row>
    <row r="940" customFormat="false" ht="15" hidden="false" customHeight="false" outlineLevel="0" collapsed="false">
      <c r="A940" s="30"/>
      <c r="B940" s="21"/>
      <c r="C940" s="21" t="str">
        <f aca="false">IF(B940="","",IFERROR(INDEX(代理店一覧!$B$5:$B$204,MATCH(B940,代理店一覧!$A$5:$A$204,0)),"※未登録のID"))</f>
        <v/>
      </c>
      <c r="D940" s="20"/>
      <c r="E940" s="20"/>
      <c r="F940" s="20"/>
      <c r="G940" s="20"/>
      <c r="H940" s="20"/>
      <c r="I940" s="21"/>
    </row>
    <row r="941" customFormat="false" ht="15" hidden="false" customHeight="false" outlineLevel="0" collapsed="false">
      <c r="A941" s="30"/>
      <c r="B941" s="21"/>
      <c r="C941" s="21" t="str">
        <f aca="false">IF(B941="","",IFERROR(INDEX(代理店一覧!$B$5:$B$204,MATCH(B941,代理店一覧!$A$5:$A$204,0)),"※未登録のID"))</f>
        <v/>
      </c>
      <c r="D941" s="20"/>
      <c r="E941" s="20"/>
      <c r="F941" s="20"/>
      <c r="G941" s="20"/>
      <c r="H941" s="20"/>
      <c r="I941" s="21"/>
    </row>
    <row r="942" customFormat="false" ht="15" hidden="false" customHeight="false" outlineLevel="0" collapsed="false">
      <c r="A942" s="30"/>
      <c r="B942" s="21"/>
      <c r="C942" s="21" t="str">
        <f aca="false">IF(B942="","",IFERROR(INDEX(代理店一覧!$B$5:$B$204,MATCH(B942,代理店一覧!$A$5:$A$204,0)),"※未登録のID"))</f>
        <v/>
      </c>
      <c r="D942" s="20"/>
      <c r="E942" s="20"/>
      <c r="F942" s="20"/>
      <c r="G942" s="20"/>
      <c r="H942" s="20"/>
      <c r="I942" s="21"/>
    </row>
    <row r="943" customFormat="false" ht="15" hidden="false" customHeight="false" outlineLevel="0" collapsed="false">
      <c r="A943" s="30"/>
      <c r="B943" s="21"/>
      <c r="C943" s="21" t="str">
        <f aca="false">IF(B943="","",IFERROR(INDEX(代理店一覧!$B$5:$B$204,MATCH(B943,代理店一覧!$A$5:$A$204,0)),"※未登録のID"))</f>
        <v/>
      </c>
      <c r="D943" s="20"/>
      <c r="E943" s="20"/>
      <c r="F943" s="20"/>
      <c r="G943" s="20"/>
      <c r="H943" s="20"/>
      <c r="I943" s="21"/>
    </row>
    <row r="944" customFormat="false" ht="15" hidden="false" customHeight="false" outlineLevel="0" collapsed="false">
      <c r="A944" s="30"/>
      <c r="B944" s="21"/>
      <c r="C944" s="21" t="str">
        <f aca="false">IF(B944="","",IFERROR(INDEX(代理店一覧!$B$5:$B$204,MATCH(B944,代理店一覧!$A$5:$A$204,0)),"※未登録のID"))</f>
        <v/>
      </c>
      <c r="D944" s="20"/>
      <c r="E944" s="20"/>
      <c r="F944" s="20"/>
      <c r="G944" s="20"/>
      <c r="H944" s="20"/>
      <c r="I944" s="21"/>
    </row>
    <row r="945" customFormat="false" ht="15" hidden="false" customHeight="false" outlineLevel="0" collapsed="false">
      <c r="A945" s="30"/>
      <c r="B945" s="21"/>
      <c r="C945" s="21" t="str">
        <f aca="false">IF(B945="","",IFERROR(INDEX(代理店一覧!$B$5:$B$204,MATCH(B945,代理店一覧!$A$5:$A$204,0)),"※未登録のID"))</f>
        <v/>
      </c>
      <c r="D945" s="20"/>
      <c r="E945" s="20"/>
      <c r="F945" s="20"/>
      <c r="G945" s="20"/>
      <c r="H945" s="20"/>
      <c r="I945" s="21"/>
    </row>
    <row r="946" customFormat="false" ht="15" hidden="false" customHeight="false" outlineLevel="0" collapsed="false">
      <c r="A946" s="30"/>
      <c r="B946" s="21"/>
      <c r="C946" s="21" t="str">
        <f aca="false">IF(B946="","",IFERROR(INDEX(代理店一覧!$B$5:$B$204,MATCH(B946,代理店一覧!$A$5:$A$204,0)),"※未登録のID"))</f>
        <v/>
      </c>
      <c r="D946" s="20"/>
      <c r="E946" s="20"/>
      <c r="F946" s="20"/>
      <c r="G946" s="20"/>
      <c r="H946" s="20"/>
      <c r="I946" s="21"/>
    </row>
    <row r="947" customFormat="false" ht="15" hidden="false" customHeight="false" outlineLevel="0" collapsed="false">
      <c r="A947" s="30"/>
      <c r="B947" s="21"/>
      <c r="C947" s="21" t="str">
        <f aca="false">IF(B947="","",IFERROR(INDEX(代理店一覧!$B$5:$B$204,MATCH(B947,代理店一覧!$A$5:$A$204,0)),"※未登録のID"))</f>
        <v/>
      </c>
      <c r="D947" s="20"/>
      <c r="E947" s="20"/>
      <c r="F947" s="20"/>
      <c r="G947" s="20"/>
      <c r="H947" s="20"/>
      <c r="I947" s="21"/>
    </row>
    <row r="948" customFormat="false" ht="15" hidden="false" customHeight="false" outlineLevel="0" collapsed="false">
      <c r="A948" s="30"/>
      <c r="B948" s="21"/>
      <c r="C948" s="21" t="str">
        <f aca="false">IF(B948="","",IFERROR(INDEX(代理店一覧!$B$5:$B$204,MATCH(B948,代理店一覧!$A$5:$A$204,0)),"※未登録のID"))</f>
        <v/>
      </c>
      <c r="D948" s="20"/>
      <c r="E948" s="20"/>
      <c r="F948" s="20"/>
      <c r="G948" s="20"/>
      <c r="H948" s="20"/>
      <c r="I948" s="21"/>
    </row>
    <row r="949" customFormat="false" ht="15" hidden="false" customHeight="false" outlineLevel="0" collapsed="false">
      <c r="A949" s="30"/>
      <c r="B949" s="21"/>
      <c r="C949" s="21" t="str">
        <f aca="false">IF(B949="","",IFERROR(INDEX(代理店一覧!$B$5:$B$204,MATCH(B949,代理店一覧!$A$5:$A$204,0)),"※未登録のID"))</f>
        <v/>
      </c>
      <c r="D949" s="20"/>
      <c r="E949" s="20"/>
      <c r="F949" s="20"/>
      <c r="G949" s="20"/>
      <c r="H949" s="20"/>
      <c r="I949" s="21"/>
    </row>
    <row r="950" customFormat="false" ht="15" hidden="false" customHeight="false" outlineLevel="0" collapsed="false">
      <c r="A950" s="30"/>
      <c r="B950" s="21"/>
      <c r="C950" s="21" t="str">
        <f aca="false">IF(B950="","",IFERROR(INDEX(代理店一覧!$B$5:$B$204,MATCH(B950,代理店一覧!$A$5:$A$204,0)),"※未登録のID"))</f>
        <v/>
      </c>
      <c r="D950" s="20"/>
      <c r="E950" s="20"/>
      <c r="F950" s="20"/>
      <c r="G950" s="20"/>
      <c r="H950" s="20"/>
      <c r="I950" s="21"/>
    </row>
    <row r="951" customFormat="false" ht="15" hidden="false" customHeight="false" outlineLevel="0" collapsed="false">
      <c r="A951" s="30"/>
      <c r="B951" s="21"/>
      <c r="C951" s="21" t="str">
        <f aca="false">IF(B951="","",IFERROR(INDEX(代理店一覧!$B$5:$B$204,MATCH(B951,代理店一覧!$A$5:$A$204,0)),"※未登録のID"))</f>
        <v/>
      </c>
      <c r="D951" s="20"/>
      <c r="E951" s="20"/>
      <c r="F951" s="20"/>
      <c r="G951" s="20"/>
      <c r="H951" s="20"/>
      <c r="I951" s="21"/>
    </row>
    <row r="952" customFormat="false" ht="15" hidden="false" customHeight="false" outlineLevel="0" collapsed="false">
      <c r="A952" s="30"/>
      <c r="B952" s="21"/>
      <c r="C952" s="21" t="str">
        <f aca="false">IF(B952="","",IFERROR(INDEX(代理店一覧!$B$5:$B$204,MATCH(B952,代理店一覧!$A$5:$A$204,0)),"※未登録のID"))</f>
        <v/>
      </c>
      <c r="D952" s="20"/>
      <c r="E952" s="20"/>
      <c r="F952" s="20"/>
      <c r="G952" s="20"/>
      <c r="H952" s="20"/>
      <c r="I952" s="21"/>
    </row>
    <row r="953" customFormat="false" ht="15" hidden="false" customHeight="false" outlineLevel="0" collapsed="false">
      <c r="A953" s="30"/>
      <c r="B953" s="21"/>
      <c r="C953" s="21" t="str">
        <f aca="false">IF(B953="","",IFERROR(INDEX(代理店一覧!$B$5:$B$204,MATCH(B953,代理店一覧!$A$5:$A$204,0)),"※未登録のID"))</f>
        <v/>
      </c>
      <c r="D953" s="20"/>
      <c r="E953" s="20"/>
      <c r="F953" s="20"/>
      <c r="G953" s="20"/>
      <c r="H953" s="20"/>
      <c r="I953" s="21"/>
    </row>
    <row r="954" customFormat="false" ht="15" hidden="false" customHeight="false" outlineLevel="0" collapsed="false">
      <c r="A954" s="30"/>
      <c r="B954" s="21"/>
      <c r="C954" s="21" t="str">
        <f aca="false">IF(B954="","",IFERROR(INDEX(代理店一覧!$B$5:$B$204,MATCH(B954,代理店一覧!$A$5:$A$204,0)),"※未登録のID"))</f>
        <v/>
      </c>
      <c r="D954" s="20"/>
      <c r="E954" s="20"/>
      <c r="F954" s="20"/>
      <c r="G954" s="20"/>
      <c r="H954" s="20"/>
      <c r="I954" s="21"/>
    </row>
    <row r="955" customFormat="false" ht="15" hidden="false" customHeight="false" outlineLevel="0" collapsed="false">
      <c r="A955" s="30"/>
      <c r="B955" s="21"/>
      <c r="C955" s="21" t="str">
        <f aca="false">IF(B955="","",IFERROR(INDEX(代理店一覧!$B$5:$B$204,MATCH(B955,代理店一覧!$A$5:$A$204,0)),"※未登録のID"))</f>
        <v/>
      </c>
      <c r="D955" s="20"/>
      <c r="E955" s="20"/>
      <c r="F955" s="20"/>
      <c r="G955" s="20"/>
      <c r="H955" s="20"/>
      <c r="I955" s="21"/>
    </row>
    <row r="956" customFormat="false" ht="15" hidden="false" customHeight="false" outlineLevel="0" collapsed="false">
      <c r="A956" s="30"/>
      <c r="B956" s="21"/>
      <c r="C956" s="21" t="str">
        <f aca="false">IF(B956="","",IFERROR(INDEX(代理店一覧!$B$5:$B$204,MATCH(B956,代理店一覧!$A$5:$A$204,0)),"※未登録のID"))</f>
        <v/>
      </c>
      <c r="D956" s="20"/>
      <c r="E956" s="20"/>
      <c r="F956" s="20"/>
      <c r="G956" s="20"/>
      <c r="H956" s="20"/>
      <c r="I956" s="21"/>
    </row>
    <row r="957" customFormat="false" ht="15" hidden="false" customHeight="false" outlineLevel="0" collapsed="false">
      <c r="A957" s="30"/>
      <c r="B957" s="21"/>
      <c r="C957" s="21" t="str">
        <f aca="false">IF(B957="","",IFERROR(INDEX(代理店一覧!$B$5:$B$204,MATCH(B957,代理店一覧!$A$5:$A$204,0)),"※未登録のID"))</f>
        <v/>
      </c>
      <c r="D957" s="20"/>
      <c r="E957" s="20"/>
      <c r="F957" s="20"/>
      <c r="G957" s="20"/>
      <c r="H957" s="20"/>
      <c r="I957" s="21"/>
    </row>
    <row r="958" customFormat="false" ht="15" hidden="false" customHeight="false" outlineLevel="0" collapsed="false">
      <c r="A958" s="30"/>
      <c r="B958" s="21"/>
      <c r="C958" s="21" t="str">
        <f aca="false">IF(B958="","",IFERROR(INDEX(代理店一覧!$B$5:$B$204,MATCH(B958,代理店一覧!$A$5:$A$204,0)),"※未登録のID"))</f>
        <v/>
      </c>
      <c r="D958" s="20"/>
      <c r="E958" s="20"/>
      <c r="F958" s="20"/>
      <c r="G958" s="20"/>
      <c r="H958" s="20"/>
      <c r="I958" s="21"/>
    </row>
    <row r="959" customFormat="false" ht="15" hidden="false" customHeight="false" outlineLevel="0" collapsed="false">
      <c r="A959" s="30"/>
      <c r="B959" s="21"/>
      <c r="C959" s="21" t="str">
        <f aca="false">IF(B959="","",IFERROR(INDEX(代理店一覧!$B$5:$B$204,MATCH(B959,代理店一覧!$A$5:$A$204,0)),"※未登録のID"))</f>
        <v/>
      </c>
      <c r="D959" s="20"/>
      <c r="E959" s="20"/>
      <c r="F959" s="20"/>
      <c r="G959" s="20"/>
      <c r="H959" s="20"/>
      <c r="I959" s="21"/>
    </row>
    <row r="960" customFormat="false" ht="15" hidden="false" customHeight="false" outlineLevel="0" collapsed="false">
      <c r="A960" s="30"/>
      <c r="B960" s="21"/>
      <c r="C960" s="21" t="str">
        <f aca="false">IF(B960="","",IFERROR(INDEX(代理店一覧!$B$5:$B$204,MATCH(B960,代理店一覧!$A$5:$A$204,0)),"※未登録のID"))</f>
        <v/>
      </c>
      <c r="D960" s="20"/>
      <c r="E960" s="20"/>
      <c r="F960" s="20"/>
      <c r="G960" s="20"/>
      <c r="H960" s="20"/>
      <c r="I960" s="21"/>
    </row>
    <row r="961" customFormat="false" ht="15" hidden="false" customHeight="false" outlineLevel="0" collapsed="false">
      <c r="A961" s="30"/>
      <c r="B961" s="21"/>
      <c r="C961" s="21" t="str">
        <f aca="false">IF(B961="","",IFERROR(INDEX(代理店一覧!$B$5:$B$204,MATCH(B961,代理店一覧!$A$5:$A$204,0)),"※未登録のID"))</f>
        <v/>
      </c>
      <c r="D961" s="20"/>
      <c r="E961" s="20"/>
      <c r="F961" s="20"/>
      <c r="G961" s="20"/>
      <c r="H961" s="20"/>
      <c r="I961" s="21"/>
    </row>
    <row r="962" customFormat="false" ht="15" hidden="false" customHeight="false" outlineLevel="0" collapsed="false">
      <c r="A962" s="30"/>
      <c r="B962" s="21"/>
      <c r="C962" s="21" t="str">
        <f aca="false">IF(B962="","",IFERROR(INDEX(代理店一覧!$B$5:$B$204,MATCH(B962,代理店一覧!$A$5:$A$204,0)),"※未登録のID"))</f>
        <v/>
      </c>
      <c r="D962" s="20"/>
      <c r="E962" s="20"/>
      <c r="F962" s="20"/>
      <c r="G962" s="20"/>
      <c r="H962" s="20"/>
      <c r="I962" s="21"/>
    </row>
    <row r="963" customFormat="false" ht="15" hidden="false" customHeight="false" outlineLevel="0" collapsed="false">
      <c r="A963" s="30"/>
      <c r="B963" s="21"/>
      <c r="C963" s="21" t="str">
        <f aca="false">IF(B963="","",IFERROR(INDEX(代理店一覧!$B$5:$B$204,MATCH(B963,代理店一覧!$A$5:$A$204,0)),"※未登録のID"))</f>
        <v/>
      </c>
      <c r="D963" s="20"/>
      <c r="E963" s="20"/>
      <c r="F963" s="20"/>
      <c r="G963" s="20"/>
      <c r="H963" s="20"/>
      <c r="I963" s="21"/>
    </row>
    <row r="964" customFormat="false" ht="15" hidden="false" customHeight="false" outlineLevel="0" collapsed="false">
      <c r="A964" s="30"/>
      <c r="B964" s="21"/>
      <c r="C964" s="21" t="str">
        <f aca="false">IF(B964="","",IFERROR(INDEX(代理店一覧!$B$5:$B$204,MATCH(B964,代理店一覧!$A$5:$A$204,0)),"※未登録のID"))</f>
        <v/>
      </c>
      <c r="D964" s="20"/>
      <c r="E964" s="20"/>
      <c r="F964" s="20"/>
      <c r="G964" s="20"/>
      <c r="H964" s="20"/>
      <c r="I964" s="21"/>
    </row>
    <row r="965" customFormat="false" ht="15" hidden="false" customHeight="false" outlineLevel="0" collapsed="false">
      <c r="A965" s="30"/>
      <c r="B965" s="21"/>
      <c r="C965" s="21" t="str">
        <f aca="false">IF(B965="","",IFERROR(INDEX(代理店一覧!$B$5:$B$204,MATCH(B965,代理店一覧!$A$5:$A$204,0)),"※未登録のID"))</f>
        <v/>
      </c>
      <c r="D965" s="20"/>
      <c r="E965" s="20"/>
      <c r="F965" s="20"/>
      <c r="G965" s="20"/>
      <c r="H965" s="20"/>
      <c r="I965" s="21"/>
    </row>
    <row r="966" customFormat="false" ht="15" hidden="false" customHeight="false" outlineLevel="0" collapsed="false">
      <c r="A966" s="30"/>
      <c r="B966" s="21"/>
      <c r="C966" s="21" t="str">
        <f aca="false">IF(B966="","",IFERROR(INDEX(代理店一覧!$B$5:$B$204,MATCH(B966,代理店一覧!$A$5:$A$204,0)),"※未登録のID"))</f>
        <v/>
      </c>
      <c r="D966" s="20"/>
      <c r="E966" s="20"/>
      <c r="F966" s="20"/>
      <c r="G966" s="20"/>
      <c r="H966" s="20"/>
      <c r="I966" s="21"/>
    </row>
    <row r="967" customFormat="false" ht="15" hidden="false" customHeight="false" outlineLevel="0" collapsed="false">
      <c r="A967" s="30"/>
      <c r="B967" s="21"/>
      <c r="C967" s="21" t="str">
        <f aca="false">IF(B967="","",IFERROR(INDEX(代理店一覧!$B$5:$B$204,MATCH(B967,代理店一覧!$A$5:$A$204,0)),"※未登録のID"))</f>
        <v/>
      </c>
      <c r="D967" s="20"/>
      <c r="E967" s="20"/>
      <c r="F967" s="20"/>
      <c r="G967" s="20"/>
      <c r="H967" s="20"/>
      <c r="I967" s="21"/>
    </row>
    <row r="968" customFormat="false" ht="15" hidden="false" customHeight="false" outlineLevel="0" collapsed="false">
      <c r="A968" s="30"/>
      <c r="B968" s="21"/>
      <c r="C968" s="21" t="str">
        <f aca="false">IF(B968="","",IFERROR(INDEX(代理店一覧!$B$5:$B$204,MATCH(B968,代理店一覧!$A$5:$A$204,0)),"※未登録のID"))</f>
        <v/>
      </c>
      <c r="D968" s="20"/>
      <c r="E968" s="20"/>
      <c r="F968" s="20"/>
      <c r="G968" s="20"/>
      <c r="H968" s="20"/>
      <c r="I968" s="21"/>
    </row>
    <row r="969" customFormat="false" ht="15" hidden="false" customHeight="false" outlineLevel="0" collapsed="false">
      <c r="A969" s="30"/>
      <c r="B969" s="21"/>
      <c r="C969" s="21" t="str">
        <f aca="false">IF(B969="","",IFERROR(INDEX(代理店一覧!$B$5:$B$204,MATCH(B969,代理店一覧!$A$5:$A$204,0)),"※未登録のID"))</f>
        <v/>
      </c>
      <c r="D969" s="20"/>
      <c r="E969" s="20"/>
      <c r="F969" s="20"/>
      <c r="G969" s="20"/>
      <c r="H969" s="20"/>
      <c r="I969" s="21"/>
    </row>
    <row r="970" customFormat="false" ht="15" hidden="false" customHeight="false" outlineLevel="0" collapsed="false">
      <c r="A970" s="30"/>
      <c r="B970" s="21"/>
      <c r="C970" s="21" t="str">
        <f aca="false">IF(B970="","",IFERROR(INDEX(代理店一覧!$B$5:$B$204,MATCH(B970,代理店一覧!$A$5:$A$204,0)),"※未登録のID"))</f>
        <v/>
      </c>
      <c r="D970" s="20"/>
      <c r="E970" s="20"/>
      <c r="F970" s="20"/>
      <c r="G970" s="20"/>
      <c r="H970" s="20"/>
      <c r="I970" s="21"/>
    </row>
    <row r="971" customFormat="false" ht="15" hidden="false" customHeight="false" outlineLevel="0" collapsed="false">
      <c r="A971" s="30"/>
      <c r="B971" s="21"/>
      <c r="C971" s="21" t="str">
        <f aca="false">IF(B971="","",IFERROR(INDEX(代理店一覧!$B$5:$B$204,MATCH(B971,代理店一覧!$A$5:$A$204,0)),"※未登録のID"))</f>
        <v/>
      </c>
      <c r="D971" s="20"/>
      <c r="E971" s="20"/>
      <c r="F971" s="20"/>
      <c r="G971" s="20"/>
      <c r="H971" s="20"/>
      <c r="I971" s="21"/>
    </row>
    <row r="972" customFormat="false" ht="15" hidden="false" customHeight="false" outlineLevel="0" collapsed="false">
      <c r="A972" s="30"/>
      <c r="B972" s="21"/>
      <c r="C972" s="21" t="str">
        <f aca="false">IF(B972="","",IFERROR(INDEX(代理店一覧!$B$5:$B$204,MATCH(B972,代理店一覧!$A$5:$A$204,0)),"※未登録のID"))</f>
        <v/>
      </c>
      <c r="D972" s="20"/>
      <c r="E972" s="20"/>
      <c r="F972" s="20"/>
      <c r="G972" s="20"/>
      <c r="H972" s="20"/>
      <c r="I972" s="21"/>
    </row>
    <row r="973" customFormat="false" ht="15" hidden="false" customHeight="false" outlineLevel="0" collapsed="false">
      <c r="A973" s="30"/>
      <c r="B973" s="21"/>
      <c r="C973" s="21" t="str">
        <f aca="false">IF(B973="","",IFERROR(INDEX(代理店一覧!$B$5:$B$204,MATCH(B973,代理店一覧!$A$5:$A$204,0)),"※未登録のID"))</f>
        <v/>
      </c>
      <c r="D973" s="20"/>
      <c r="E973" s="20"/>
      <c r="F973" s="20"/>
      <c r="G973" s="20"/>
      <c r="H973" s="20"/>
      <c r="I973" s="21"/>
    </row>
    <row r="974" customFormat="false" ht="15" hidden="false" customHeight="false" outlineLevel="0" collapsed="false">
      <c r="A974" s="30"/>
      <c r="B974" s="21"/>
      <c r="C974" s="21" t="str">
        <f aca="false">IF(B974="","",IFERROR(INDEX(代理店一覧!$B$5:$B$204,MATCH(B974,代理店一覧!$A$5:$A$204,0)),"※未登録のID"))</f>
        <v/>
      </c>
      <c r="D974" s="20"/>
      <c r="E974" s="20"/>
      <c r="F974" s="20"/>
      <c r="G974" s="20"/>
      <c r="H974" s="20"/>
      <c r="I974" s="21"/>
    </row>
    <row r="975" customFormat="false" ht="15" hidden="false" customHeight="false" outlineLevel="0" collapsed="false">
      <c r="A975" s="30"/>
      <c r="B975" s="21"/>
      <c r="C975" s="21" t="str">
        <f aca="false">IF(B975="","",IFERROR(INDEX(代理店一覧!$B$5:$B$204,MATCH(B975,代理店一覧!$A$5:$A$204,0)),"※未登録のID"))</f>
        <v/>
      </c>
      <c r="D975" s="20"/>
      <c r="E975" s="20"/>
      <c r="F975" s="20"/>
      <c r="G975" s="20"/>
      <c r="H975" s="20"/>
      <c r="I975" s="21"/>
    </row>
    <row r="976" customFormat="false" ht="15" hidden="false" customHeight="false" outlineLevel="0" collapsed="false">
      <c r="A976" s="30"/>
      <c r="B976" s="21"/>
      <c r="C976" s="21" t="str">
        <f aca="false">IF(B976="","",IFERROR(INDEX(代理店一覧!$B$5:$B$204,MATCH(B976,代理店一覧!$A$5:$A$204,0)),"※未登録のID"))</f>
        <v/>
      </c>
      <c r="D976" s="20"/>
      <c r="E976" s="20"/>
      <c r="F976" s="20"/>
      <c r="G976" s="20"/>
      <c r="H976" s="20"/>
      <c r="I976" s="21"/>
    </row>
    <row r="977" customFormat="false" ht="15" hidden="false" customHeight="false" outlineLevel="0" collapsed="false">
      <c r="A977" s="30"/>
      <c r="B977" s="21"/>
      <c r="C977" s="21" t="str">
        <f aca="false">IF(B977="","",IFERROR(INDEX(代理店一覧!$B$5:$B$204,MATCH(B977,代理店一覧!$A$5:$A$204,0)),"※未登録のID"))</f>
        <v/>
      </c>
      <c r="D977" s="20"/>
      <c r="E977" s="20"/>
      <c r="F977" s="20"/>
      <c r="G977" s="20"/>
      <c r="H977" s="20"/>
      <c r="I977" s="21"/>
    </row>
    <row r="978" customFormat="false" ht="15" hidden="false" customHeight="false" outlineLevel="0" collapsed="false">
      <c r="A978" s="30"/>
      <c r="B978" s="21"/>
      <c r="C978" s="21" t="str">
        <f aca="false">IF(B978="","",IFERROR(INDEX(代理店一覧!$B$5:$B$204,MATCH(B978,代理店一覧!$A$5:$A$204,0)),"※未登録のID"))</f>
        <v/>
      </c>
      <c r="D978" s="20"/>
      <c r="E978" s="20"/>
      <c r="F978" s="20"/>
      <c r="G978" s="20"/>
      <c r="H978" s="20"/>
      <c r="I978" s="21"/>
    </row>
    <row r="979" customFormat="false" ht="15" hidden="false" customHeight="false" outlineLevel="0" collapsed="false">
      <c r="A979" s="30"/>
      <c r="B979" s="21"/>
      <c r="C979" s="21" t="str">
        <f aca="false">IF(B979="","",IFERROR(INDEX(代理店一覧!$B$5:$B$204,MATCH(B979,代理店一覧!$A$5:$A$204,0)),"※未登録のID"))</f>
        <v/>
      </c>
      <c r="D979" s="20"/>
      <c r="E979" s="20"/>
      <c r="F979" s="20"/>
      <c r="G979" s="20"/>
      <c r="H979" s="20"/>
      <c r="I979" s="21"/>
    </row>
    <row r="980" customFormat="false" ht="15" hidden="false" customHeight="false" outlineLevel="0" collapsed="false">
      <c r="A980" s="30"/>
      <c r="B980" s="21"/>
      <c r="C980" s="21" t="str">
        <f aca="false">IF(B980="","",IFERROR(INDEX(代理店一覧!$B$5:$B$204,MATCH(B980,代理店一覧!$A$5:$A$204,0)),"※未登録のID"))</f>
        <v/>
      </c>
      <c r="D980" s="20"/>
      <c r="E980" s="20"/>
      <c r="F980" s="20"/>
      <c r="G980" s="20"/>
      <c r="H980" s="20"/>
      <c r="I980" s="21"/>
    </row>
    <row r="981" customFormat="false" ht="15" hidden="false" customHeight="false" outlineLevel="0" collapsed="false">
      <c r="A981" s="30"/>
      <c r="B981" s="21"/>
      <c r="C981" s="21" t="str">
        <f aca="false">IF(B981="","",IFERROR(INDEX(代理店一覧!$B$5:$B$204,MATCH(B981,代理店一覧!$A$5:$A$204,0)),"※未登録のID"))</f>
        <v/>
      </c>
      <c r="D981" s="20"/>
      <c r="E981" s="20"/>
      <c r="F981" s="20"/>
      <c r="G981" s="20"/>
      <c r="H981" s="20"/>
      <c r="I981" s="21"/>
    </row>
    <row r="982" customFormat="false" ht="15" hidden="false" customHeight="false" outlineLevel="0" collapsed="false">
      <c r="A982" s="30"/>
      <c r="B982" s="21"/>
      <c r="C982" s="21" t="str">
        <f aca="false">IF(B982="","",IFERROR(INDEX(代理店一覧!$B$5:$B$204,MATCH(B982,代理店一覧!$A$5:$A$204,0)),"※未登録のID"))</f>
        <v/>
      </c>
      <c r="D982" s="20"/>
      <c r="E982" s="20"/>
      <c r="F982" s="20"/>
      <c r="G982" s="20"/>
      <c r="H982" s="20"/>
      <c r="I982" s="21"/>
    </row>
    <row r="983" customFormat="false" ht="15" hidden="false" customHeight="false" outlineLevel="0" collapsed="false">
      <c r="A983" s="30"/>
      <c r="B983" s="21"/>
      <c r="C983" s="21" t="str">
        <f aca="false">IF(B983="","",IFERROR(INDEX(代理店一覧!$B$5:$B$204,MATCH(B983,代理店一覧!$A$5:$A$204,0)),"※未登録のID"))</f>
        <v/>
      </c>
      <c r="D983" s="20"/>
      <c r="E983" s="20"/>
      <c r="F983" s="20"/>
      <c r="G983" s="20"/>
      <c r="H983" s="20"/>
      <c r="I983" s="21"/>
    </row>
    <row r="984" customFormat="false" ht="15" hidden="false" customHeight="false" outlineLevel="0" collapsed="false">
      <c r="A984" s="30"/>
      <c r="B984" s="21"/>
      <c r="C984" s="21" t="str">
        <f aca="false">IF(B984="","",IFERROR(INDEX(代理店一覧!$B$5:$B$204,MATCH(B984,代理店一覧!$A$5:$A$204,0)),"※未登録のID"))</f>
        <v/>
      </c>
      <c r="D984" s="20"/>
      <c r="E984" s="20"/>
      <c r="F984" s="20"/>
      <c r="G984" s="20"/>
      <c r="H984" s="20"/>
      <c r="I984" s="21"/>
    </row>
    <row r="985" customFormat="false" ht="15" hidden="false" customHeight="false" outlineLevel="0" collapsed="false">
      <c r="A985" s="30"/>
      <c r="B985" s="21"/>
      <c r="C985" s="21" t="str">
        <f aca="false">IF(B985="","",IFERROR(INDEX(代理店一覧!$B$5:$B$204,MATCH(B985,代理店一覧!$A$5:$A$204,0)),"※未登録のID"))</f>
        <v/>
      </c>
      <c r="D985" s="20"/>
      <c r="E985" s="20"/>
      <c r="F985" s="20"/>
      <c r="G985" s="20"/>
      <c r="H985" s="20"/>
      <c r="I985" s="21"/>
    </row>
    <row r="986" customFormat="false" ht="15" hidden="false" customHeight="false" outlineLevel="0" collapsed="false">
      <c r="A986" s="30"/>
      <c r="B986" s="21"/>
      <c r="C986" s="21" t="str">
        <f aca="false">IF(B986="","",IFERROR(INDEX(代理店一覧!$B$5:$B$204,MATCH(B986,代理店一覧!$A$5:$A$204,0)),"※未登録のID"))</f>
        <v/>
      </c>
      <c r="D986" s="20"/>
      <c r="E986" s="20"/>
      <c r="F986" s="20"/>
      <c r="G986" s="20"/>
      <c r="H986" s="20"/>
      <c r="I986" s="21"/>
    </row>
    <row r="987" customFormat="false" ht="15" hidden="false" customHeight="false" outlineLevel="0" collapsed="false">
      <c r="A987" s="30"/>
      <c r="B987" s="21"/>
      <c r="C987" s="21" t="str">
        <f aca="false">IF(B987="","",IFERROR(INDEX(代理店一覧!$B$5:$B$204,MATCH(B987,代理店一覧!$A$5:$A$204,0)),"※未登録のID"))</f>
        <v/>
      </c>
      <c r="D987" s="20"/>
      <c r="E987" s="20"/>
      <c r="F987" s="20"/>
      <c r="G987" s="20"/>
      <c r="H987" s="20"/>
      <c r="I987" s="21"/>
    </row>
    <row r="988" customFormat="false" ht="15" hidden="false" customHeight="false" outlineLevel="0" collapsed="false">
      <c r="A988" s="30"/>
      <c r="B988" s="21"/>
      <c r="C988" s="21" t="str">
        <f aca="false">IF(B988="","",IFERROR(INDEX(代理店一覧!$B$5:$B$204,MATCH(B988,代理店一覧!$A$5:$A$204,0)),"※未登録のID"))</f>
        <v/>
      </c>
      <c r="D988" s="20"/>
      <c r="E988" s="20"/>
      <c r="F988" s="20"/>
      <c r="G988" s="20"/>
      <c r="H988" s="20"/>
      <c r="I988" s="21"/>
    </row>
    <row r="989" customFormat="false" ht="15" hidden="false" customHeight="false" outlineLevel="0" collapsed="false">
      <c r="A989" s="30"/>
      <c r="B989" s="21"/>
      <c r="C989" s="21" t="str">
        <f aca="false">IF(B989="","",IFERROR(INDEX(代理店一覧!$B$5:$B$204,MATCH(B989,代理店一覧!$A$5:$A$204,0)),"※未登録のID"))</f>
        <v/>
      </c>
      <c r="D989" s="20"/>
      <c r="E989" s="20"/>
      <c r="F989" s="20"/>
      <c r="G989" s="20"/>
      <c r="H989" s="20"/>
      <c r="I989" s="21"/>
    </row>
    <row r="990" customFormat="false" ht="15" hidden="false" customHeight="false" outlineLevel="0" collapsed="false">
      <c r="A990" s="30"/>
      <c r="B990" s="21"/>
      <c r="C990" s="21" t="str">
        <f aca="false">IF(B990="","",IFERROR(INDEX(代理店一覧!$B$5:$B$204,MATCH(B990,代理店一覧!$A$5:$A$204,0)),"※未登録のID"))</f>
        <v/>
      </c>
      <c r="D990" s="20"/>
      <c r="E990" s="20"/>
      <c r="F990" s="20"/>
      <c r="G990" s="20"/>
      <c r="H990" s="20"/>
      <c r="I990" s="21"/>
    </row>
    <row r="991" customFormat="false" ht="15" hidden="false" customHeight="false" outlineLevel="0" collapsed="false">
      <c r="A991" s="30"/>
      <c r="B991" s="21"/>
      <c r="C991" s="21" t="str">
        <f aca="false">IF(B991="","",IFERROR(INDEX(代理店一覧!$B$5:$B$204,MATCH(B991,代理店一覧!$A$5:$A$204,0)),"※未登録のID"))</f>
        <v/>
      </c>
      <c r="D991" s="20"/>
      <c r="E991" s="20"/>
      <c r="F991" s="20"/>
      <c r="G991" s="20"/>
      <c r="H991" s="20"/>
      <c r="I991" s="21"/>
    </row>
    <row r="992" customFormat="false" ht="15" hidden="false" customHeight="false" outlineLevel="0" collapsed="false">
      <c r="A992" s="30"/>
      <c r="B992" s="21"/>
      <c r="C992" s="21" t="str">
        <f aca="false">IF(B992="","",IFERROR(INDEX(代理店一覧!$B$5:$B$204,MATCH(B992,代理店一覧!$A$5:$A$204,0)),"※未登録のID"))</f>
        <v/>
      </c>
      <c r="D992" s="20"/>
      <c r="E992" s="20"/>
      <c r="F992" s="20"/>
      <c r="G992" s="20"/>
      <c r="H992" s="20"/>
      <c r="I992" s="21"/>
    </row>
    <row r="993" customFormat="false" ht="15" hidden="false" customHeight="false" outlineLevel="0" collapsed="false">
      <c r="A993" s="30"/>
      <c r="B993" s="21"/>
      <c r="C993" s="21" t="str">
        <f aca="false">IF(B993="","",IFERROR(INDEX(代理店一覧!$B$5:$B$204,MATCH(B993,代理店一覧!$A$5:$A$204,0)),"※未登録のID"))</f>
        <v/>
      </c>
      <c r="D993" s="20"/>
      <c r="E993" s="20"/>
      <c r="F993" s="20"/>
      <c r="G993" s="20"/>
      <c r="H993" s="20"/>
      <c r="I993" s="21"/>
    </row>
    <row r="994" customFormat="false" ht="15" hidden="false" customHeight="false" outlineLevel="0" collapsed="false">
      <c r="A994" s="30"/>
      <c r="B994" s="21"/>
      <c r="C994" s="21" t="str">
        <f aca="false">IF(B994="","",IFERROR(INDEX(代理店一覧!$B$5:$B$204,MATCH(B994,代理店一覧!$A$5:$A$204,0)),"※未登録のID"))</f>
        <v/>
      </c>
      <c r="D994" s="20"/>
      <c r="E994" s="20"/>
      <c r="F994" s="20"/>
      <c r="G994" s="20"/>
      <c r="H994" s="20"/>
      <c r="I994" s="21"/>
    </row>
    <row r="995" customFormat="false" ht="15" hidden="false" customHeight="false" outlineLevel="0" collapsed="false">
      <c r="A995" s="30"/>
      <c r="B995" s="21"/>
      <c r="C995" s="21" t="str">
        <f aca="false">IF(B995="","",IFERROR(INDEX(代理店一覧!$B$5:$B$204,MATCH(B995,代理店一覧!$A$5:$A$204,0)),"※未登録のID"))</f>
        <v/>
      </c>
      <c r="D995" s="20"/>
      <c r="E995" s="20"/>
      <c r="F995" s="20"/>
      <c r="G995" s="20"/>
      <c r="H995" s="20"/>
      <c r="I995" s="21"/>
    </row>
    <row r="996" customFormat="false" ht="15" hidden="false" customHeight="false" outlineLevel="0" collapsed="false">
      <c r="A996" s="30"/>
      <c r="B996" s="21"/>
      <c r="C996" s="21" t="str">
        <f aca="false">IF(B996="","",IFERROR(INDEX(代理店一覧!$B$5:$B$204,MATCH(B996,代理店一覧!$A$5:$A$204,0)),"※未登録のID"))</f>
        <v/>
      </c>
      <c r="D996" s="20"/>
      <c r="E996" s="20"/>
      <c r="F996" s="20"/>
      <c r="G996" s="20"/>
      <c r="H996" s="20"/>
      <c r="I996" s="21"/>
    </row>
    <row r="997" customFormat="false" ht="15" hidden="false" customHeight="false" outlineLevel="0" collapsed="false">
      <c r="A997" s="30"/>
      <c r="B997" s="21"/>
      <c r="C997" s="21" t="str">
        <f aca="false">IF(B997="","",IFERROR(INDEX(代理店一覧!$B$5:$B$204,MATCH(B997,代理店一覧!$A$5:$A$204,0)),"※未登録のID"))</f>
        <v/>
      </c>
      <c r="D997" s="20"/>
      <c r="E997" s="20"/>
      <c r="F997" s="20"/>
      <c r="G997" s="20"/>
      <c r="H997" s="20"/>
      <c r="I997" s="21"/>
    </row>
    <row r="998" customFormat="false" ht="15" hidden="false" customHeight="false" outlineLevel="0" collapsed="false">
      <c r="A998" s="30"/>
      <c r="B998" s="21"/>
      <c r="C998" s="21" t="str">
        <f aca="false">IF(B998="","",IFERROR(INDEX(代理店一覧!$B$5:$B$204,MATCH(B998,代理店一覧!$A$5:$A$204,0)),"※未登録のID"))</f>
        <v/>
      </c>
      <c r="D998" s="20"/>
      <c r="E998" s="20"/>
      <c r="F998" s="20"/>
      <c r="G998" s="20"/>
      <c r="H998" s="20"/>
      <c r="I998" s="21"/>
    </row>
    <row r="999" customFormat="false" ht="15" hidden="false" customHeight="false" outlineLevel="0" collapsed="false">
      <c r="A999" s="30"/>
      <c r="B999" s="21"/>
      <c r="C999" s="21" t="str">
        <f aca="false">IF(B999="","",IFERROR(INDEX(代理店一覧!$B$5:$B$204,MATCH(B999,代理店一覧!$A$5:$A$204,0)),"※未登録のID"))</f>
        <v/>
      </c>
      <c r="D999" s="20"/>
      <c r="E999" s="20"/>
      <c r="F999" s="20"/>
      <c r="G999" s="20"/>
      <c r="H999" s="20"/>
      <c r="I999" s="21"/>
    </row>
    <row r="1000" customFormat="false" ht="15" hidden="false" customHeight="false" outlineLevel="0" collapsed="false">
      <c r="A1000" s="30"/>
      <c r="B1000" s="21"/>
      <c r="C1000" s="21" t="str">
        <f aca="false">IF(B1000="","",IFERROR(INDEX(代理店一覧!$B$5:$B$204,MATCH(B1000,代理店一覧!$A$5:$A$204,0)),"※未登録のID"))</f>
        <v/>
      </c>
      <c r="D1000" s="20"/>
      <c r="E1000" s="20"/>
      <c r="F1000" s="20"/>
      <c r="G1000" s="20"/>
      <c r="H1000" s="20"/>
      <c r="I1000" s="21"/>
    </row>
    <row r="1001" customFormat="false" ht="15" hidden="false" customHeight="false" outlineLevel="0" collapsed="false">
      <c r="A1001" s="30"/>
      <c r="B1001" s="21"/>
      <c r="C1001" s="21" t="str">
        <f aca="false">IF(B1001="","",IFERROR(INDEX(代理店一覧!$B$5:$B$204,MATCH(B1001,代理店一覧!$A$5:$A$204,0)),"※未登録のID"))</f>
        <v/>
      </c>
      <c r="D1001" s="20"/>
      <c r="E1001" s="20"/>
      <c r="F1001" s="20"/>
      <c r="G1001" s="20"/>
      <c r="H1001" s="20"/>
      <c r="I1001" s="21"/>
    </row>
    <row r="1002" customFormat="false" ht="15" hidden="false" customHeight="false" outlineLevel="0" collapsed="false">
      <c r="A1002" s="30"/>
      <c r="B1002" s="21"/>
      <c r="C1002" s="21" t="str">
        <f aca="false">IF(B1002="","",IFERROR(INDEX(代理店一覧!$B$5:$B$204,MATCH(B1002,代理店一覧!$A$5:$A$204,0)),"※未登録のID"))</f>
        <v/>
      </c>
      <c r="D1002" s="20"/>
      <c r="E1002" s="20"/>
      <c r="F1002" s="20"/>
      <c r="G1002" s="20"/>
      <c r="H1002" s="20"/>
      <c r="I1002" s="21"/>
    </row>
    <row r="1003" customFormat="false" ht="15" hidden="false" customHeight="false" outlineLevel="0" collapsed="false">
      <c r="A1003" s="30"/>
      <c r="B1003" s="21"/>
      <c r="C1003" s="21" t="str">
        <f aca="false">IF(B1003="","",IFERROR(INDEX(代理店一覧!$B$5:$B$204,MATCH(B1003,代理店一覧!$A$5:$A$204,0)),"※未登録のID"))</f>
        <v/>
      </c>
      <c r="D1003" s="20"/>
      <c r="E1003" s="20"/>
      <c r="F1003" s="20"/>
      <c r="G1003" s="20"/>
      <c r="H1003" s="20"/>
      <c r="I1003" s="21"/>
    </row>
    <row r="1004" customFormat="false" ht="15" hidden="false" customHeight="false" outlineLevel="0" collapsed="false">
      <c r="A1004" s="30"/>
      <c r="B1004" s="21"/>
      <c r="C1004" s="21" t="str">
        <f aca="false">IF(B1004="","",IFERROR(INDEX(代理店一覧!$B$5:$B$204,MATCH(B1004,代理店一覧!$A$5:$A$204,0)),"※未登録のID"))</f>
        <v/>
      </c>
      <c r="D1004" s="20"/>
      <c r="E1004" s="20"/>
      <c r="F1004" s="20"/>
      <c r="G1004" s="20"/>
      <c r="H1004" s="20"/>
      <c r="I1004" s="21"/>
    </row>
    <row r="1005" customFormat="false" ht="15" hidden="false" customHeight="false" outlineLevel="0" collapsed="false">
      <c r="A1005" s="30"/>
      <c r="B1005" s="21"/>
      <c r="C1005" s="21" t="str">
        <f aca="false">IF(B1005="","",IFERROR(INDEX(代理店一覧!$B$5:$B$204,MATCH(B1005,代理店一覧!$A$5:$A$204,0)),"※未登録のID"))</f>
        <v/>
      </c>
      <c r="D1005" s="20"/>
      <c r="E1005" s="20"/>
      <c r="F1005" s="20"/>
      <c r="G1005" s="20"/>
      <c r="H1005" s="20"/>
      <c r="I1005" s="21"/>
    </row>
    <row r="1006" customFormat="false" ht="15" hidden="false" customHeight="false" outlineLevel="0" collapsed="false">
      <c r="A1006" s="30"/>
      <c r="B1006" s="21"/>
      <c r="C1006" s="21" t="str">
        <f aca="false">IF(B1006="","",IFERROR(INDEX(代理店一覧!$B$5:$B$204,MATCH(B1006,代理店一覧!$A$5:$A$204,0)),"※未登録のID"))</f>
        <v/>
      </c>
      <c r="D1006" s="20"/>
      <c r="E1006" s="20"/>
      <c r="F1006" s="20"/>
      <c r="G1006" s="20"/>
      <c r="H1006" s="20"/>
      <c r="I1006" s="21"/>
    </row>
    <row r="1007" customFormat="false" ht="15" hidden="false" customHeight="false" outlineLevel="0" collapsed="false">
      <c r="A1007" s="30"/>
      <c r="B1007" s="21"/>
      <c r="C1007" s="21" t="str">
        <f aca="false">IF(B1007="","",IFERROR(INDEX(代理店一覧!$B$5:$B$204,MATCH(B1007,代理店一覧!$A$5:$A$204,0)),"※未登録のID"))</f>
        <v/>
      </c>
      <c r="D1007" s="20"/>
      <c r="E1007" s="20"/>
      <c r="F1007" s="20"/>
      <c r="G1007" s="20"/>
      <c r="H1007" s="20"/>
      <c r="I1007" s="21"/>
    </row>
    <row r="1008" customFormat="false" ht="15" hidden="false" customHeight="false" outlineLevel="0" collapsed="false">
      <c r="A1008" s="30"/>
      <c r="B1008" s="21"/>
      <c r="C1008" s="21" t="str">
        <f aca="false">IF(B1008="","",IFERROR(INDEX(代理店一覧!$B$5:$B$204,MATCH(B1008,代理店一覧!$A$5:$A$204,0)),"※未登録のID"))</f>
        <v/>
      </c>
      <c r="D1008" s="20"/>
      <c r="E1008" s="20"/>
      <c r="F1008" s="20"/>
      <c r="G1008" s="20"/>
      <c r="H1008" s="20"/>
      <c r="I1008" s="21"/>
    </row>
    <row r="1009" customFormat="false" ht="15" hidden="false" customHeight="false" outlineLevel="0" collapsed="false">
      <c r="A1009" s="30"/>
      <c r="B1009" s="21"/>
      <c r="C1009" s="21" t="str">
        <f aca="false">IF(B1009="","",IFERROR(INDEX(代理店一覧!$B$5:$B$204,MATCH(B1009,代理店一覧!$A$5:$A$204,0)),"※未登録のID"))</f>
        <v/>
      </c>
      <c r="D1009" s="20"/>
      <c r="E1009" s="20"/>
      <c r="F1009" s="20"/>
      <c r="G1009" s="20"/>
      <c r="H1009" s="20"/>
      <c r="I1009" s="21"/>
    </row>
    <row r="1010" customFormat="false" ht="15" hidden="false" customHeight="false" outlineLevel="0" collapsed="false">
      <c r="A1010" s="30"/>
      <c r="B1010" s="21"/>
      <c r="C1010" s="21" t="str">
        <f aca="false">IF(B1010="","",IFERROR(INDEX(代理店一覧!$B$5:$B$204,MATCH(B1010,代理店一覧!$A$5:$A$204,0)),"※未登録のID"))</f>
        <v/>
      </c>
      <c r="D1010" s="20"/>
      <c r="E1010" s="20"/>
      <c r="F1010" s="20"/>
      <c r="G1010" s="20"/>
      <c r="H1010" s="20"/>
      <c r="I1010" s="21"/>
    </row>
    <row r="1011" customFormat="false" ht="15" hidden="false" customHeight="false" outlineLevel="0" collapsed="false">
      <c r="A1011" s="30"/>
      <c r="B1011" s="21"/>
      <c r="C1011" s="21" t="str">
        <f aca="false">IF(B1011="","",IFERROR(INDEX(代理店一覧!$B$5:$B$204,MATCH(B1011,代理店一覧!$A$5:$A$204,0)),"※未登録のID"))</f>
        <v/>
      </c>
      <c r="D1011" s="20"/>
      <c r="E1011" s="20"/>
      <c r="F1011" s="20"/>
      <c r="G1011" s="20"/>
      <c r="H1011" s="20"/>
      <c r="I1011" s="21"/>
    </row>
    <row r="1012" customFormat="false" ht="15" hidden="false" customHeight="false" outlineLevel="0" collapsed="false">
      <c r="A1012" s="30"/>
      <c r="B1012" s="21"/>
      <c r="C1012" s="21" t="str">
        <f aca="false">IF(B1012="","",IFERROR(INDEX(代理店一覧!$B$5:$B$204,MATCH(B1012,代理店一覧!$A$5:$A$204,0)),"※未登録のID"))</f>
        <v/>
      </c>
      <c r="D1012" s="20"/>
      <c r="E1012" s="20"/>
      <c r="F1012" s="20"/>
      <c r="G1012" s="20"/>
      <c r="H1012" s="20"/>
      <c r="I1012" s="21"/>
    </row>
    <row r="1013" customFormat="false" ht="15" hidden="false" customHeight="false" outlineLevel="0" collapsed="false">
      <c r="A1013" s="30"/>
      <c r="B1013" s="21"/>
      <c r="C1013" s="21" t="str">
        <f aca="false">IF(B1013="","",IFERROR(INDEX(代理店一覧!$B$5:$B$204,MATCH(B1013,代理店一覧!$A$5:$A$204,0)),"※未登録のID"))</f>
        <v/>
      </c>
      <c r="D1013" s="20"/>
      <c r="E1013" s="20"/>
      <c r="F1013" s="20"/>
      <c r="G1013" s="20"/>
      <c r="H1013" s="20"/>
      <c r="I1013" s="21"/>
    </row>
    <row r="1014" customFormat="false" ht="15" hidden="false" customHeight="false" outlineLevel="0" collapsed="false">
      <c r="A1014" s="30"/>
      <c r="B1014" s="21"/>
      <c r="C1014" s="21" t="str">
        <f aca="false">IF(B1014="","",IFERROR(INDEX(代理店一覧!$B$5:$B$204,MATCH(B1014,代理店一覧!$A$5:$A$204,0)),"※未登録のID"))</f>
        <v/>
      </c>
      <c r="D1014" s="20"/>
      <c r="E1014" s="20"/>
      <c r="F1014" s="20"/>
      <c r="G1014" s="20"/>
      <c r="H1014" s="20"/>
      <c r="I1014" s="21"/>
    </row>
    <row r="1015" customFormat="false" ht="15" hidden="false" customHeight="false" outlineLevel="0" collapsed="false">
      <c r="A1015" s="30"/>
      <c r="B1015" s="21"/>
      <c r="C1015" s="21" t="str">
        <f aca="false">IF(B1015="","",IFERROR(INDEX(代理店一覧!$B$5:$B$204,MATCH(B1015,代理店一覧!$A$5:$A$204,0)),"※未登録のID"))</f>
        <v/>
      </c>
      <c r="D1015" s="20"/>
      <c r="E1015" s="20"/>
      <c r="F1015" s="20"/>
      <c r="G1015" s="20"/>
      <c r="H1015" s="20"/>
      <c r="I1015" s="21"/>
    </row>
    <row r="1016" customFormat="false" ht="15" hidden="false" customHeight="false" outlineLevel="0" collapsed="false">
      <c r="A1016" s="30"/>
      <c r="B1016" s="21"/>
      <c r="C1016" s="21" t="str">
        <f aca="false">IF(B1016="","",IFERROR(INDEX(代理店一覧!$B$5:$B$204,MATCH(B1016,代理店一覧!$A$5:$A$204,0)),"※未登録のID"))</f>
        <v/>
      </c>
      <c r="D1016" s="20"/>
      <c r="E1016" s="20"/>
      <c r="F1016" s="20"/>
      <c r="G1016" s="20"/>
      <c r="H1016" s="20"/>
      <c r="I1016" s="21"/>
    </row>
    <row r="1017" customFormat="false" ht="15" hidden="false" customHeight="false" outlineLevel="0" collapsed="false">
      <c r="A1017" s="30"/>
      <c r="B1017" s="21"/>
      <c r="C1017" s="21" t="str">
        <f aca="false">IF(B1017="","",IFERROR(INDEX(代理店一覧!$B$5:$B$204,MATCH(B1017,代理店一覧!$A$5:$A$204,0)),"※未登録のID"))</f>
        <v/>
      </c>
      <c r="D1017" s="20"/>
      <c r="E1017" s="20"/>
      <c r="F1017" s="20"/>
      <c r="G1017" s="20"/>
      <c r="H1017" s="20"/>
      <c r="I1017" s="21"/>
    </row>
    <row r="1018" customFormat="false" ht="15" hidden="false" customHeight="false" outlineLevel="0" collapsed="false">
      <c r="A1018" s="30"/>
      <c r="B1018" s="21"/>
      <c r="C1018" s="21" t="str">
        <f aca="false">IF(B1018="","",IFERROR(INDEX(代理店一覧!$B$5:$B$204,MATCH(B1018,代理店一覧!$A$5:$A$204,0)),"※未登録のID"))</f>
        <v/>
      </c>
      <c r="D1018" s="20"/>
      <c r="E1018" s="20"/>
      <c r="F1018" s="20"/>
      <c r="G1018" s="20"/>
      <c r="H1018" s="20"/>
      <c r="I1018" s="21"/>
    </row>
    <row r="1019" customFormat="false" ht="15" hidden="false" customHeight="false" outlineLevel="0" collapsed="false">
      <c r="A1019" s="30"/>
      <c r="B1019" s="21"/>
      <c r="C1019" s="21" t="str">
        <f aca="false">IF(B1019="","",IFERROR(INDEX(代理店一覧!$B$5:$B$204,MATCH(B1019,代理店一覧!$A$5:$A$204,0)),"※未登録のID"))</f>
        <v/>
      </c>
      <c r="D1019" s="20"/>
      <c r="E1019" s="20"/>
      <c r="F1019" s="20"/>
      <c r="G1019" s="20"/>
      <c r="H1019" s="20"/>
      <c r="I1019" s="21"/>
    </row>
    <row r="1020" customFormat="false" ht="15" hidden="false" customHeight="false" outlineLevel="0" collapsed="false">
      <c r="A1020" s="30"/>
      <c r="B1020" s="21"/>
      <c r="C1020" s="21" t="str">
        <f aca="false">IF(B1020="","",IFERROR(INDEX(代理店一覧!$B$5:$B$204,MATCH(B1020,代理店一覧!$A$5:$A$204,0)),"※未登録のID"))</f>
        <v/>
      </c>
      <c r="D1020" s="20"/>
      <c r="E1020" s="20"/>
      <c r="F1020" s="20"/>
      <c r="G1020" s="20"/>
      <c r="H1020" s="20"/>
      <c r="I1020" s="21"/>
    </row>
    <row r="1021" customFormat="false" ht="15" hidden="false" customHeight="false" outlineLevel="0" collapsed="false">
      <c r="A1021" s="30"/>
      <c r="B1021" s="21"/>
      <c r="C1021" s="21" t="str">
        <f aca="false">IF(B1021="","",IFERROR(INDEX(代理店一覧!$B$5:$B$204,MATCH(B1021,代理店一覧!$A$5:$A$204,0)),"※未登録のID"))</f>
        <v/>
      </c>
      <c r="D1021" s="20"/>
      <c r="E1021" s="20"/>
      <c r="F1021" s="20"/>
      <c r="G1021" s="20"/>
      <c r="H1021" s="20"/>
      <c r="I1021" s="21"/>
    </row>
    <row r="1022" customFormat="false" ht="15" hidden="false" customHeight="false" outlineLevel="0" collapsed="false">
      <c r="A1022" s="30"/>
      <c r="B1022" s="21"/>
      <c r="C1022" s="21" t="str">
        <f aca="false">IF(B1022="","",IFERROR(INDEX(代理店一覧!$B$5:$B$204,MATCH(B1022,代理店一覧!$A$5:$A$204,0)),"※未登録のID"))</f>
        <v/>
      </c>
      <c r="D1022" s="20"/>
      <c r="E1022" s="20"/>
      <c r="F1022" s="20"/>
      <c r="G1022" s="20"/>
      <c r="H1022" s="20"/>
      <c r="I1022" s="21"/>
    </row>
    <row r="1023" customFormat="false" ht="15" hidden="false" customHeight="false" outlineLevel="0" collapsed="false">
      <c r="A1023" s="30"/>
      <c r="B1023" s="21"/>
      <c r="C1023" s="21" t="str">
        <f aca="false">IF(B1023="","",IFERROR(INDEX(代理店一覧!$B$5:$B$204,MATCH(B1023,代理店一覧!$A$5:$A$204,0)),"※未登録のID"))</f>
        <v/>
      </c>
      <c r="D1023" s="20"/>
      <c r="E1023" s="20"/>
      <c r="F1023" s="20"/>
      <c r="G1023" s="20"/>
      <c r="H1023" s="20"/>
      <c r="I1023" s="21"/>
    </row>
    <row r="1024" customFormat="false" ht="15" hidden="false" customHeight="false" outlineLevel="0" collapsed="false">
      <c r="A1024" s="30"/>
      <c r="B1024" s="21"/>
      <c r="C1024" s="21" t="str">
        <f aca="false">IF(B1024="","",IFERROR(INDEX(代理店一覧!$B$5:$B$204,MATCH(B1024,代理店一覧!$A$5:$A$204,0)),"※未登録のID"))</f>
        <v/>
      </c>
      <c r="D1024" s="20"/>
      <c r="E1024" s="20"/>
      <c r="F1024" s="20"/>
      <c r="G1024" s="20"/>
      <c r="H1024" s="20"/>
      <c r="I1024" s="21"/>
    </row>
    <row r="1025" customFormat="false" ht="15" hidden="false" customHeight="false" outlineLevel="0" collapsed="false">
      <c r="A1025" s="30"/>
      <c r="B1025" s="21"/>
      <c r="C1025" s="21" t="str">
        <f aca="false">IF(B1025="","",IFERROR(INDEX(代理店一覧!$B$5:$B$204,MATCH(B1025,代理店一覧!$A$5:$A$204,0)),"※未登録のID"))</f>
        <v/>
      </c>
      <c r="D1025" s="20"/>
      <c r="E1025" s="20"/>
      <c r="F1025" s="20"/>
      <c r="G1025" s="20"/>
      <c r="H1025" s="20"/>
      <c r="I1025" s="21"/>
    </row>
    <row r="1026" customFormat="false" ht="15" hidden="false" customHeight="false" outlineLevel="0" collapsed="false">
      <c r="A1026" s="30"/>
      <c r="B1026" s="21"/>
      <c r="C1026" s="21" t="str">
        <f aca="false">IF(B1026="","",IFERROR(INDEX(代理店一覧!$B$5:$B$204,MATCH(B1026,代理店一覧!$A$5:$A$204,0)),"※未登録のID"))</f>
        <v/>
      </c>
      <c r="D1026" s="20"/>
      <c r="E1026" s="20"/>
      <c r="F1026" s="20"/>
      <c r="G1026" s="20"/>
      <c r="H1026" s="20"/>
      <c r="I1026" s="21"/>
    </row>
    <row r="1027" customFormat="false" ht="15" hidden="false" customHeight="false" outlineLevel="0" collapsed="false">
      <c r="A1027" s="30"/>
      <c r="B1027" s="21"/>
      <c r="C1027" s="21" t="str">
        <f aca="false">IF(B1027="","",IFERROR(INDEX(代理店一覧!$B$5:$B$204,MATCH(B1027,代理店一覧!$A$5:$A$204,0)),"※未登録のID"))</f>
        <v/>
      </c>
      <c r="D1027" s="20"/>
      <c r="E1027" s="20"/>
      <c r="F1027" s="20"/>
      <c r="G1027" s="20"/>
      <c r="H1027" s="20"/>
      <c r="I1027" s="21"/>
    </row>
    <row r="1028" customFormat="false" ht="15" hidden="false" customHeight="false" outlineLevel="0" collapsed="false">
      <c r="A1028" s="30"/>
      <c r="B1028" s="21"/>
      <c r="C1028" s="21" t="str">
        <f aca="false">IF(B1028="","",IFERROR(INDEX(代理店一覧!$B$5:$B$204,MATCH(B1028,代理店一覧!$A$5:$A$204,0)),"※未登録のID"))</f>
        <v/>
      </c>
      <c r="D1028" s="20"/>
      <c r="E1028" s="20"/>
      <c r="F1028" s="20"/>
      <c r="G1028" s="20"/>
      <c r="H1028" s="20"/>
      <c r="I1028" s="21"/>
    </row>
    <row r="1029" customFormat="false" ht="15" hidden="false" customHeight="false" outlineLevel="0" collapsed="false">
      <c r="A1029" s="30"/>
      <c r="B1029" s="21"/>
      <c r="C1029" s="21" t="str">
        <f aca="false">IF(B1029="","",IFERROR(INDEX(代理店一覧!$B$5:$B$204,MATCH(B1029,代理店一覧!$A$5:$A$204,0)),"※未登録のID"))</f>
        <v/>
      </c>
      <c r="D1029" s="20"/>
      <c r="E1029" s="20"/>
      <c r="F1029" s="20"/>
      <c r="G1029" s="20"/>
      <c r="H1029" s="20"/>
      <c r="I1029" s="21"/>
    </row>
    <row r="1030" customFormat="false" ht="15" hidden="false" customHeight="false" outlineLevel="0" collapsed="false">
      <c r="A1030" s="30"/>
      <c r="B1030" s="21"/>
      <c r="C1030" s="21" t="str">
        <f aca="false">IF(B1030="","",IFERROR(INDEX(代理店一覧!$B$5:$B$204,MATCH(B1030,代理店一覧!$A$5:$A$204,0)),"※未登録のID"))</f>
        <v/>
      </c>
      <c r="D1030" s="20"/>
      <c r="E1030" s="20"/>
      <c r="F1030" s="20"/>
      <c r="G1030" s="20"/>
      <c r="H1030" s="20"/>
      <c r="I1030" s="21"/>
    </row>
    <row r="1031" customFormat="false" ht="15" hidden="false" customHeight="false" outlineLevel="0" collapsed="false">
      <c r="A1031" s="30"/>
      <c r="B1031" s="21"/>
      <c r="C1031" s="21" t="str">
        <f aca="false">IF(B1031="","",IFERROR(INDEX(代理店一覧!$B$5:$B$204,MATCH(B1031,代理店一覧!$A$5:$A$204,0)),"※未登録のID"))</f>
        <v/>
      </c>
      <c r="D1031" s="20"/>
      <c r="E1031" s="20"/>
      <c r="F1031" s="20"/>
      <c r="G1031" s="20"/>
      <c r="H1031" s="20"/>
      <c r="I1031" s="21"/>
    </row>
    <row r="1032" customFormat="false" ht="15" hidden="false" customHeight="false" outlineLevel="0" collapsed="false">
      <c r="A1032" s="30"/>
      <c r="B1032" s="21"/>
      <c r="C1032" s="21" t="str">
        <f aca="false">IF(B1032="","",IFERROR(INDEX(代理店一覧!$B$5:$B$204,MATCH(B1032,代理店一覧!$A$5:$A$204,0)),"※未登録のID"))</f>
        <v/>
      </c>
      <c r="D1032" s="20"/>
      <c r="E1032" s="20"/>
      <c r="F1032" s="20"/>
      <c r="G1032" s="20"/>
      <c r="H1032" s="20"/>
      <c r="I1032" s="21"/>
    </row>
    <row r="1033" customFormat="false" ht="15" hidden="false" customHeight="false" outlineLevel="0" collapsed="false">
      <c r="A1033" s="30"/>
      <c r="B1033" s="21"/>
      <c r="C1033" s="21" t="str">
        <f aca="false">IF(B1033="","",IFERROR(INDEX(代理店一覧!$B$5:$B$204,MATCH(B1033,代理店一覧!$A$5:$A$204,0)),"※未登録のID"))</f>
        <v/>
      </c>
      <c r="D1033" s="20"/>
      <c r="E1033" s="20"/>
      <c r="F1033" s="20"/>
      <c r="G1033" s="20"/>
      <c r="H1033" s="20"/>
      <c r="I1033" s="21"/>
    </row>
    <row r="1034" customFormat="false" ht="15" hidden="false" customHeight="false" outlineLevel="0" collapsed="false">
      <c r="A1034" s="30"/>
      <c r="B1034" s="21"/>
      <c r="C1034" s="21" t="str">
        <f aca="false">IF(B1034="","",IFERROR(INDEX(代理店一覧!$B$5:$B$204,MATCH(B1034,代理店一覧!$A$5:$A$204,0)),"※未登録のID"))</f>
        <v/>
      </c>
      <c r="D1034" s="20"/>
      <c r="E1034" s="20"/>
      <c r="F1034" s="20"/>
      <c r="G1034" s="20"/>
      <c r="H1034" s="20"/>
      <c r="I1034" s="21"/>
    </row>
    <row r="1035" customFormat="false" ht="15" hidden="false" customHeight="false" outlineLevel="0" collapsed="false">
      <c r="A1035" s="30"/>
      <c r="B1035" s="21"/>
      <c r="C1035" s="21" t="str">
        <f aca="false">IF(B1035="","",IFERROR(INDEX(代理店一覧!$B$5:$B$204,MATCH(B1035,代理店一覧!$A$5:$A$204,0)),"※未登録のID"))</f>
        <v/>
      </c>
      <c r="D1035" s="20"/>
      <c r="E1035" s="20"/>
      <c r="F1035" s="20"/>
      <c r="G1035" s="20"/>
      <c r="H1035" s="20"/>
      <c r="I1035" s="21"/>
    </row>
    <row r="1036" customFormat="false" ht="15" hidden="false" customHeight="false" outlineLevel="0" collapsed="false">
      <c r="A1036" s="30"/>
      <c r="B1036" s="21"/>
      <c r="C1036" s="21" t="str">
        <f aca="false">IF(B1036="","",IFERROR(INDEX(代理店一覧!$B$5:$B$204,MATCH(B1036,代理店一覧!$A$5:$A$204,0)),"※未登録のID"))</f>
        <v/>
      </c>
      <c r="D1036" s="20"/>
      <c r="E1036" s="20"/>
      <c r="F1036" s="20"/>
      <c r="G1036" s="20"/>
      <c r="H1036" s="20"/>
      <c r="I1036" s="21"/>
    </row>
    <row r="1037" customFormat="false" ht="15" hidden="false" customHeight="false" outlineLevel="0" collapsed="false">
      <c r="A1037" s="30"/>
      <c r="B1037" s="21"/>
      <c r="C1037" s="21" t="str">
        <f aca="false">IF(B1037="","",IFERROR(INDEX(代理店一覧!$B$5:$B$204,MATCH(B1037,代理店一覧!$A$5:$A$204,0)),"※未登録のID"))</f>
        <v/>
      </c>
      <c r="D1037" s="20"/>
      <c r="E1037" s="20"/>
      <c r="F1037" s="20"/>
      <c r="G1037" s="20"/>
      <c r="H1037" s="20"/>
      <c r="I1037" s="21"/>
    </row>
    <row r="1038" customFormat="false" ht="15" hidden="false" customHeight="false" outlineLevel="0" collapsed="false">
      <c r="A1038" s="30"/>
      <c r="B1038" s="21"/>
      <c r="C1038" s="21" t="str">
        <f aca="false">IF(B1038="","",IFERROR(INDEX(代理店一覧!$B$5:$B$204,MATCH(B1038,代理店一覧!$A$5:$A$204,0)),"※未登録のID"))</f>
        <v/>
      </c>
      <c r="D1038" s="20"/>
      <c r="E1038" s="20"/>
      <c r="F1038" s="20"/>
      <c r="G1038" s="20"/>
      <c r="H1038" s="20"/>
      <c r="I1038" s="21"/>
    </row>
    <row r="1039" customFormat="false" ht="15" hidden="false" customHeight="false" outlineLevel="0" collapsed="false">
      <c r="A1039" s="30"/>
      <c r="B1039" s="21"/>
      <c r="C1039" s="21" t="str">
        <f aca="false">IF(B1039="","",IFERROR(INDEX(代理店一覧!$B$5:$B$204,MATCH(B1039,代理店一覧!$A$5:$A$204,0)),"※未登録のID"))</f>
        <v/>
      </c>
      <c r="D1039" s="20"/>
      <c r="E1039" s="20"/>
      <c r="F1039" s="20"/>
      <c r="G1039" s="20"/>
      <c r="H1039" s="20"/>
      <c r="I1039" s="21"/>
    </row>
    <row r="1040" customFormat="false" ht="15" hidden="false" customHeight="false" outlineLevel="0" collapsed="false">
      <c r="A1040" s="30"/>
      <c r="B1040" s="21"/>
      <c r="C1040" s="21" t="str">
        <f aca="false">IF(B1040="","",IFERROR(INDEX(代理店一覧!$B$5:$B$204,MATCH(B1040,代理店一覧!$A$5:$A$204,0)),"※未登録のID"))</f>
        <v/>
      </c>
      <c r="D1040" s="20"/>
      <c r="E1040" s="20"/>
      <c r="F1040" s="20"/>
      <c r="G1040" s="20"/>
      <c r="H1040" s="20"/>
      <c r="I1040" s="21"/>
    </row>
    <row r="1041" customFormat="false" ht="15" hidden="false" customHeight="false" outlineLevel="0" collapsed="false">
      <c r="A1041" s="30"/>
      <c r="B1041" s="21"/>
      <c r="C1041" s="21" t="str">
        <f aca="false">IF(B1041="","",IFERROR(INDEX(代理店一覧!$B$5:$B$204,MATCH(B1041,代理店一覧!$A$5:$A$204,0)),"※未登録のID"))</f>
        <v/>
      </c>
      <c r="D1041" s="20"/>
      <c r="E1041" s="20"/>
      <c r="F1041" s="20"/>
      <c r="G1041" s="20"/>
      <c r="H1041" s="20"/>
      <c r="I1041" s="21"/>
    </row>
    <row r="1042" customFormat="false" ht="15" hidden="false" customHeight="false" outlineLevel="0" collapsed="false">
      <c r="A1042" s="30"/>
      <c r="B1042" s="21"/>
      <c r="C1042" s="21" t="str">
        <f aca="false">IF(B1042="","",IFERROR(INDEX(代理店一覧!$B$5:$B$204,MATCH(B1042,代理店一覧!$A$5:$A$204,0)),"※未登録のID"))</f>
        <v/>
      </c>
      <c r="D1042" s="20"/>
      <c r="E1042" s="20"/>
      <c r="F1042" s="20"/>
      <c r="G1042" s="20"/>
      <c r="H1042" s="20"/>
      <c r="I1042" s="21"/>
    </row>
    <row r="1043" customFormat="false" ht="15" hidden="false" customHeight="false" outlineLevel="0" collapsed="false">
      <c r="A1043" s="30"/>
      <c r="B1043" s="21"/>
      <c r="C1043" s="21" t="str">
        <f aca="false">IF(B1043="","",IFERROR(INDEX(代理店一覧!$B$5:$B$204,MATCH(B1043,代理店一覧!$A$5:$A$204,0)),"※未登録のID"))</f>
        <v/>
      </c>
      <c r="D1043" s="20"/>
      <c r="E1043" s="20"/>
      <c r="F1043" s="20"/>
      <c r="G1043" s="20"/>
      <c r="H1043" s="20"/>
      <c r="I1043" s="21"/>
    </row>
    <row r="1044" customFormat="false" ht="15" hidden="false" customHeight="false" outlineLevel="0" collapsed="false">
      <c r="A1044" s="30"/>
      <c r="B1044" s="21"/>
      <c r="C1044" s="21" t="str">
        <f aca="false">IF(B1044="","",IFERROR(INDEX(代理店一覧!$B$5:$B$204,MATCH(B1044,代理店一覧!$A$5:$A$204,0)),"※未登録のID"))</f>
        <v/>
      </c>
      <c r="D1044" s="20"/>
      <c r="E1044" s="20"/>
      <c r="F1044" s="20"/>
      <c r="G1044" s="20"/>
      <c r="H1044" s="20"/>
      <c r="I1044" s="21"/>
    </row>
    <row r="1045" customFormat="false" ht="15" hidden="false" customHeight="false" outlineLevel="0" collapsed="false">
      <c r="A1045" s="30"/>
      <c r="B1045" s="21"/>
      <c r="C1045" s="21" t="str">
        <f aca="false">IF(B1045="","",IFERROR(INDEX(代理店一覧!$B$5:$B$204,MATCH(B1045,代理店一覧!$A$5:$A$204,0)),"※未登録のID"))</f>
        <v/>
      </c>
      <c r="D1045" s="20"/>
      <c r="E1045" s="20"/>
      <c r="F1045" s="20"/>
      <c r="G1045" s="20"/>
      <c r="H1045" s="20"/>
      <c r="I1045" s="21"/>
    </row>
    <row r="1046" customFormat="false" ht="15" hidden="false" customHeight="false" outlineLevel="0" collapsed="false">
      <c r="A1046" s="30"/>
      <c r="B1046" s="21"/>
      <c r="C1046" s="21" t="str">
        <f aca="false">IF(B1046="","",IFERROR(INDEX(代理店一覧!$B$5:$B$204,MATCH(B1046,代理店一覧!$A$5:$A$204,0)),"※未登録のID"))</f>
        <v/>
      </c>
      <c r="D1046" s="20"/>
      <c r="E1046" s="20"/>
      <c r="F1046" s="20"/>
      <c r="G1046" s="20"/>
      <c r="H1046" s="20"/>
      <c r="I1046" s="21"/>
    </row>
    <row r="1047" customFormat="false" ht="15" hidden="false" customHeight="false" outlineLevel="0" collapsed="false">
      <c r="A1047" s="30"/>
      <c r="B1047" s="21"/>
      <c r="C1047" s="21" t="str">
        <f aca="false">IF(B1047="","",IFERROR(INDEX(代理店一覧!$B$5:$B$204,MATCH(B1047,代理店一覧!$A$5:$A$204,0)),"※未登録のID"))</f>
        <v/>
      </c>
      <c r="D1047" s="20"/>
      <c r="E1047" s="20"/>
      <c r="F1047" s="20"/>
      <c r="G1047" s="20"/>
      <c r="H1047" s="20"/>
      <c r="I1047" s="21"/>
    </row>
    <row r="1048" customFormat="false" ht="15" hidden="false" customHeight="false" outlineLevel="0" collapsed="false">
      <c r="A1048" s="30"/>
      <c r="B1048" s="21"/>
      <c r="C1048" s="21" t="str">
        <f aca="false">IF(B1048="","",IFERROR(INDEX(代理店一覧!$B$5:$B$204,MATCH(B1048,代理店一覧!$A$5:$A$204,0)),"※未登録のID"))</f>
        <v/>
      </c>
      <c r="D1048" s="20"/>
      <c r="E1048" s="20"/>
      <c r="F1048" s="20"/>
      <c r="G1048" s="20"/>
      <c r="H1048" s="20"/>
      <c r="I1048" s="21"/>
    </row>
    <row r="1049" customFormat="false" ht="15" hidden="false" customHeight="false" outlineLevel="0" collapsed="false">
      <c r="A1049" s="30"/>
      <c r="B1049" s="21"/>
      <c r="C1049" s="21" t="str">
        <f aca="false">IF(B1049="","",IFERROR(INDEX(代理店一覧!$B$5:$B$204,MATCH(B1049,代理店一覧!$A$5:$A$204,0)),"※未登録のID"))</f>
        <v/>
      </c>
      <c r="D1049" s="20"/>
      <c r="E1049" s="20"/>
      <c r="F1049" s="20"/>
      <c r="G1049" s="20"/>
      <c r="H1049" s="20"/>
      <c r="I1049" s="21"/>
    </row>
    <row r="1050" customFormat="false" ht="15" hidden="false" customHeight="false" outlineLevel="0" collapsed="false">
      <c r="A1050" s="30"/>
      <c r="B1050" s="21"/>
      <c r="C1050" s="21" t="str">
        <f aca="false">IF(B1050="","",IFERROR(INDEX(代理店一覧!$B$5:$B$204,MATCH(B1050,代理店一覧!$A$5:$A$204,0)),"※未登録のID"))</f>
        <v/>
      </c>
      <c r="D1050" s="20"/>
      <c r="E1050" s="20"/>
      <c r="F1050" s="20"/>
      <c r="G1050" s="20"/>
      <c r="H1050" s="20"/>
      <c r="I1050" s="21"/>
    </row>
    <row r="1051" customFormat="false" ht="15" hidden="false" customHeight="false" outlineLevel="0" collapsed="false">
      <c r="A1051" s="30"/>
      <c r="B1051" s="21"/>
      <c r="C1051" s="21" t="str">
        <f aca="false">IF(B1051="","",IFERROR(INDEX(代理店一覧!$B$5:$B$204,MATCH(B1051,代理店一覧!$A$5:$A$204,0)),"※未登録のID"))</f>
        <v/>
      </c>
      <c r="D1051" s="20"/>
      <c r="E1051" s="20"/>
      <c r="F1051" s="20"/>
      <c r="G1051" s="20"/>
      <c r="H1051" s="20"/>
      <c r="I1051" s="21"/>
    </row>
    <row r="1052" customFormat="false" ht="15" hidden="false" customHeight="false" outlineLevel="0" collapsed="false">
      <c r="A1052" s="30"/>
      <c r="B1052" s="21"/>
      <c r="C1052" s="21" t="str">
        <f aca="false">IF(B1052="","",IFERROR(INDEX(代理店一覧!$B$5:$B$204,MATCH(B1052,代理店一覧!$A$5:$A$204,0)),"※未登録のID"))</f>
        <v/>
      </c>
      <c r="D1052" s="20"/>
      <c r="E1052" s="20"/>
      <c r="F1052" s="20"/>
      <c r="G1052" s="20"/>
      <c r="H1052" s="20"/>
      <c r="I1052" s="21"/>
    </row>
    <row r="1053" customFormat="false" ht="15" hidden="false" customHeight="false" outlineLevel="0" collapsed="false">
      <c r="A1053" s="30"/>
      <c r="B1053" s="21"/>
      <c r="C1053" s="21" t="str">
        <f aca="false">IF(B1053="","",IFERROR(INDEX(代理店一覧!$B$5:$B$204,MATCH(B1053,代理店一覧!$A$5:$A$204,0)),"※未登録のID"))</f>
        <v/>
      </c>
      <c r="D1053" s="20"/>
      <c r="E1053" s="20"/>
      <c r="F1053" s="20"/>
      <c r="G1053" s="20"/>
      <c r="H1053" s="20"/>
      <c r="I1053" s="21"/>
    </row>
    <row r="1054" customFormat="false" ht="15" hidden="false" customHeight="false" outlineLevel="0" collapsed="false">
      <c r="A1054" s="30"/>
      <c r="B1054" s="21"/>
      <c r="C1054" s="21" t="str">
        <f aca="false">IF(B1054="","",IFERROR(INDEX(代理店一覧!$B$5:$B$204,MATCH(B1054,代理店一覧!$A$5:$A$204,0)),"※未登録のID"))</f>
        <v/>
      </c>
      <c r="D1054" s="20"/>
      <c r="E1054" s="20"/>
      <c r="F1054" s="20"/>
      <c r="G1054" s="20"/>
      <c r="H1054" s="20"/>
      <c r="I1054" s="21"/>
    </row>
    <row r="1055" customFormat="false" ht="15" hidden="false" customHeight="false" outlineLevel="0" collapsed="false">
      <c r="A1055" s="30"/>
      <c r="B1055" s="21"/>
      <c r="C1055" s="21" t="str">
        <f aca="false">IF(B1055="","",IFERROR(INDEX(代理店一覧!$B$5:$B$204,MATCH(B1055,代理店一覧!$A$5:$A$204,0)),"※未登録のID"))</f>
        <v/>
      </c>
      <c r="D1055" s="20"/>
      <c r="E1055" s="20"/>
      <c r="F1055" s="20"/>
      <c r="G1055" s="20"/>
      <c r="H1055" s="20"/>
      <c r="I1055" s="21"/>
    </row>
    <row r="1056" customFormat="false" ht="15" hidden="false" customHeight="false" outlineLevel="0" collapsed="false">
      <c r="A1056" s="30"/>
      <c r="B1056" s="21"/>
      <c r="C1056" s="21" t="str">
        <f aca="false">IF(B1056="","",IFERROR(INDEX(代理店一覧!$B$5:$B$204,MATCH(B1056,代理店一覧!$A$5:$A$204,0)),"※未登録のID"))</f>
        <v/>
      </c>
      <c r="D1056" s="20"/>
      <c r="E1056" s="20"/>
      <c r="F1056" s="20"/>
      <c r="G1056" s="20"/>
      <c r="H1056" s="20"/>
      <c r="I1056" s="21"/>
    </row>
    <row r="1057" customFormat="false" ht="15" hidden="false" customHeight="false" outlineLevel="0" collapsed="false">
      <c r="A1057" s="30"/>
      <c r="B1057" s="21"/>
      <c r="C1057" s="21" t="str">
        <f aca="false">IF(B1057="","",IFERROR(INDEX(代理店一覧!$B$5:$B$204,MATCH(B1057,代理店一覧!$A$5:$A$204,0)),"※未登録のID"))</f>
        <v/>
      </c>
      <c r="D1057" s="20"/>
      <c r="E1057" s="20"/>
      <c r="F1057" s="20"/>
      <c r="G1057" s="20"/>
      <c r="H1057" s="20"/>
      <c r="I1057" s="21"/>
    </row>
    <row r="1058" customFormat="false" ht="15" hidden="false" customHeight="false" outlineLevel="0" collapsed="false">
      <c r="A1058" s="30"/>
      <c r="B1058" s="21"/>
      <c r="C1058" s="21" t="str">
        <f aca="false">IF(B1058="","",IFERROR(INDEX(代理店一覧!$B$5:$B$204,MATCH(B1058,代理店一覧!$A$5:$A$204,0)),"※未登録のID"))</f>
        <v/>
      </c>
      <c r="D1058" s="20"/>
      <c r="E1058" s="20"/>
      <c r="F1058" s="20"/>
      <c r="G1058" s="20"/>
      <c r="H1058" s="20"/>
      <c r="I1058" s="21"/>
    </row>
    <row r="1059" customFormat="false" ht="15" hidden="false" customHeight="false" outlineLevel="0" collapsed="false">
      <c r="A1059" s="30"/>
      <c r="B1059" s="21"/>
      <c r="C1059" s="21" t="str">
        <f aca="false">IF(B1059="","",IFERROR(INDEX(代理店一覧!$B$5:$B$204,MATCH(B1059,代理店一覧!$A$5:$A$204,0)),"※未登録のID"))</f>
        <v/>
      </c>
      <c r="D1059" s="20"/>
      <c r="E1059" s="20"/>
      <c r="F1059" s="20"/>
      <c r="G1059" s="20"/>
      <c r="H1059" s="20"/>
      <c r="I1059" s="21"/>
    </row>
    <row r="1060" customFormat="false" ht="15" hidden="false" customHeight="false" outlineLevel="0" collapsed="false">
      <c r="A1060" s="30"/>
      <c r="B1060" s="21"/>
      <c r="C1060" s="21" t="str">
        <f aca="false">IF(B1060="","",IFERROR(INDEX(代理店一覧!$B$5:$B$204,MATCH(B1060,代理店一覧!$A$5:$A$204,0)),"※未登録のID"))</f>
        <v/>
      </c>
      <c r="D1060" s="20"/>
      <c r="E1060" s="20"/>
      <c r="F1060" s="20"/>
      <c r="G1060" s="20"/>
      <c r="H1060" s="20"/>
      <c r="I1060" s="21"/>
    </row>
    <row r="1061" customFormat="false" ht="15" hidden="false" customHeight="false" outlineLevel="0" collapsed="false">
      <c r="A1061" s="30"/>
      <c r="B1061" s="21"/>
      <c r="C1061" s="21" t="str">
        <f aca="false">IF(B1061="","",IFERROR(INDEX(代理店一覧!$B$5:$B$204,MATCH(B1061,代理店一覧!$A$5:$A$204,0)),"※未登録のID"))</f>
        <v/>
      </c>
      <c r="D1061" s="20"/>
      <c r="E1061" s="20"/>
      <c r="F1061" s="20"/>
      <c r="G1061" s="20"/>
      <c r="H1061" s="20"/>
      <c r="I1061" s="21"/>
    </row>
    <row r="1062" customFormat="false" ht="15" hidden="false" customHeight="false" outlineLevel="0" collapsed="false">
      <c r="A1062" s="30"/>
      <c r="B1062" s="21"/>
      <c r="C1062" s="21" t="str">
        <f aca="false">IF(B1062="","",IFERROR(INDEX(代理店一覧!$B$5:$B$204,MATCH(B1062,代理店一覧!$A$5:$A$204,0)),"※未登録のID"))</f>
        <v/>
      </c>
      <c r="D1062" s="20"/>
      <c r="E1062" s="20"/>
      <c r="F1062" s="20"/>
      <c r="G1062" s="20"/>
      <c r="H1062" s="20"/>
      <c r="I1062" s="21"/>
    </row>
    <row r="1063" customFormat="false" ht="15" hidden="false" customHeight="false" outlineLevel="0" collapsed="false">
      <c r="A1063" s="30"/>
      <c r="B1063" s="21"/>
      <c r="C1063" s="21" t="str">
        <f aca="false">IF(B1063="","",IFERROR(INDEX(代理店一覧!$B$5:$B$204,MATCH(B1063,代理店一覧!$A$5:$A$204,0)),"※未登録のID"))</f>
        <v/>
      </c>
      <c r="D1063" s="20"/>
      <c r="E1063" s="20"/>
      <c r="F1063" s="20"/>
      <c r="G1063" s="20"/>
      <c r="H1063" s="20"/>
      <c r="I1063" s="21"/>
    </row>
    <row r="1064" customFormat="false" ht="15" hidden="false" customHeight="false" outlineLevel="0" collapsed="false">
      <c r="A1064" s="30"/>
      <c r="B1064" s="21"/>
      <c r="C1064" s="21" t="str">
        <f aca="false">IF(B1064="","",IFERROR(INDEX(代理店一覧!$B$5:$B$204,MATCH(B1064,代理店一覧!$A$5:$A$204,0)),"※未登録のID"))</f>
        <v/>
      </c>
      <c r="D1064" s="20"/>
      <c r="E1064" s="20"/>
      <c r="F1064" s="20"/>
      <c r="G1064" s="20"/>
      <c r="H1064" s="20"/>
      <c r="I1064" s="21"/>
    </row>
    <row r="1065" customFormat="false" ht="15" hidden="false" customHeight="false" outlineLevel="0" collapsed="false">
      <c r="A1065" s="30"/>
      <c r="B1065" s="21"/>
      <c r="C1065" s="21" t="str">
        <f aca="false">IF(B1065="","",IFERROR(INDEX(代理店一覧!$B$5:$B$204,MATCH(B1065,代理店一覧!$A$5:$A$204,0)),"※未登録のID"))</f>
        <v/>
      </c>
      <c r="D1065" s="20"/>
      <c r="E1065" s="20"/>
      <c r="F1065" s="20"/>
      <c r="G1065" s="20"/>
      <c r="H1065" s="20"/>
      <c r="I1065" s="21"/>
    </row>
    <row r="1066" customFormat="false" ht="15" hidden="false" customHeight="false" outlineLevel="0" collapsed="false">
      <c r="A1066" s="30"/>
      <c r="B1066" s="21"/>
      <c r="C1066" s="21" t="str">
        <f aca="false">IF(B1066="","",IFERROR(INDEX(代理店一覧!$B$5:$B$204,MATCH(B1066,代理店一覧!$A$5:$A$204,0)),"※未登録のID"))</f>
        <v/>
      </c>
      <c r="D1066" s="20"/>
      <c r="E1066" s="20"/>
      <c r="F1066" s="20"/>
      <c r="G1066" s="20"/>
      <c r="H1066" s="20"/>
      <c r="I1066" s="21"/>
    </row>
    <row r="1067" customFormat="false" ht="15" hidden="false" customHeight="false" outlineLevel="0" collapsed="false">
      <c r="A1067" s="30"/>
      <c r="B1067" s="21"/>
      <c r="C1067" s="21" t="str">
        <f aca="false">IF(B1067="","",IFERROR(INDEX(代理店一覧!$B$5:$B$204,MATCH(B1067,代理店一覧!$A$5:$A$204,0)),"※未登録のID"))</f>
        <v/>
      </c>
      <c r="D1067" s="20"/>
      <c r="E1067" s="20"/>
      <c r="F1067" s="20"/>
      <c r="G1067" s="20"/>
      <c r="H1067" s="20"/>
      <c r="I1067" s="21"/>
    </row>
    <row r="1068" customFormat="false" ht="15" hidden="false" customHeight="false" outlineLevel="0" collapsed="false">
      <c r="A1068" s="30"/>
      <c r="B1068" s="21"/>
      <c r="C1068" s="21" t="str">
        <f aca="false">IF(B1068="","",IFERROR(INDEX(代理店一覧!$B$5:$B$204,MATCH(B1068,代理店一覧!$A$5:$A$204,0)),"※未登録のID"))</f>
        <v/>
      </c>
      <c r="D1068" s="20"/>
      <c r="E1068" s="20"/>
      <c r="F1068" s="20"/>
      <c r="G1068" s="20"/>
      <c r="H1068" s="20"/>
      <c r="I1068" s="21"/>
    </row>
    <row r="1069" customFormat="false" ht="15" hidden="false" customHeight="false" outlineLevel="0" collapsed="false">
      <c r="A1069" s="30"/>
      <c r="B1069" s="21"/>
      <c r="C1069" s="21" t="str">
        <f aca="false">IF(B1069="","",IFERROR(INDEX(代理店一覧!$B$5:$B$204,MATCH(B1069,代理店一覧!$A$5:$A$204,0)),"※未登録のID"))</f>
        <v/>
      </c>
      <c r="D1069" s="20"/>
      <c r="E1069" s="20"/>
      <c r="F1069" s="20"/>
      <c r="G1069" s="20"/>
      <c r="H1069" s="20"/>
      <c r="I1069" s="21"/>
    </row>
    <row r="1070" customFormat="false" ht="15" hidden="false" customHeight="false" outlineLevel="0" collapsed="false">
      <c r="A1070" s="30"/>
      <c r="B1070" s="21"/>
      <c r="C1070" s="21" t="str">
        <f aca="false">IF(B1070="","",IFERROR(INDEX(代理店一覧!$B$5:$B$204,MATCH(B1070,代理店一覧!$A$5:$A$204,0)),"※未登録のID"))</f>
        <v/>
      </c>
      <c r="D1070" s="20"/>
      <c r="E1070" s="20"/>
      <c r="F1070" s="20"/>
      <c r="G1070" s="20"/>
      <c r="H1070" s="20"/>
      <c r="I1070" s="21"/>
    </row>
    <row r="1071" customFormat="false" ht="15" hidden="false" customHeight="false" outlineLevel="0" collapsed="false">
      <c r="A1071" s="30"/>
      <c r="B1071" s="21"/>
      <c r="C1071" s="21" t="str">
        <f aca="false">IF(B1071="","",IFERROR(INDEX(代理店一覧!$B$5:$B$204,MATCH(B1071,代理店一覧!$A$5:$A$204,0)),"※未登録のID"))</f>
        <v/>
      </c>
      <c r="D1071" s="20"/>
      <c r="E1071" s="20"/>
      <c r="F1071" s="20"/>
      <c r="G1071" s="20"/>
      <c r="H1071" s="20"/>
      <c r="I1071" s="21"/>
    </row>
    <row r="1072" customFormat="false" ht="15" hidden="false" customHeight="false" outlineLevel="0" collapsed="false">
      <c r="A1072" s="30"/>
      <c r="B1072" s="21"/>
      <c r="C1072" s="21" t="str">
        <f aca="false">IF(B1072="","",IFERROR(INDEX(代理店一覧!$B$5:$B$204,MATCH(B1072,代理店一覧!$A$5:$A$204,0)),"※未登録のID"))</f>
        <v/>
      </c>
      <c r="D1072" s="20"/>
      <c r="E1072" s="20"/>
      <c r="F1072" s="20"/>
      <c r="G1072" s="20"/>
      <c r="H1072" s="20"/>
      <c r="I1072" s="21"/>
    </row>
    <row r="1073" customFormat="false" ht="15" hidden="false" customHeight="false" outlineLevel="0" collapsed="false">
      <c r="A1073" s="30"/>
      <c r="B1073" s="21"/>
      <c r="C1073" s="21" t="str">
        <f aca="false">IF(B1073="","",IFERROR(INDEX(代理店一覧!$B$5:$B$204,MATCH(B1073,代理店一覧!$A$5:$A$204,0)),"※未登録のID"))</f>
        <v/>
      </c>
      <c r="D1073" s="20"/>
      <c r="E1073" s="20"/>
      <c r="F1073" s="20"/>
      <c r="G1073" s="20"/>
      <c r="H1073" s="20"/>
      <c r="I1073" s="21"/>
    </row>
    <row r="1074" customFormat="false" ht="15" hidden="false" customHeight="false" outlineLevel="0" collapsed="false">
      <c r="A1074" s="30"/>
      <c r="B1074" s="21"/>
      <c r="C1074" s="21" t="str">
        <f aca="false">IF(B1074="","",IFERROR(INDEX(代理店一覧!$B$5:$B$204,MATCH(B1074,代理店一覧!$A$5:$A$204,0)),"※未登録のID"))</f>
        <v/>
      </c>
      <c r="D1074" s="20"/>
      <c r="E1074" s="20"/>
      <c r="F1074" s="20"/>
      <c r="G1074" s="20"/>
      <c r="H1074" s="20"/>
      <c r="I1074" s="21"/>
    </row>
    <row r="1075" customFormat="false" ht="15" hidden="false" customHeight="false" outlineLevel="0" collapsed="false">
      <c r="A1075" s="30"/>
      <c r="B1075" s="21"/>
      <c r="C1075" s="21" t="str">
        <f aca="false">IF(B1075="","",IFERROR(INDEX(代理店一覧!$B$5:$B$204,MATCH(B1075,代理店一覧!$A$5:$A$204,0)),"※未登録のID"))</f>
        <v/>
      </c>
      <c r="D1075" s="20"/>
      <c r="E1075" s="20"/>
      <c r="F1075" s="20"/>
      <c r="G1075" s="20"/>
      <c r="H1075" s="20"/>
      <c r="I1075" s="21"/>
    </row>
    <row r="1076" customFormat="false" ht="15" hidden="false" customHeight="false" outlineLevel="0" collapsed="false">
      <c r="A1076" s="30"/>
      <c r="B1076" s="21"/>
      <c r="C1076" s="21" t="str">
        <f aca="false">IF(B1076="","",IFERROR(INDEX(代理店一覧!$B$5:$B$204,MATCH(B1076,代理店一覧!$A$5:$A$204,0)),"※未登録のID"))</f>
        <v/>
      </c>
      <c r="D1076" s="20"/>
      <c r="E1076" s="20"/>
      <c r="F1076" s="20"/>
      <c r="G1076" s="20"/>
      <c r="H1076" s="20"/>
      <c r="I1076" s="21"/>
    </row>
    <row r="1077" customFormat="false" ht="15" hidden="false" customHeight="false" outlineLevel="0" collapsed="false">
      <c r="A1077" s="30"/>
      <c r="B1077" s="21"/>
      <c r="C1077" s="21" t="str">
        <f aca="false">IF(B1077="","",IFERROR(INDEX(代理店一覧!$B$5:$B$204,MATCH(B1077,代理店一覧!$A$5:$A$204,0)),"※未登録のID"))</f>
        <v/>
      </c>
      <c r="D1077" s="20"/>
      <c r="E1077" s="20"/>
      <c r="F1077" s="20"/>
      <c r="G1077" s="20"/>
      <c r="H1077" s="20"/>
      <c r="I1077" s="21"/>
    </row>
    <row r="1078" customFormat="false" ht="15" hidden="false" customHeight="false" outlineLevel="0" collapsed="false">
      <c r="A1078" s="30"/>
      <c r="B1078" s="21"/>
      <c r="C1078" s="21" t="str">
        <f aca="false">IF(B1078="","",IFERROR(INDEX(代理店一覧!$B$5:$B$204,MATCH(B1078,代理店一覧!$A$5:$A$204,0)),"※未登録のID"))</f>
        <v/>
      </c>
      <c r="D1078" s="20"/>
      <c r="E1078" s="20"/>
      <c r="F1078" s="20"/>
      <c r="G1078" s="20"/>
      <c r="H1078" s="20"/>
      <c r="I1078" s="21"/>
    </row>
    <row r="1079" customFormat="false" ht="15" hidden="false" customHeight="false" outlineLevel="0" collapsed="false">
      <c r="A1079" s="30"/>
      <c r="B1079" s="21"/>
      <c r="C1079" s="21" t="str">
        <f aca="false">IF(B1079="","",IFERROR(INDEX(代理店一覧!$B$5:$B$204,MATCH(B1079,代理店一覧!$A$5:$A$204,0)),"※未登録のID"))</f>
        <v/>
      </c>
      <c r="D1079" s="20"/>
      <c r="E1079" s="20"/>
      <c r="F1079" s="20"/>
      <c r="G1079" s="20"/>
      <c r="H1079" s="20"/>
      <c r="I1079" s="21"/>
    </row>
    <row r="1080" customFormat="false" ht="15" hidden="false" customHeight="false" outlineLevel="0" collapsed="false">
      <c r="A1080" s="30"/>
      <c r="B1080" s="21"/>
      <c r="C1080" s="21" t="str">
        <f aca="false">IF(B1080="","",IFERROR(INDEX(代理店一覧!$B$5:$B$204,MATCH(B1080,代理店一覧!$A$5:$A$204,0)),"※未登録のID"))</f>
        <v/>
      </c>
      <c r="D1080" s="20"/>
      <c r="E1080" s="20"/>
      <c r="F1080" s="20"/>
      <c r="G1080" s="20"/>
      <c r="H1080" s="20"/>
      <c r="I1080" s="21"/>
    </row>
    <row r="1081" customFormat="false" ht="15" hidden="false" customHeight="false" outlineLevel="0" collapsed="false">
      <c r="A1081" s="30"/>
      <c r="B1081" s="21"/>
      <c r="C1081" s="21" t="str">
        <f aca="false">IF(B1081="","",IFERROR(INDEX(代理店一覧!$B$5:$B$204,MATCH(B1081,代理店一覧!$A$5:$A$204,0)),"※未登録のID"))</f>
        <v/>
      </c>
      <c r="D1081" s="20"/>
      <c r="E1081" s="20"/>
      <c r="F1081" s="20"/>
      <c r="G1081" s="20"/>
      <c r="H1081" s="20"/>
      <c r="I1081" s="21"/>
    </row>
    <row r="1082" customFormat="false" ht="15" hidden="false" customHeight="false" outlineLevel="0" collapsed="false">
      <c r="A1082" s="30"/>
      <c r="B1082" s="21"/>
      <c r="C1082" s="21" t="str">
        <f aca="false">IF(B1082="","",IFERROR(INDEX(代理店一覧!$B$5:$B$204,MATCH(B1082,代理店一覧!$A$5:$A$204,0)),"※未登録のID"))</f>
        <v/>
      </c>
      <c r="D1082" s="20"/>
      <c r="E1082" s="20"/>
      <c r="F1082" s="20"/>
      <c r="G1082" s="20"/>
      <c r="H1082" s="20"/>
      <c r="I1082" s="21"/>
    </row>
    <row r="1083" customFormat="false" ht="15" hidden="false" customHeight="false" outlineLevel="0" collapsed="false">
      <c r="A1083" s="30"/>
      <c r="B1083" s="21"/>
      <c r="C1083" s="21" t="str">
        <f aca="false">IF(B1083="","",IFERROR(INDEX(代理店一覧!$B$5:$B$204,MATCH(B1083,代理店一覧!$A$5:$A$204,0)),"※未登録のID"))</f>
        <v/>
      </c>
      <c r="D1083" s="20"/>
      <c r="E1083" s="20"/>
      <c r="F1083" s="20"/>
      <c r="G1083" s="20"/>
      <c r="H1083" s="20"/>
      <c r="I1083" s="21"/>
    </row>
    <row r="1084" customFormat="false" ht="15" hidden="false" customHeight="false" outlineLevel="0" collapsed="false">
      <c r="A1084" s="30"/>
      <c r="B1084" s="21"/>
      <c r="C1084" s="21" t="str">
        <f aca="false">IF(B1084="","",IFERROR(INDEX(代理店一覧!$B$5:$B$204,MATCH(B1084,代理店一覧!$A$5:$A$204,0)),"※未登録のID"))</f>
        <v/>
      </c>
      <c r="D1084" s="20"/>
      <c r="E1084" s="20"/>
      <c r="F1084" s="20"/>
      <c r="G1084" s="20"/>
      <c r="H1084" s="20"/>
      <c r="I1084" s="21"/>
    </row>
    <row r="1085" customFormat="false" ht="15" hidden="false" customHeight="false" outlineLevel="0" collapsed="false">
      <c r="A1085" s="30"/>
      <c r="B1085" s="21"/>
      <c r="C1085" s="21" t="str">
        <f aca="false">IF(B1085="","",IFERROR(INDEX(代理店一覧!$B$5:$B$204,MATCH(B1085,代理店一覧!$A$5:$A$204,0)),"※未登録のID"))</f>
        <v/>
      </c>
      <c r="D1085" s="20"/>
      <c r="E1085" s="20"/>
      <c r="F1085" s="20"/>
      <c r="G1085" s="20"/>
      <c r="H1085" s="20"/>
      <c r="I1085" s="21"/>
    </row>
    <row r="1086" customFormat="false" ht="15" hidden="false" customHeight="false" outlineLevel="0" collapsed="false">
      <c r="A1086" s="30"/>
      <c r="B1086" s="21"/>
      <c r="C1086" s="21" t="str">
        <f aca="false">IF(B1086="","",IFERROR(INDEX(代理店一覧!$B$5:$B$204,MATCH(B1086,代理店一覧!$A$5:$A$204,0)),"※未登録のID"))</f>
        <v/>
      </c>
      <c r="D1086" s="20"/>
      <c r="E1086" s="20"/>
      <c r="F1086" s="20"/>
      <c r="G1086" s="20"/>
      <c r="H1086" s="20"/>
      <c r="I1086" s="21"/>
    </row>
    <row r="1087" customFormat="false" ht="15" hidden="false" customHeight="false" outlineLevel="0" collapsed="false">
      <c r="A1087" s="30"/>
      <c r="B1087" s="21"/>
      <c r="C1087" s="21" t="str">
        <f aca="false">IF(B1087="","",IFERROR(INDEX(代理店一覧!$B$5:$B$204,MATCH(B1087,代理店一覧!$A$5:$A$204,0)),"※未登録のID"))</f>
        <v/>
      </c>
      <c r="D1087" s="20"/>
      <c r="E1087" s="20"/>
      <c r="F1087" s="20"/>
      <c r="G1087" s="20"/>
      <c r="H1087" s="20"/>
      <c r="I1087" s="21"/>
    </row>
    <row r="1088" customFormat="false" ht="15" hidden="false" customHeight="false" outlineLevel="0" collapsed="false">
      <c r="A1088" s="30"/>
      <c r="B1088" s="21"/>
      <c r="C1088" s="21" t="str">
        <f aca="false">IF(B1088="","",IFERROR(INDEX(代理店一覧!$B$5:$B$204,MATCH(B1088,代理店一覧!$A$5:$A$204,0)),"※未登録のID"))</f>
        <v/>
      </c>
      <c r="D1088" s="20"/>
      <c r="E1088" s="20"/>
      <c r="F1088" s="20"/>
      <c r="G1088" s="20"/>
      <c r="H1088" s="20"/>
      <c r="I1088" s="21"/>
    </row>
    <row r="1089" customFormat="false" ht="15" hidden="false" customHeight="false" outlineLevel="0" collapsed="false">
      <c r="A1089" s="30"/>
      <c r="B1089" s="21"/>
      <c r="C1089" s="21" t="str">
        <f aca="false">IF(B1089="","",IFERROR(INDEX(代理店一覧!$B$5:$B$204,MATCH(B1089,代理店一覧!$A$5:$A$204,0)),"※未登録のID"))</f>
        <v/>
      </c>
      <c r="D1089" s="20"/>
      <c r="E1089" s="20"/>
      <c r="F1089" s="20"/>
      <c r="G1089" s="20"/>
      <c r="H1089" s="20"/>
      <c r="I1089" s="21"/>
    </row>
    <row r="1090" customFormat="false" ht="15" hidden="false" customHeight="false" outlineLevel="0" collapsed="false">
      <c r="A1090" s="30"/>
      <c r="B1090" s="21"/>
      <c r="C1090" s="21" t="str">
        <f aca="false">IF(B1090="","",IFERROR(INDEX(代理店一覧!$B$5:$B$204,MATCH(B1090,代理店一覧!$A$5:$A$204,0)),"※未登録のID"))</f>
        <v/>
      </c>
      <c r="D1090" s="20"/>
      <c r="E1090" s="20"/>
      <c r="F1090" s="20"/>
      <c r="G1090" s="20"/>
      <c r="H1090" s="20"/>
      <c r="I1090" s="21"/>
    </row>
    <row r="1091" customFormat="false" ht="15" hidden="false" customHeight="false" outlineLevel="0" collapsed="false">
      <c r="A1091" s="30"/>
      <c r="B1091" s="21"/>
      <c r="C1091" s="21" t="str">
        <f aca="false">IF(B1091="","",IFERROR(INDEX(代理店一覧!$B$5:$B$204,MATCH(B1091,代理店一覧!$A$5:$A$204,0)),"※未登録のID"))</f>
        <v/>
      </c>
      <c r="D1091" s="20"/>
      <c r="E1091" s="20"/>
      <c r="F1091" s="20"/>
      <c r="G1091" s="20"/>
      <c r="H1091" s="20"/>
      <c r="I1091" s="21"/>
    </row>
    <row r="1092" customFormat="false" ht="15" hidden="false" customHeight="false" outlineLevel="0" collapsed="false">
      <c r="A1092" s="30"/>
      <c r="B1092" s="21"/>
      <c r="C1092" s="21" t="str">
        <f aca="false">IF(B1092="","",IFERROR(INDEX(代理店一覧!$B$5:$B$204,MATCH(B1092,代理店一覧!$A$5:$A$204,0)),"※未登録のID"))</f>
        <v/>
      </c>
      <c r="D1092" s="20"/>
      <c r="E1092" s="20"/>
      <c r="F1092" s="20"/>
      <c r="G1092" s="20"/>
      <c r="H1092" s="20"/>
      <c r="I1092" s="21"/>
    </row>
    <row r="1093" customFormat="false" ht="15" hidden="false" customHeight="false" outlineLevel="0" collapsed="false">
      <c r="A1093" s="30"/>
      <c r="B1093" s="21"/>
      <c r="C1093" s="21" t="str">
        <f aca="false">IF(B1093="","",IFERROR(INDEX(代理店一覧!$B$5:$B$204,MATCH(B1093,代理店一覧!$A$5:$A$204,0)),"※未登録のID"))</f>
        <v/>
      </c>
      <c r="D1093" s="20"/>
      <c r="E1093" s="20"/>
      <c r="F1093" s="20"/>
      <c r="G1093" s="20"/>
      <c r="H1093" s="20"/>
      <c r="I1093" s="21"/>
    </row>
    <row r="1094" customFormat="false" ht="15" hidden="false" customHeight="false" outlineLevel="0" collapsed="false">
      <c r="A1094" s="30"/>
      <c r="B1094" s="21"/>
      <c r="C1094" s="21" t="str">
        <f aca="false">IF(B1094="","",IFERROR(INDEX(代理店一覧!$B$5:$B$204,MATCH(B1094,代理店一覧!$A$5:$A$204,0)),"※未登録のID"))</f>
        <v/>
      </c>
      <c r="D1094" s="20"/>
      <c r="E1094" s="20"/>
      <c r="F1094" s="20"/>
      <c r="G1094" s="20"/>
      <c r="H1094" s="20"/>
      <c r="I1094" s="21"/>
    </row>
    <row r="1095" customFormat="false" ht="15" hidden="false" customHeight="false" outlineLevel="0" collapsed="false">
      <c r="A1095" s="30"/>
      <c r="B1095" s="21"/>
      <c r="C1095" s="21" t="str">
        <f aca="false">IF(B1095="","",IFERROR(INDEX(代理店一覧!$B$5:$B$204,MATCH(B1095,代理店一覧!$A$5:$A$204,0)),"※未登録のID"))</f>
        <v/>
      </c>
      <c r="D1095" s="20"/>
      <c r="E1095" s="20"/>
      <c r="F1095" s="20"/>
      <c r="G1095" s="20"/>
      <c r="H1095" s="20"/>
      <c r="I1095" s="21"/>
    </row>
    <row r="1096" customFormat="false" ht="15" hidden="false" customHeight="false" outlineLevel="0" collapsed="false">
      <c r="A1096" s="30"/>
      <c r="B1096" s="21"/>
      <c r="C1096" s="21" t="str">
        <f aca="false">IF(B1096="","",IFERROR(INDEX(代理店一覧!$B$5:$B$204,MATCH(B1096,代理店一覧!$A$5:$A$204,0)),"※未登録のID"))</f>
        <v/>
      </c>
      <c r="D1096" s="20"/>
      <c r="E1096" s="20"/>
      <c r="F1096" s="20"/>
      <c r="G1096" s="20"/>
      <c r="H1096" s="20"/>
      <c r="I1096" s="21"/>
    </row>
    <row r="1097" customFormat="false" ht="15" hidden="false" customHeight="false" outlineLevel="0" collapsed="false">
      <c r="A1097" s="30"/>
      <c r="B1097" s="21"/>
      <c r="C1097" s="21" t="str">
        <f aca="false">IF(B1097="","",IFERROR(INDEX(代理店一覧!$B$5:$B$204,MATCH(B1097,代理店一覧!$A$5:$A$204,0)),"※未登録のID"))</f>
        <v/>
      </c>
      <c r="D1097" s="20"/>
      <c r="E1097" s="20"/>
      <c r="F1097" s="20"/>
      <c r="G1097" s="20"/>
      <c r="H1097" s="20"/>
      <c r="I1097" s="21"/>
    </row>
    <row r="1098" customFormat="false" ht="15" hidden="false" customHeight="false" outlineLevel="0" collapsed="false">
      <c r="A1098" s="30"/>
      <c r="B1098" s="21"/>
      <c r="C1098" s="21" t="str">
        <f aca="false">IF(B1098="","",IFERROR(INDEX(代理店一覧!$B$5:$B$204,MATCH(B1098,代理店一覧!$A$5:$A$204,0)),"※未登録のID"))</f>
        <v/>
      </c>
      <c r="D1098" s="20"/>
      <c r="E1098" s="20"/>
      <c r="F1098" s="20"/>
      <c r="G1098" s="20"/>
      <c r="H1098" s="20"/>
      <c r="I1098" s="21"/>
    </row>
    <row r="1099" customFormat="false" ht="15" hidden="false" customHeight="false" outlineLevel="0" collapsed="false">
      <c r="A1099" s="30"/>
      <c r="B1099" s="21"/>
      <c r="C1099" s="21" t="str">
        <f aca="false">IF(B1099="","",IFERROR(INDEX(代理店一覧!$B$5:$B$204,MATCH(B1099,代理店一覧!$A$5:$A$204,0)),"※未登録のID"))</f>
        <v/>
      </c>
      <c r="D1099" s="20"/>
      <c r="E1099" s="20"/>
      <c r="F1099" s="20"/>
      <c r="G1099" s="20"/>
      <c r="H1099" s="20"/>
      <c r="I1099" s="21"/>
    </row>
    <row r="1100" customFormat="false" ht="15" hidden="false" customHeight="false" outlineLevel="0" collapsed="false">
      <c r="A1100" s="30"/>
      <c r="B1100" s="21"/>
      <c r="C1100" s="21" t="str">
        <f aca="false">IF(B1100="","",IFERROR(INDEX(代理店一覧!$B$5:$B$204,MATCH(B1100,代理店一覧!$A$5:$A$204,0)),"※未登録のID"))</f>
        <v/>
      </c>
      <c r="D1100" s="20"/>
      <c r="E1100" s="20"/>
      <c r="F1100" s="20"/>
      <c r="G1100" s="20"/>
      <c r="H1100" s="20"/>
      <c r="I1100" s="21"/>
    </row>
    <row r="1101" customFormat="false" ht="15" hidden="false" customHeight="false" outlineLevel="0" collapsed="false">
      <c r="A1101" s="30"/>
      <c r="B1101" s="21"/>
      <c r="C1101" s="21" t="str">
        <f aca="false">IF(B1101="","",IFERROR(INDEX(代理店一覧!$B$5:$B$204,MATCH(B1101,代理店一覧!$A$5:$A$204,0)),"※未登録のID"))</f>
        <v/>
      </c>
      <c r="D1101" s="20"/>
      <c r="E1101" s="20"/>
      <c r="F1101" s="20"/>
      <c r="G1101" s="20"/>
      <c r="H1101" s="20"/>
      <c r="I1101" s="21"/>
    </row>
    <row r="1102" customFormat="false" ht="15" hidden="false" customHeight="false" outlineLevel="0" collapsed="false">
      <c r="A1102" s="30"/>
      <c r="B1102" s="21"/>
      <c r="C1102" s="21" t="str">
        <f aca="false">IF(B1102="","",IFERROR(INDEX(代理店一覧!$B$5:$B$204,MATCH(B1102,代理店一覧!$A$5:$A$204,0)),"※未登録のID"))</f>
        <v/>
      </c>
      <c r="D1102" s="20"/>
      <c r="E1102" s="20"/>
      <c r="F1102" s="20"/>
      <c r="G1102" s="20"/>
      <c r="H1102" s="20"/>
      <c r="I1102" s="21"/>
    </row>
    <row r="1103" customFormat="false" ht="15" hidden="false" customHeight="false" outlineLevel="0" collapsed="false">
      <c r="A1103" s="30"/>
      <c r="B1103" s="21"/>
      <c r="C1103" s="21" t="str">
        <f aca="false">IF(B1103="","",IFERROR(INDEX(代理店一覧!$B$5:$B$204,MATCH(B1103,代理店一覧!$A$5:$A$204,0)),"※未登録のID"))</f>
        <v/>
      </c>
      <c r="D1103" s="20"/>
      <c r="E1103" s="20"/>
      <c r="F1103" s="20"/>
      <c r="G1103" s="20"/>
      <c r="H1103" s="20"/>
      <c r="I1103" s="21"/>
    </row>
    <row r="1104" customFormat="false" ht="15" hidden="false" customHeight="false" outlineLevel="0" collapsed="false">
      <c r="A1104" s="30"/>
      <c r="B1104" s="21"/>
      <c r="C1104" s="21" t="str">
        <f aca="false">IF(B1104="","",IFERROR(INDEX(代理店一覧!$B$5:$B$204,MATCH(B1104,代理店一覧!$A$5:$A$204,0)),"※未登録のID"))</f>
        <v/>
      </c>
      <c r="D1104" s="20"/>
      <c r="E1104" s="20"/>
      <c r="F1104" s="20"/>
      <c r="G1104" s="20"/>
      <c r="H1104" s="20"/>
      <c r="I1104" s="21"/>
    </row>
    <row r="1105" customFormat="false" ht="15" hidden="false" customHeight="false" outlineLevel="0" collapsed="false">
      <c r="A1105" s="30"/>
      <c r="B1105" s="21"/>
      <c r="C1105" s="21" t="str">
        <f aca="false">IF(B1105="","",IFERROR(INDEX(代理店一覧!$B$5:$B$204,MATCH(B1105,代理店一覧!$A$5:$A$204,0)),"※未登録のID"))</f>
        <v/>
      </c>
      <c r="D1105" s="20"/>
      <c r="E1105" s="20"/>
      <c r="F1105" s="20"/>
      <c r="G1105" s="20"/>
      <c r="H1105" s="20"/>
      <c r="I1105" s="21"/>
    </row>
    <row r="1106" customFormat="false" ht="15" hidden="false" customHeight="false" outlineLevel="0" collapsed="false">
      <c r="A1106" s="30"/>
      <c r="B1106" s="21"/>
      <c r="C1106" s="21" t="str">
        <f aca="false">IF(B1106="","",IFERROR(INDEX(代理店一覧!$B$5:$B$204,MATCH(B1106,代理店一覧!$A$5:$A$204,0)),"※未登録のID"))</f>
        <v/>
      </c>
      <c r="D1106" s="20"/>
      <c r="E1106" s="20"/>
      <c r="F1106" s="20"/>
      <c r="G1106" s="20"/>
      <c r="H1106" s="20"/>
      <c r="I1106" s="21"/>
    </row>
    <row r="1107" customFormat="false" ht="15" hidden="false" customHeight="false" outlineLevel="0" collapsed="false">
      <c r="A1107" s="30"/>
      <c r="B1107" s="21"/>
      <c r="C1107" s="21" t="str">
        <f aca="false">IF(B1107="","",IFERROR(INDEX(代理店一覧!$B$5:$B$204,MATCH(B1107,代理店一覧!$A$5:$A$204,0)),"※未登録のID"))</f>
        <v/>
      </c>
      <c r="D1107" s="20"/>
      <c r="E1107" s="20"/>
      <c r="F1107" s="20"/>
      <c r="G1107" s="20"/>
      <c r="H1107" s="20"/>
      <c r="I1107" s="21"/>
    </row>
    <row r="1108" customFormat="false" ht="15" hidden="false" customHeight="false" outlineLevel="0" collapsed="false">
      <c r="A1108" s="30"/>
      <c r="B1108" s="21"/>
      <c r="C1108" s="21" t="str">
        <f aca="false">IF(B1108="","",IFERROR(INDEX(代理店一覧!$B$5:$B$204,MATCH(B1108,代理店一覧!$A$5:$A$204,0)),"※未登録のID"))</f>
        <v/>
      </c>
      <c r="D1108" s="20"/>
      <c r="E1108" s="20"/>
      <c r="F1108" s="20"/>
      <c r="G1108" s="20"/>
      <c r="H1108" s="20"/>
      <c r="I1108" s="21"/>
    </row>
    <row r="1109" customFormat="false" ht="15" hidden="false" customHeight="false" outlineLevel="0" collapsed="false">
      <c r="A1109" s="30"/>
      <c r="B1109" s="21"/>
      <c r="C1109" s="21" t="str">
        <f aca="false">IF(B1109="","",IFERROR(INDEX(代理店一覧!$B$5:$B$204,MATCH(B1109,代理店一覧!$A$5:$A$204,0)),"※未登録のID"))</f>
        <v/>
      </c>
      <c r="D1109" s="20"/>
      <c r="E1109" s="20"/>
      <c r="F1109" s="20"/>
      <c r="G1109" s="20"/>
      <c r="H1109" s="20"/>
      <c r="I1109" s="21"/>
    </row>
    <row r="1110" customFormat="false" ht="15" hidden="false" customHeight="false" outlineLevel="0" collapsed="false">
      <c r="A1110" s="30"/>
      <c r="B1110" s="21"/>
      <c r="C1110" s="21" t="str">
        <f aca="false">IF(B1110="","",IFERROR(INDEX(代理店一覧!$B$5:$B$204,MATCH(B1110,代理店一覧!$A$5:$A$204,0)),"※未登録のID"))</f>
        <v/>
      </c>
      <c r="D1110" s="20"/>
      <c r="E1110" s="20"/>
      <c r="F1110" s="20"/>
      <c r="G1110" s="20"/>
      <c r="H1110" s="20"/>
      <c r="I1110" s="21"/>
    </row>
    <row r="1111" customFormat="false" ht="15" hidden="false" customHeight="false" outlineLevel="0" collapsed="false">
      <c r="A1111" s="30"/>
      <c r="B1111" s="21"/>
      <c r="C1111" s="21" t="str">
        <f aca="false">IF(B1111="","",IFERROR(INDEX(代理店一覧!$B$5:$B$204,MATCH(B1111,代理店一覧!$A$5:$A$204,0)),"※未登録のID"))</f>
        <v/>
      </c>
      <c r="D1111" s="20"/>
      <c r="E1111" s="20"/>
      <c r="F1111" s="20"/>
      <c r="G1111" s="20"/>
      <c r="H1111" s="20"/>
      <c r="I1111" s="21"/>
    </row>
    <row r="1112" customFormat="false" ht="15" hidden="false" customHeight="false" outlineLevel="0" collapsed="false">
      <c r="A1112" s="30"/>
      <c r="B1112" s="21"/>
      <c r="C1112" s="21" t="str">
        <f aca="false">IF(B1112="","",IFERROR(INDEX(代理店一覧!$B$5:$B$204,MATCH(B1112,代理店一覧!$A$5:$A$204,0)),"※未登録のID"))</f>
        <v/>
      </c>
      <c r="D1112" s="20"/>
      <c r="E1112" s="20"/>
      <c r="F1112" s="20"/>
      <c r="G1112" s="20"/>
      <c r="H1112" s="20"/>
      <c r="I1112" s="21"/>
    </row>
    <row r="1113" customFormat="false" ht="15" hidden="false" customHeight="false" outlineLevel="0" collapsed="false">
      <c r="A1113" s="30"/>
      <c r="B1113" s="21"/>
      <c r="C1113" s="21" t="str">
        <f aca="false">IF(B1113="","",IFERROR(INDEX(代理店一覧!$B$5:$B$204,MATCH(B1113,代理店一覧!$A$5:$A$204,0)),"※未登録のID"))</f>
        <v/>
      </c>
      <c r="D1113" s="20"/>
      <c r="E1113" s="20"/>
      <c r="F1113" s="20"/>
      <c r="G1113" s="20"/>
      <c r="H1113" s="20"/>
      <c r="I1113" s="21"/>
    </row>
    <row r="1114" customFormat="false" ht="15" hidden="false" customHeight="false" outlineLevel="0" collapsed="false">
      <c r="A1114" s="30"/>
      <c r="B1114" s="21"/>
      <c r="C1114" s="21" t="str">
        <f aca="false">IF(B1114="","",IFERROR(INDEX(代理店一覧!$B$5:$B$204,MATCH(B1114,代理店一覧!$A$5:$A$204,0)),"※未登録のID"))</f>
        <v/>
      </c>
      <c r="D1114" s="20"/>
      <c r="E1114" s="20"/>
      <c r="F1114" s="20"/>
      <c r="G1114" s="20"/>
      <c r="H1114" s="20"/>
      <c r="I1114" s="21"/>
    </row>
    <row r="1115" customFormat="false" ht="15" hidden="false" customHeight="false" outlineLevel="0" collapsed="false">
      <c r="A1115" s="30"/>
      <c r="B1115" s="21"/>
      <c r="C1115" s="21" t="str">
        <f aca="false">IF(B1115="","",IFERROR(INDEX(代理店一覧!$B$5:$B$204,MATCH(B1115,代理店一覧!$A$5:$A$204,0)),"※未登録のID"))</f>
        <v/>
      </c>
      <c r="D1115" s="20"/>
      <c r="E1115" s="20"/>
      <c r="F1115" s="20"/>
      <c r="G1115" s="20"/>
      <c r="H1115" s="20"/>
      <c r="I1115" s="21"/>
    </row>
    <row r="1116" customFormat="false" ht="15" hidden="false" customHeight="false" outlineLevel="0" collapsed="false">
      <c r="A1116" s="30"/>
      <c r="B1116" s="21"/>
      <c r="C1116" s="21" t="str">
        <f aca="false">IF(B1116="","",IFERROR(INDEX(代理店一覧!$B$5:$B$204,MATCH(B1116,代理店一覧!$A$5:$A$204,0)),"※未登録のID"))</f>
        <v/>
      </c>
      <c r="D1116" s="20"/>
      <c r="E1116" s="20"/>
      <c r="F1116" s="20"/>
      <c r="G1116" s="20"/>
      <c r="H1116" s="20"/>
      <c r="I1116" s="21"/>
    </row>
    <row r="1117" customFormat="false" ht="15" hidden="false" customHeight="false" outlineLevel="0" collapsed="false">
      <c r="A1117" s="30"/>
      <c r="B1117" s="21"/>
      <c r="C1117" s="21" t="str">
        <f aca="false">IF(B1117="","",IFERROR(INDEX(代理店一覧!$B$5:$B$204,MATCH(B1117,代理店一覧!$A$5:$A$204,0)),"※未登録のID"))</f>
        <v/>
      </c>
      <c r="D1117" s="20"/>
      <c r="E1117" s="20"/>
      <c r="F1117" s="20"/>
      <c r="G1117" s="20"/>
      <c r="H1117" s="20"/>
      <c r="I1117" s="21"/>
    </row>
    <row r="1118" customFormat="false" ht="15" hidden="false" customHeight="false" outlineLevel="0" collapsed="false">
      <c r="A1118" s="30"/>
      <c r="B1118" s="21"/>
      <c r="C1118" s="21" t="str">
        <f aca="false">IF(B1118="","",IFERROR(INDEX(代理店一覧!$B$5:$B$204,MATCH(B1118,代理店一覧!$A$5:$A$204,0)),"※未登録のID"))</f>
        <v/>
      </c>
      <c r="D1118" s="20"/>
      <c r="E1118" s="20"/>
      <c r="F1118" s="20"/>
      <c r="G1118" s="20"/>
      <c r="H1118" s="20"/>
      <c r="I1118" s="21"/>
    </row>
    <row r="1119" customFormat="false" ht="15" hidden="false" customHeight="false" outlineLevel="0" collapsed="false">
      <c r="A1119" s="30"/>
      <c r="B1119" s="21"/>
      <c r="C1119" s="21" t="str">
        <f aca="false">IF(B1119="","",IFERROR(INDEX(代理店一覧!$B$5:$B$204,MATCH(B1119,代理店一覧!$A$5:$A$204,0)),"※未登録のID"))</f>
        <v/>
      </c>
      <c r="D1119" s="20"/>
      <c r="E1119" s="20"/>
      <c r="F1119" s="20"/>
      <c r="G1119" s="20"/>
      <c r="H1119" s="20"/>
      <c r="I1119" s="21"/>
    </row>
    <row r="1120" customFormat="false" ht="15" hidden="false" customHeight="false" outlineLevel="0" collapsed="false">
      <c r="A1120" s="30"/>
      <c r="B1120" s="21"/>
      <c r="C1120" s="21" t="str">
        <f aca="false">IF(B1120="","",IFERROR(INDEX(代理店一覧!$B$5:$B$204,MATCH(B1120,代理店一覧!$A$5:$A$204,0)),"※未登録のID"))</f>
        <v/>
      </c>
      <c r="D1120" s="20"/>
      <c r="E1120" s="20"/>
      <c r="F1120" s="20"/>
      <c r="G1120" s="20"/>
      <c r="H1120" s="20"/>
      <c r="I1120" s="21"/>
    </row>
    <row r="1121" customFormat="false" ht="15" hidden="false" customHeight="false" outlineLevel="0" collapsed="false">
      <c r="A1121" s="30"/>
      <c r="B1121" s="21"/>
      <c r="C1121" s="21" t="str">
        <f aca="false">IF(B1121="","",IFERROR(INDEX(代理店一覧!$B$5:$B$204,MATCH(B1121,代理店一覧!$A$5:$A$204,0)),"※未登録のID"))</f>
        <v/>
      </c>
      <c r="D1121" s="20"/>
      <c r="E1121" s="20"/>
      <c r="F1121" s="20"/>
      <c r="G1121" s="20"/>
      <c r="H1121" s="20"/>
      <c r="I1121" s="21"/>
    </row>
    <row r="1122" customFormat="false" ht="15" hidden="false" customHeight="false" outlineLevel="0" collapsed="false">
      <c r="A1122" s="30"/>
      <c r="B1122" s="21"/>
      <c r="C1122" s="21" t="str">
        <f aca="false">IF(B1122="","",IFERROR(INDEX(代理店一覧!$B$5:$B$204,MATCH(B1122,代理店一覧!$A$5:$A$204,0)),"※未登録のID"))</f>
        <v/>
      </c>
      <c r="D1122" s="20"/>
      <c r="E1122" s="20"/>
      <c r="F1122" s="20"/>
      <c r="G1122" s="20"/>
      <c r="H1122" s="20"/>
      <c r="I1122" s="21"/>
    </row>
    <row r="1123" customFormat="false" ht="15" hidden="false" customHeight="false" outlineLevel="0" collapsed="false">
      <c r="A1123" s="30"/>
      <c r="B1123" s="21"/>
      <c r="C1123" s="21" t="str">
        <f aca="false">IF(B1123="","",IFERROR(INDEX(代理店一覧!$B$5:$B$204,MATCH(B1123,代理店一覧!$A$5:$A$204,0)),"※未登録のID"))</f>
        <v/>
      </c>
      <c r="D1123" s="20"/>
      <c r="E1123" s="20"/>
      <c r="F1123" s="20"/>
      <c r="G1123" s="20"/>
      <c r="H1123" s="20"/>
      <c r="I1123" s="21"/>
    </row>
    <row r="1124" customFormat="false" ht="15" hidden="false" customHeight="false" outlineLevel="0" collapsed="false">
      <c r="A1124" s="30"/>
      <c r="B1124" s="21"/>
      <c r="C1124" s="21" t="str">
        <f aca="false">IF(B1124="","",IFERROR(INDEX(代理店一覧!$B$5:$B$204,MATCH(B1124,代理店一覧!$A$5:$A$204,0)),"※未登録のID"))</f>
        <v/>
      </c>
      <c r="D1124" s="20"/>
      <c r="E1124" s="20"/>
      <c r="F1124" s="20"/>
      <c r="G1124" s="20"/>
      <c r="H1124" s="20"/>
      <c r="I1124" s="21"/>
    </row>
    <row r="1125" customFormat="false" ht="15" hidden="false" customHeight="false" outlineLevel="0" collapsed="false">
      <c r="A1125" s="30"/>
      <c r="B1125" s="21"/>
      <c r="C1125" s="21" t="str">
        <f aca="false">IF(B1125="","",IFERROR(INDEX(代理店一覧!$B$5:$B$204,MATCH(B1125,代理店一覧!$A$5:$A$204,0)),"※未登録のID"))</f>
        <v/>
      </c>
      <c r="D1125" s="20"/>
      <c r="E1125" s="20"/>
      <c r="F1125" s="20"/>
      <c r="G1125" s="20"/>
      <c r="H1125" s="20"/>
      <c r="I1125" s="21"/>
    </row>
    <row r="1126" customFormat="false" ht="15" hidden="false" customHeight="false" outlineLevel="0" collapsed="false">
      <c r="A1126" s="30"/>
      <c r="B1126" s="21"/>
      <c r="C1126" s="21" t="str">
        <f aca="false">IF(B1126="","",IFERROR(INDEX(代理店一覧!$B$5:$B$204,MATCH(B1126,代理店一覧!$A$5:$A$204,0)),"※未登録のID"))</f>
        <v/>
      </c>
      <c r="D1126" s="20"/>
      <c r="E1126" s="20"/>
      <c r="F1126" s="20"/>
      <c r="G1126" s="20"/>
      <c r="H1126" s="20"/>
      <c r="I1126" s="21"/>
    </row>
    <row r="1127" customFormat="false" ht="15" hidden="false" customHeight="false" outlineLevel="0" collapsed="false">
      <c r="A1127" s="30"/>
      <c r="B1127" s="21"/>
      <c r="C1127" s="21" t="str">
        <f aca="false">IF(B1127="","",IFERROR(INDEX(代理店一覧!$B$5:$B$204,MATCH(B1127,代理店一覧!$A$5:$A$204,0)),"※未登録のID"))</f>
        <v/>
      </c>
      <c r="D1127" s="20"/>
      <c r="E1127" s="20"/>
      <c r="F1127" s="20"/>
      <c r="G1127" s="20"/>
      <c r="H1127" s="20"/>
      <c r="I1127" s="21"/>
    </row>
    <row r="1128" customFormat="false" ht="15" hidden="false" customHeight="false" outlineLevel="0" collapsed="false">
      <c r="A1128" s="30"/>
      <c r="B1128" s="21"/>
      <c r="C1128" s="21" t="str">
        <f aca="false">IF(B1128="","",IFERROR(INDEX(代理店一覧!$B$5:$B$204,MATCH(B1128,代理店一覧!$A$5:$A$204,0)),"※未登録のID"))</f>
        <v/>
      </c>
      <c r="D1128" s="20"/>
      <c r="E1128" s="20"/>
      <c r="F1128" s="20"/>
      <c r="G1128" s="20"/>
      <c r="H1128" s="20"/>
      <c r="I1128" s="21"/>
    </row>
    <row r="1129" customFormat="false" ht="15" hidden="false" customHeight="false" outlineLevel="0" collapsed="false">
      <c r="A1129" s="30"/>
      <c r="B1129" s="21"/>
      <c r="C1129" s="21" t="str">
        <f aca="false">IF(B1129="","",IFERROR(INDEX(代理店一覧!$B$5:$B$204,MATCH(B1129,代理店一覧!$A$5:$A$204,0)),"※未登録のID"))</f>
        <v/>
      </c>
      <c r="D1129" s="20"/>
      <c r="E1129" s="20"/>
      <c r="F1129" s="20"/>
      <c r="G1129" s="20"/>
      <c r="H1129" s="20"/>
      <c r="I1129" s="21"/>
    </row>
    <row r="1130" customFormat="false" ht="15" hidden="false" customHeight="false" outlineLevel="0" collapsed="false">
      <c r="A1130" s="30"/>
      <c r="B1130" s="21"/>
      <c r="C1130" s="21" t="str">
        <f aca="false">IF(B1130="","",IFERROR(INDEX(代理店一覧!$B$5:$B$204,MATCH(B1130,代理店一覧!$A$5:$A$204,0)),"※未登録のID"))</f>
        <v/>
      </c>
      <c r="D1130" s="20"/>
      <c r="E1130" s="20"/>
      <c r="F1130" s="20"/>
      <c r="G1130" s="20"/>
      <c r="H1130" s="20"/>
      <c r="I1130" s="21"/>
    </row>
    <row r="1131" customFormat="false" ht="15" hidden="false" customHeight="false" outlineLevel="0" collapsed="false">
      <c r="A1131" s="30"/>
      <c r="B1131" s="21"/>
      <c r="C1131" s="21" t="str">
        <f aca="false">IF(B1131="","",IFERROR(INDEX(代理店一覧!$B$5:$B$204,MATCH(B1131,代理店一覧!$A$5:$A$204,0)),"※未登録のID"))</f>
        <v/>
      </c>
      <c r="D1131" s="20"/>
      <c r="E1131" s="20"/>
      <c r="F1131" s="20"/>
      <c r="G1131" s="20"/>
      <c r="H1131" s="20"/>
      <c r="I1131" s="21"/>
    </row>
    <row r="1132" customFormat="false" ht="15" hidden="false" customHeight="false" outlineLevel="0" collapsed="false">
      <c r="A1132" s="30"/>
      <c r="B1132" s="21"/>
      <c r="C1132" s="21" t="str">
        <f aca="false">IF(B1132="","",IFERROR(INDEX(代理店一覧!$B$5:$B$204,MATCH(B1132,代理店一覧!$A$5:$A$204,0)),"※未登録のID"))</f>
        <v/>
      </c>
      <c r="D1132" s="20"/>
      <c r="E1132" s="20"/>
      <c r="F1132" s="20"/>
      <c r="G1132" s="20"/>
      <c r="H1132" s="20"/>
      <c r="I1132" s="21"/>
    </row>
    <row r="1133" customFormat="false" ht="15" hidden="false" customHeight="false" outlineLevel="0" collapsed="false">
      <c r="A1133" s="30"/>
      <c r="B1133" s="21"/>
      <c r="C1133" s="21" t="str">
        <f aca="false">IF(B1133="","",IFERROR(INDEX(代理店一覧!$B$5:$B$204,MATCH(B1133,代理店一覧!$A$5:$A$204,0)),"※未登録のID"))</f>
        <v/>
      </c>
      <c r="D1133" s="20"/>
      <c r="E1133" s="20"/>
      <c r="F1133" s="20"/>
      <c r="G1133" s="20"/>
      <c r="H1133" s="20"/>
      <c r="I1133" s="21"/>
    </row>
    <row r="1134" customFormat="false" ht="15" hidden="false" customHeight="false" outlineLevel="0" collapsed="false">
      <c r="A1134" s="30"/>
      <c r="B1134" s="21"/>
      <c r="C1134" s="21" t="str">
        <f aca="false">IF(B1134="","",IFERROR(INDEX(代理店一覧!$B$5:$B$204,MATCH(B1134,代理店一覧!$A$5:$A$204,0)),"※未登録のID"))</f>
        <v/>
      </c>
      <c r="D1134" s="20"/>
      <c r="E1134" s="20"/>
      <c r="F1134" s="20"/>
      <c r="G1134" s="20"/>
      <c r="H1134" s="20"/>
      <c r="I1134" s="21"/>
    </row>
    <row r="1135" customFormat="false" ht="15" hidden="false" customHeight="false" outlineLevel="0" collapsed="false">
      <c r="A1135" s="30"/>
      <c r="B1135" s="21"/>
      <c r="C1135" s="21" t="str">
        <f aca="false">IF(B1135="","",IFERROR(INDEX(代理店一覧!$B$5:$B$204,MATCH(B1135,代理店一覧!$A$5:$A$204,0)),"※未登録のID"))</f>
        <v/>
      </c>
      <c r="D1135" s="20"/>
      <c r="E1135" s="20"/>
      <c r="F1135" s="20"/>
      <c r="G1135" s="20"/>
      <c r="H1135" s="20"/>
      <c r="I1135" s="21"/>
    </row>
    <row r="1136" customFormat="false" ht="15" hidden="false" customHeight="false" outlineLevel="0" collapsed="false">
      <c r="A1136" s="30"/>
      <c r="B1136" s="21"/>
      <c r="C1136" s="21" t="str">
        <f aca="false">IF(B1136="","",IFERROR(INDEX(代理店一覧!$B$5:$B$204,MATCH(B1136,代理店一覧!$A$5:$A$204,0)),"※未登録のID"))</f>
        <v/>
      </c>
      <c r="D1136" s="20"/>
      <c r="E1136" s="20"/>
      <c r="F1136" s="20"/>
      <c r="G1136" s="20"/>
      <c r="H1136" s="20"/>
      <c r="I1136" s="21"/>
    </row>
    <row r="1137" customFormat="false" ht="15" hidden="false" customHeight="false" outlineLevel="0" collapsed="false">
      <c r="A1137" s="30"/>
      <c r="B1137" s="21"/>
      <c r="C1137" s="21" t="str">
        <f aca="false">IF(B1137="","",IFERROR(INDEX(代理店一覧!$B$5:$B$204,MATCH(B1137,代理店一覧!$A$5:$A$204,0)),"※未登録のID"))</f>
        <v/>
      </c>
      <c r="D1137" s="20"/>
      <c r="E1137" s="20"/>
      <c r="F1137" s="20"/>
      <c r="G1137" s="20"/>
      <c r="H1137" s="20"/>
      <c r="I1137" s="21"/>
    </row>
    <row r="1138" customFormat="false" ht="15" hidden="false" customHeight="false" outlineLevel="0" collapsed="false">
      <c r="A1138" s="30"/>
      <c r="B1138" s="21"/>
      <c r="C1138" s="21" t="str">
        <f aca="false">IF(B1138="","",IFERROR(INDEX(代理店一覧!$B$5:$B$204,MATCH(B1138,代理店一覧!$A$5:$A$204,0)),"※未登録のID"))</f>
        <v/>
      </c>
      <c r="D1138" s="20"/>
      <c r="E1138" s="20"/>
      <c r="F1138" s="20"/>
      <c r="G1138" s="20"/>
      <c r="H1138" s="20"/>
      <c r="I1138" s="21"/>
    </row>
    <row r="1139" customFormat="false" ht="15" hidden="false" customHeight="false" outlineLevel="0" collapsed="false">
      <c r="A1139" s="30"/>
      <c r="B1139" s="21"/>
      <c r="C1139" s="21" t="str">
        <f aca="false">IF(B1139="","",IFERROR(INDEX(代理店一覧!$B$5:$B$204,MATCH(B1139,代理店一覧!$A$5:$A$204,0)),"※未登録のID"))</f>
        <v/>
      </c>
      <c r="D1139" s="20"/>
      <c r="E1139" s="20"/>
      <c r="F1139" s="20"/>
      <c r="G1139" s="20"/>
      <c r="H1139" s="20"/>
      <c r="I1139" s="21"/>
    </row>
    <row r="1140" customFormat="false" ht="15" hidden="false" customHeight="false" outlineLevel="0" collapsed="false">
      <c r="A1140" s="30"/>
      <c r="B1140" s="21"/>
      <c r="C1140" s="21" t="str">
        <f aca="false">IF(B1140="","",IFERROR(INDEX(代理店一覧!$B$5:$B$204,MATCH(B1140,代理店一覧!$A$5:$A$204,0)),"※未登録のID"))</f>
        <v/>
      </c>
      <c r="D1140" s="20"/>
      <c r="E1140" s="20"/>
      <c r="F1140" s="20"/>
      <c r="G1140" s="20"/>
      <c r="H1140" s="20"/>
      <c r="I1140" s="21"/>
    </row>
    <row r="1141" customFormat="false" ht="15" hidden="false" customHeight="false" outlineLevel="0" collapsed="false">
      <c r="A1141" s="30"/>
      <c r="B1141" s="21"/>
      <c r="C1141" s="21" t="str">
        <f aca="false">IF(B1141="","",IFERROR(INDEX(代理店一覧!$B$5:$B$204,MATCH(B1141,代理店一覧!$A$5:$A$204,0)),"※未登録のID"))</f>
        <v/>
      </c>
      <c r="D1141" s="20"/>
      <c r="E1141" s="20"/>
      <c r="F1141" s="20"/>
      <c r="G1141" s="20"/>
      <c r="H1141" s="20"/>
      <c r="I1141" s="21"/>
    </row>
    <row r="1142" customFormat="false" ht="15" hidden="false" customHeight="false" outlineLevel="0" collapsed="false">
      <c r="A1142" s="30"/>
      <c r="B1142" s="21"/>
      <c r="C1142" s="21" t="str">
        <f aca="false">IF(B1142="","",IFERROR(INDEX(代理店一覧!$B$5:$B$204,MATCH(B1142,代理店一覧!$A$5:$A$204,0)),"※未登録のID"))</f>
        <v/>
      </c>
      <c r="D1142" s="20"/>
      <c r="E1142" s="20"/>
      <c r="F1142" s="20"/>
      <c r="G1142" s="20"/>
      <c r="H1142" s="20"/>
      <c r="I1142" s="21"/>
    </row>
    <row r="1143" customFormat="false" ht="15" hidden="false" customHeight="false" outlineLevel="0" collapsed="false">
      <c r="A1143" s="30"/>
      <c r="B1143" s="21"/>
      <c r="C1143" s="21" t="str">
        <f aca="false">IF(B1143="","",IFERROR(INDEX(代理店一覧!$B$5:$B$204,MATCH(B1143,代理店一覧!$A$5:$A$204,0)),"※未登録のID"))</f>
        <v/>
      </c>
      <c r="D1143" s="20"/>
      <c r="E1143" s="20"/>
      <c r="F1143" s="20"/>
      <c r="G1143" s="20"/>
      <c r="H1143" s="20"/>
      <c r="I1143" s="21"/>
    </row>
    <row r="1144" customFormat="false" ht="15" hidden="false" customHeight="false" outlineLevel="0" collapsed="false">
      <c r="A1144" s="30"/>
      <c r="B1144" s="21"/>
      <c r="C1144" s="21" t="str">
        <f aca="false">IF(B1144="","",IFERROR(INDEX(代理店一覧!$B$5:$B$204,MATCH(B1144,代理店一覧!$A$5:$A$204,0)),"※未登録のID"))</f>
        <v/>
      </c>
      <c r="D1144" s="20"/>
      <c r="E1144" s="20"/>
      <c r="F1144" s="20"/>
      <c r="G1144" s="20"/>
      <c r="H1144" s="20"/>
      <c r="I1144" s="21"/>
    </row>
    <row r="1145" customFormat="false" ht="15" hidden="false" customHeight="false" outlineLevel="0" collapsed="false">
      <c r="A1145" s="30"/>
      <c r="B1145" s="21"/>
      <c r="C1145" s="21" t="str">
        <f aca="false">IF(B1145="","",IFERROR(INDEX(代理店一覧!$B$5:$B$204,MATCH(B1145,代理店一覧!$A$5:$A$204,0)),"※未登録のID"))</f>
        <v/>
      </c>
      <c r="D1145" s="20"/>
      <c r="E1145" s="20"/>
      <c r="F1145" s="20"/>
      <c r="G1145" s="20"/>
      <c r="H1145" s="20"/>
      <c r="I1145" s="21"/>
    </row>
    <row r="1146" customFormat="false" ht="15" hidden="false" customHeight="false" outlineLevel="0" collapsed="false">
      <c r="A1146" s="30"/>
      <c r="B1146" s="21"/>
      <c r="C1146" s="21" t="str">
        <f aca="false">IF(B1146="","",IFERROR(INDEX(代理店一覧!$B$5:$B$204,MATCH(B1146,代理店一覧!$A$5:$A$204,0)),"※未登録のID"))</f>
        <v/>
      </c>
      <c r="D1146" s="20"/>
      <c r="E1146" s="20"/>
      <c r="F1146" s="20"/>
      <c r="G1146" s="20"/>
      <c r="H1146" s="20"/>
      <c r="I1146" s="21"/>
    </row>
    <row r="1147" customFormat="false" ht="15" hidden="false" customHeight="false" outlineLevel="0" collapsed="false">
      <c r="A1147" s="30"/>
      <c r="B1147" s="21"/>
      <c r="C1147" s="21" t="str">
        <f aca="false">IF(B1147="","",IFERROR(INDEX(代理店一覧!$B$5:$B$204,MATCH(B1147,代理店一覧!$A$5:$A$204,0)),"※未登録のID"))</f>
        <v/>
      </c>
      <c r="D1147" s="20"/>
      <c r="E1147" s="20"/>
      <c r="F1147" s="20"/>
      <c r="G1147" s="20"/>
      <c r="H1147" s="20"/>
      <c r="I1147" s="21"/>
    </row>
    <row r="1148" customFormat="false" ht="15" hidden="false" customHeight="false" outlineLevel="0" collapsed="false">
      <c r="A1148" s="30"/>
      <c r="B1148" s="21"/>
      <c r="C1148" s="21" t="str">
        <f aca="false">IF(B1148="","",IFERROR(INDEX(代理店一覧!$B$5:$B$204,MATCH(B1148,代理店一覧!$A$5:$A$204,0)),"※未登録のID"))</f>
        <v/>
      </c>
      <c r="D1148" s="20"/>
      <c r="E1148" s="20"/>
      <c r="F1148" s="20"/>
      <c r="G1148" s="20"/>
      <c r="H1148" s="20"/>
      <c r="I1148" s="21"/>
    </row>
    <row r="1149" customFormat="false" ht="15" hidden="false" customHeight="false" outlineLevel="0" collapsed="false">
      <c r="A1149" s="30"/>
      <c r="B1149" s="21"/>
      <c r="C1149" s="21" t="str">
        <f aca="false">IF(B1149="","",IFERROR(INDEX(代理店一覧!$B$5:$B$204,MATCH(B1149,代理店一覧!$A$5:$A$204,0)),"※未登録のID"))</f>
        <v/>
      </c>
      <c r="D1149" s="20"/>
      <c r="E1149" s="20"/>
      <c r="F1149" s="20"/>
      <c r="G1149" s="20"/>
      <c r="H1149" s="20"/>
      <c r="I1149" s="21"/>
    </row>
    <row r="1150" customFormat="false" ht="15" hidden="false" customHeight="false" outlineLevel="0" collapsed="false">
      <c r="A1150" s="30"/>
      <c r="B1150" s="21"/>
      <c r="C1150" s="21" t="str">
        <f aca="false">IF(B1150="","",IFERROR(INDEX(代理店一覧!$B$5:$B$204,MATCH(B1150,代理店一覧!$A$5:$A$204,0)),"※未登録のID"))</f>
        <v/>
      </c>
      <c r="D1150" s="20"/>
      <c r="E1150" s="20"/>
      <c r="F1150" s="20"/>
      <c r="G1150" s="20"/>
      <c r="H1150" s="20"/>
      <c r="I1150" s="21"/>
    </row>
    <row r="1151" customFormat="false" ht="15" hidden="false" customHeight="false" outlineLevel="0" collapsed="false">
      <c r="A1151" s="30"/>
      <c r="B1151" s="21"/>
      <c r="C1151" s="21" t="str">
        <f aca="false">IF(B1151="","",IFERROR(INDEX(代理店一覧!$B$5:$B$204,MATCH(B1151,代理店一覧!$A$5:$A$204,0)),"※未登録のID"))</f>
        <v/>
      </c>
      <c r="D1151" s="20"/>
      <c r="E1151" s="20"/>
      <c r="F1151" s="20"/>
      <c r="G1151" s="20"/>
      <c r="H1151" s="20"/>
      <c r="I1151" s="21"/>
    </row>
    <row r="1152" customFormat="false" ht="15" hidden="false" customHeight="false" outlineLevel="0" collapsed="false">
      <c r="A1152" s="30"/>
      <c r="B1152" s="21"/>
      <c r="C1152" s="21" t="str">
        <f aca="false">IF(B1152="","",IFERROR(INDEX(代理店一覧!$B$5:$B$204,MATCH(B1152,代理店一覧!$A$5:$A$204,0)),"※未登録のID"))</f>
        <v/>
      </c>
      <c r="D1152" s="20"/>
      <c r="E1152" s="20"/>
      <c r="F1152" s="20"/>
      <c r="G1152" s="20"/>
      <c r="H1152" s="20"/>
      <c r="I1152" s="21"/>
    </row>
    <row r="1153" customFormat="false" ht="15" hidden="false" customHeight="false" outlineLevel="0" collapsed="false">
      <c r="A1153" s="30"/>
      <c r="B1153" s="21"/>
      <c r="C1153" s="21" t="str">
        <f aca="false">IF(B1153="","",IFERROR(INDEX(代理店一覧!$B$5:$B$204,MATCH(B1153,代理店一覧!$A$5:$A$204,0)),"※未登録のID"))</f>
        <v/>
      </c>
      <c r="D1153" s="20"/>
      <c r="E1153" s="20"/>
      <c r="F1153" s="20"/>
      <c r="G1153" s="20"/>
      <c r="H1153" s="20"/>
      <c r="I1153" s="21"/>
    </row>
    <row r="1154" customFormat="false" ht="15" hidden="false" customHeight="false" outlineLevel="0" collapsed="false">
      <c r="A1154" s="30"/>
      <c r="B1154" s="21"/>
      <c r="C1154" s="21" t="str">
        <f aca="false">IF(B1154="","",IFERROR(INDEX(代理店一覧!$B$5:$B$204,MATCH(B1154,代理店一覧!$A$5:$A$204,0)),"※未登録のID"))</f>
        <v/>
      </c>
      <c r="D1154" s="20"/>
      <c r="E1154" s="20"/>
      <c r="F1154" s="20"/>
      <c r="G1154" s="20"/>
      <c r="H1154" s="20"/>
      <c r="I1154" s="21"/>
    </row>
    <row r="1155" customFormat="false" ht="15" hidden="false" customHeight="false" outlineLevel="0" collapsed="false">
      <c r="A1155" s="30"/>
      <c r="B1155" s="21"/>
      <c r="C1155" s="21" t="str">
        <f aca="false">IF(B1155="","",IFERROR(INDEX(代理店一覧!$B$5:$B$204,MATCH(B1155,代理店一覧!$A$5:$A$204,0)),"※未登録のID"))</f>
        <v/>
      </c>
      <c r="D1155" s="20"/>
      <c r="E1155" s="20"/>
      <c r="F1155" s="20"/>
      <c r="G1155" s="20"/>
      <c r="H1155" s="20"/>
      <c r="I1155" s="21"/>
    </row>
    <row r="1156" customFormat="false" ht="15" hidden="false" customHeight="false" outlineLevel="0" collapsed="false">
      <c r="A1156" s="30"/>
      <c r="B1156" s="21"/>
      <c r="C1156" s="21" t="str">
        <f aca="false">IF(B1156="","",IFERROR(INDEX(代理店一覧!$B$5:$B$204,MATCH(B1156,代理店一覧!$A$5:$A$204,0)),"※未登録のID"))</f>
        <v/>
      </c>
      <c r="D1156" s="20"/>
      <c r="E1156" s="20"/>
      <c r="F1156" s="20"/>
      <c r="G1156" s="20"/>
      <c r="H1156" s="20"/>
      <c r="I1156" s="21"/>
    </row>
    <row r="1157" customFormat="false" ht="15" hidden="false" customHeight="false" outlineLevel="0" collapsed="false">
      <c r="A1157" s="30"/>
      <c r="B1157" s="21"/>
      <c r="C1157" s="21" t="str">
        <f aca="false">IF(B1157="","",IFERROR(INDEX(代理店一覧!$B$5:$B$204,MATCH(B1157,代理店一覧!$A$5:$A$204,0)),"※未登録のID"))</f>
        <v/>
      </c>
      <c r="D1157" s="20"/>
      <c r="E1157" s="20"/>
      <c r="F1157" s="20"/>
      <c r="G1157" s="20"/>
      <c r="H1157" s="20"/>
      <c r="I1157" s="21"/>
    </row>
    <row r="1158" customFormat="false" ht="15" hidden="false" customHeight="false" outlineLevel="0" collapsed="false">
      <c r="A1158" s="30"/>
      <c r="B1158" s="21"/>
      <c r="C1158" s="21" t="str">
        <f aca="false">IF(B1158="","",IFERROR(INDEX(代理店一覧!$B$5:$B$204,MATCH(B1158,代理店一覧!$A$5:$A$204,0)),"※未登録のID"))</f>
        <v/>
      </c>
      <c r="D1158" s="20"/>
      <c r="E1158" s="20"/>
      <c r="F1158" s="20"/>
      <c r="G1158" s="20"/>
      <c r="H1158" s="20"/>
      <c r="I1158" s="21"/>
    </row>
    <row r="1159" customFormat="false" ht="15" hidden="false" customHeight="false" outlineLevel="0" collapsed="false">
      <c r="A1159" s="30"/>
      <c r="B1159" s="21"/>
      <c r="C1159" s="21" t="str">
        <f aca="false">IF(B1159="","",IFERROR(INDEX(代理店一覧!$B$5:$B$204,MATCH(B1159,代理店一覧!$A$5:$A$204,0)),"※未登録のID"))</f>
        <v/>
      </c>
      <c r="D1159" s="20"/>
      <c r="E1159" s="20"/>
      <c r="F1159" s="20"/>
      <c r="G1159" s="20"/>
      <c r="H1159" s="20"/>
      <c r="I1159" s="21"/>
    </row>
    <row r="1160" customFormat="false" ht="15" hidden="false" customHeight="false" outlineLevel="0" collapsed="false">
      <c r="A1160" s="30"/>
      <c r="B1160" s="21"/>
      <c r="C1160" s="21" t="str">
        <f aca="false">IF(B1160="","",IFERROR(INDEX(代理店一覧!$B$5:$B$204,MATCH(B1160,代理店一覧!$A$5:$A$204,0)),"※未登録のID"))</f>
        <v/>
      </c>
      <c r="D1160" s="20"/>
      <c r="E1160" s="20"/>
      <c r="F1160" s="20"/>
      <c r="G1160" s="20"/>
      <c r="H1160" s="20"/>
      <c r="I1160" s="21"/>
    </row>
    <row r="1161" customFormat="false" ht="15" hidden="false" customHeight="false" outlineLevel="0" collapsed="false">
      <c r="A1161" s="30"/>
      <c r="B1161" s="21"/>
      <c r="C1161" s="21" t="str">
        <f aca="false">IF(B1161="","",IFERROR(INDEX(代理店一覧!$B$5:$B$204,MATCH(B1161,代理店一覧!$A$5:$A$204,0)),"※未登録のID"))</f>
        <v/>
      </c>
      <c r="D1161" s="20"/>
      <c r="E1161" s="20"/>
      <c r="F1161" s="20"/>
      <c r="G1161" s="20"/>
      <c r="H1161" s="20"/>
      <c r="I1161" s="21"/>
    </row>
    <row r="1162" customFormat="false" ht="15" hidden="false" customHeight="false" outlineLevel="0" collapsed="false">
      <c r="A1162" s="30"/>
      <c r="B1162" s="21"/>
      <c r="C1162" s="21" t="str">
        <f aca="false">IF(B1162="","",IFERROR(INDEX(代理店一覧!$B$5:$B$204,MATCH(B1162,代理店一覧!$A$5:$A$204,0)),"※未登録のID"))</f>
        <v/>
      </c>
      <c r="D1162" s="20"/>
      <c r="E1162" s="20"/>
      <c r="F1162" s="20"/>
      <c r="G1162" s="20"/>
      <c r="H1162" s="20"/>
      <c r="I1162" s="21"/>
    </row>
    <row r="1163" customFormat="false" ht="15" hidden="false" customHeight="false" outlineLevel="0" collapsed="false">
      <c r="A1163" s="30"/>
      <c r="B1163" s="21"/>
      <c r="C1163" s="21" t="str">
        <f aca="false">IF(B1163="","",IFERROR(INDEX(代理店一覧!$B$5:$B$204,MATCH(B1163,代理店一覧!$A$5:$A$204,0)),"※未登録のID"))</f>
        <v/>
      </c>
      <c r="D1163" s="20"/>
      <c r="E1163" s="20"/>
      <c r="F1163" s="20"/>
      <c r="G1163" s="20"/>
      <c r="H1163" s="20"/>
      <c r="I1163" s="21"/>
    </row>
    <row r="1164" customFormat="false" ht="15" hidden="false" customHeight="false" outlineLevel="0" collapsed="false">
      <c r="A1164" s="30"/>
      <c r="B1164" s="21"/>
      <c r="C1164" s="21" t="str">
        <f aca="false">IF(B1164="","",IFERROR(INDEX(代理店一覧!$B$5:$B$204,MATCH(B1164,代理店一覧!$A$5:$A$204,0)),"※未登録のID"))</f>
        <v/>
      </c>
      <c r="D1164" s="20"/>
      <c r="E1164" s="20"/>
      <c r="F1164" s="20"/>
      <c r="G1164" s="20"/>
      <c r="H1164" s="20"/>
      <c r="I1164" s="21"/>
    </row>
    <row r="1165" customFormat="false" ht="15" hidden="false" customHeight="false" outlineLevel="0" collapsed="false">
      <c r="A1165" s="30"/>
      <c r="B1165" s="21"/>
      <c r="C1165" s="21" t="str">
        <f aca="false">IF(B1165="","",IFERROR(INDEX(代理店一覧!$B$5:$B$204,MATCH(B1165,代理店一覧!$A$5:$A$204,0)),"※未登録のID"))</f>
        <v/>
      </c>
      <c r="D1165" s="20"/>
      <c r="E1165" s="20"/>
      <c r="F1165" s="20"/>
      <c r="G1165" s="20"/>
      <c r="H1165" s="20"/>
      <c r="I1165" s="21"/>
    </row>
    <row r="1166" customFormat="false" ht="15" hidden="false" customHeight="false" outlineLevel="0" collapsed="false">
      <c r="A1166" s="30"/>
      <c r="B1166" s="21"/>
      <c r="C1166" s="21" t="str">
        <f aca="false">IF(B1166="","",IFERROR(INDEX(代理店一覧!$B$5:$B$204,MATCH(B1166,代理店一覧!$A$5:$A$204,0)),"※未登録のID"))</f>
        <v/>
      </c>
      <c r="D1166" s="20"/>
      <c r="E1166" s="20"/>
      <c r="F1166" s="20"/>
      <c r="G1166" s="20"/>
      <c r="H1166" s="20"/>
      <c r="I1166" s="21"/>
    </row>
    <row r="1167" customFormat="false" ht="15" hidden="false" customHeight="false" outlineLevel="0" collapsed="false">
      <c r="A1167" s="30"/>
      <c r="B1167" s="21"/>
      <c r="C1167" s="21" t="str">
        <f aca="false">IF(B1167="","",IFERROR(INDEX(代理店一覧!$B$5:$B$204,MATCH(B1167,代理店一覧!$A$5:$A$204,0)),"※未登録のID"))</f>
        <v/>
      </c>
      <c r="D1167" s="20"/>
      <c r="E1167" s="20"/>
      <c r="F1167" s="20"/>
      <c r="G1167" s="20"/>
      <c r="H1167" s="20"/>
      <c r="I1167" s="21"/>
    </row>
    <row r="1168" customFormat="false" ht="15" hidden="false" customHeight="false" outlineLevel="0" collapsed="false">
      <c r="A1168" s="30"/>
      <c r="B1168" s="21"/>
      <c r="C1168" s="21" t="str">
        <f aca="false">IF(B1168="","",IFERROR(INDEX(代理店一覧!$B$5:$B$204,MATCH(B1168,代理店一覧!$A$5:$A$204,0)),"※未登録のID"))</f>
        <v/>
      </c>
      <c r="D1168" s="20"/>
      <c r="E1168" s="20"/>
      <c r="F1168" s="20"/>
      <c r="G1168" s="20"/>
      <c r="H1168" s="20"/>
      <c r="I1168" s="21"/>
    </row>
    <row r="1169" customFormat="false" ht="15" hidden="false" customHeight="false" outlineLevel="0" collapsed="false">
      <c r="A1169" s="30"/>
      <c r="B1169" s="21"/>
      <c r="C1169" s="21" t="str">
        <f aca="false">IF(B1169="","",IFERROR(INDEX(代理店一覧!$B$5:$B$204,MATCH(B1169,代理店一覧!$A$5:$A$204,0)),"※未登録のID"))</f>
        <v/>
      </c>
      <c r="D1169" s="20"/>
      <c r="E1169" s="20"/>
      <c r="F1169" s="20"/>
      <c r="G1169" s="20"/>
      <c r="H1169" s="20"/>
      <c r="I1169" s="21"/>
    </row>
    <row r="1170" customFormat="false" ht="15" hidden="false" customHeight="false" outlineLevel="0" collapsed="false">
      <c r="A1170" s="30"/>
      <c r="B1170" s="21"/>
      <c r="C1170" s="21" t="str">
        <f aca="false">IF(B1170="","",IFERROR(INDEX(代理店一覧!$B$5:$B$204,MATCH(B1170,代理店一覧!$A$5:$A$204,0)),"※未登録のID"))</f>
        <v/>
      </c>
      <c r="D1170" s="20"/>
      <c r="E1170" s="20"/>
      <c r="F1170" s="20"/>
      <c r="G1170" s="20"/>
      <c r="H1170" s="20"/>
      <c r="I1170" s="21"/>
    </row>
    <row r="1171" customFormat="false" ht="15" hidden="false" customHeight="false" outlineLevel="0" collapsed="false">
      <c r="A1171" s="30"/>
      <c r="B1171" s="21"/>
      <c r="C1171" s="21" t="str">
        <f aca="false">IF(B1171="","",IFERROR(INDEX(代理店一覧!$B$5:$B$204,MATCH(B1171,代理店一覧!$A$5:$A$204,0)),"※未登録のID"))</f>
        <v/>
      </c>
      <c r="D1171" s="20"/>
      <c r="E1171" s="20"/>
      <c r="F1171" s="20"/>
      <c r="G1171" s="20"/>
      <c r="H1171" s="20"/>
      <c r="I1171" s="21"/>
    </row>
    <row r="1172" customFormat="false" ht="15" hidden="false" customHeight="false" outlineLevel="0" collapsed="false">
      <c r="A1172" s="30"/>
      <c r="B1172" s="21"/>
      <c r="C1172" s="21" t="str">
        <f aca="false">IF(B1172="","",IFERROR(INDEX(代理店一覧!$B$5:$B$204,MATCH(B1172,代理店一覧!$A$5:$A$204,0)),"※未登録のID"))</f>
        <v/>
      </c>
      <c r="D1172" s="20"/>
      <c r="E1172" s="20"/>
      <c r="F1172" s="20"/>
      <c r="G1172" s="20"/>
      <c r="H1172" s="20"/>
      <c r="I1172" s="21"/>
    </row>
    <row r="1173" customFormat="false" ht="15" hidden="false" customHeight="false" outlineLevel="0" collapsed="false">
      <c r="A1173" s="30"/>
      <c r="B1173" s="21"/>
      <c r="C1173" s="21" t="str">
        <f aca="false">IF(B1173="","",IFERROR(INDEX(代理店一覧!$B$5:$B$204,MATCH(B1173,代理店一覧!$A$5:$A$204,0)),"※未登録のID"))</f>
        <v/>
      </c>
      <c r="D1173" s="20"/>
      <c r="E1173" s="20"/>
      <c r="F1173" s="20"/>
      <c r="G1173" s="20"/>
      <c r="H1173" s="20"/>
      <c r="I1173" s="21"/>
    </row>
    <row r="1174" customFormat="false" ht="15" hidden="false" customHeight="false" outlineLevel="0" collapsed="false">
      <c r="A1174" s="30"/>
      <c r="B1174" s="21"/>
      <c r="C1174" s="21" t="str">
        <f aca="false">IF(B1174="","",IFERROR(INDEX(代理店一覧!$B$5:$B$204,MATCH(B1174,代理店一覧!$A$5:$A$204,0)),"※未登録のID"))</f>
        <v/>
      </c>
      <c r="D1174" s="20"/>
      <c r="E1174" s="20"/>
      <c r="F1174" s="20"/>
      <c r="G1174" s="20"/>
      <c r="H1174" s="20"/>
      <c r="I1174" s="21"/>
    </row>
    <row r="1175" customFormat="false" ht="15" hidden="false" customHeight="false" outlineLevel="0" collapsed="false">
      <c r="A1175" s="30"/>
      <c r="B1175" s="21"/>
      <c r="C1175" s="21" t="str">
        <f aca="false">IF(B1175="","",IFERROR(INDEX(代理店一覧!$B$5:$B$204,MATCH(B1175,代理店一覧!$A$5:$A$204,0)),"※未登録のID"))</f>
        <v/>
      </c>
      <c r="D1175" s="20"/>
      <c r="E1175" s="20"/>
      <c r="F1175" s="20"/>
      <c r="G1175" s="20"/>
      <c r="H1175" s="20"/>
      <c r="I1175" s="21"/>
    </row>
    <row r="1176" customFormat="false" ht="15" hidden="false" customHeight="false" outlineLevel="0" collapsed="false">
      <c r="A1176" s="30"/>
      <c r="B1176" s="21"/>
      <c r="C1176" s="21" t="str">
        <f aca="false">IF(B1176="","",IFERROR(INDEX(代理店一覧!$B$5:$B$204,MATCH(B1176,代理店一覧!$A$5:$A$204,0)),"※未登録のID"))</f>
        <v/>
      </c>
      <c r="D1176" s="20"/>
      <c r="E1176" s="20"/>
      <c r="F1176" s="20"/>
      <c r="G1176" s="20"/>
      <c r="H1176" s="20"/>
      <c r="I1176" s="21"/>
    </row>
    <row r="1177" customFormat="false" ht="15" hidden="false" customHeight="false" outlineLevel="0" collapsed="false">
      <c r="A1177" s="30"/>
      <c r="B1177" s="21"/>
      <c r="C1177" s="21" t="str">
        <f aca="false">IF(B1177="","",IFERROR(INDEX(代理店一覧!$B$5:$B$204,MATCH(B1177,代理店一覧!$A$5:$A$204,0)),"※未登録のID"))</f>
        <v/>
      </c>
      <c r="D1177" s="20"/>
      <c r="E1177" s="20"/>
      <c r="F1177" s="20"/>
      <c r="G1177" s="20"/>
      <c r="H1177" s="20"/>
      <c r="I1177" s="21"/>
    </row>
    <row r="1178" customFormat="false" ht="15" hidden="false" customHeight="false" outlineLevel="0" collapsed="false">
      <c r="A1178" s="30"/>
      <c r="B1178" s="21"/>
      <c r="C1178" s="21" t="str">
        <f aca="false">IF(B1178="","",IFERROR(INDEX(代理店一覧!$B$5:$B$204,MATCH(B1178,代理店一覧!$A$5:$A$204,0)),"※未登録のID"))</f>
        <v/>
      </c>
      <c r="D1178" s="20"/>
      <c r="E1178" s="20"/>
      <c r="F1178" s="20"/>
      <c r="G1178" s="20"/>
      <c r="H1178" s="20"/>
      <c r="I1178" s="21"/>
    </row>
    <row r="1179" customFormat="false" ht="15" hidden="false" customHeight="false" outlineLevel="0" collapsed="false">
      <c r="A1179" s="30"/>
      <c r="B1179" s="21"/>
      <c r="C1179" s="21" t="str">
        <f aca="false">IF(B1179="","",IFERROR(INDEX(代理店一覧!$B$5:$B$204,MATCH(B1179,代理店一覧!$A$5:$A$204,0)),"※未登録のID"))</f>
        <v/>
      </c>
      <c r="D1179" s="20"/>
      <c r="E1179" s="20"/>
      <c r="F1179" s="20"/>
      <c r="G1179" s="20"/>
      <c r="H1179" s="20"/>
      <c r="I1179" s="21"/>
    </row>
    <row r="1180" customFormat="false" ht="15" hidden="false" customHeight="false" outlineLevel="0" collapsed="false">
      <c r="A1180" s="30"/>
      <c r="B1180" s="21"/>
      <c r="C1180" s="21" t="str">
        <f aca="false">IF(B1180="","",IFERROR(INDEX(代理店一覧!$B$5:$B$204,MATCH(B1180,代理店一覧!$A$5:$A$204,0)),"※未登録のID"))</f>
        <v/>
      </c>
      <c r="D1180" s="20"/>
      <c r="E1180" s="20"/>
      <c r="F1180" s="20"/>
      <c r="G1180" s="20"/>
      <c r="H1180" s="20"/>
      <c r="I1180" s="21"/>
    </row>
    <row r="1181" customFormat="false" ht="15" hidden="false" customHeight="false" outlineLevel="0" collapsed="false">
      <c r="A1181" s="30"/>
      <c r="B1181" s="21"/>
      <c r="C1181" s="21" t="str">
        <f aca="false">IF(B1181="","",IFERROR(INDEX(代理店一覧!$B$5:$B$204,MATCH(B1181,代理店一覧!$A$5:$A$204,0)),"※未登録のID"))</f>
        <v/>
      </c>
      <c r="D1181" s="20"/>
      <c r="E1181" s="20"/>
      <c r="F1181" s="20"/>
      <c r="G1181" s="20"/>
      <c r="H1181" s="20"/>
      <c r="I1181" s="21"/>
    </row>
    <row r="1182" customFormat="false" ht="15" hidden="false" customHeight="false" outlineLevel="0" collapsed="false">
      <c r="A1182" s="30"/>
      <c r="B1182" s="21"/>
      <c r="C1182" s="21" t="str">
        <f aca="false">IF(B1182="","",IFERROR(INDEX(代理店一覧!$B$5:$B$204,MATCH(B1182,代理店一覧!$A$5:$A$204,0)),"※未登録のID"))</f>
        <v/>
      </c>
      <c r="D1182" s="20"/>
      <c r="E1182" s="20"/>
      <c r="F1182" s="20"/>
      <c r="G1182" s="20"/>
      <c r="H1182" s="20"/>
      <c r="I1182" s="21"/>
    </row>
    <row r="1183" customFormat="false" ht="15" hidden="false" customHeight="false" outlineLevel="0" collapsed="false">
      <c r="A1183" s="30"/>
      <c r="B1183" s="21"/>
      <c r="C1183" s="21" t="str">
        <f aca="false">IF(B1183="","",IFERROR(INDEX(代理店一覧!$B$5:$B$204,MATCH(B1183,代理店一覧!$A$5:$A$204,0)),"※未登録のID"))</f>
        <v/>
      </c>
      <c r="D1183" s="20"/>
      <c r="E1183" s="20"/>
      <c r="F1183" s="20"/>
      <c r="G1183" s="20"/>
      <c r="H1183" s="20"/>
      <c r="I1183" s="21"/>
    </row>
    <row r="1184" customFormat="false" ht="15" hidden="false" customHeight="false" outlineLevel="0" collapsed="false">
      <c r="A1184" s="30"/>
      <c r="B1184" s="21"/>
      <c r="C1184" s="21" t="str">
        <f aca="false">IF(B1184="","",IFERROR(INDEX(代理店一覧!$B$5:$B$204,MATCH(B1184,代理店一覧!$A$5:$A$204,0)),"※未登録のID"))</f>
        <v/>
      </c>
      <c r="D1184" s="20"/>
      <c r="E1184" s="20"/>
      <c r="F1184" s="20"/>
      <c r="G1184" s="20"/>
      <c r="H1184" s="20"/>
      <c r="I1184" s="21"/>
    </row>
    <row r="1185" customFormat="false" ht="15" hidden="false" customHeight="false" outlineLevel="0" collapsed="false">
      <c r="A1185" s="30"/>
      <c r="B1185" s="21"/>
      <c r="C1185" s="21" t="str">
        <f aca="false">IF(B1185="","",IFERROR(INDEX(代理店一覧!$B$5:$B$204,MATCH(B1185,代理店一覧!$A$5:$A$204,0)),"※未登録のID"))</f>
        <v/>
      </c>
      <c r="D1185" s="20"/>
      <c r="E1185" s="20"/>
      <c r="F1185" s="20"/>
      <c r="G1185" s="20"/>
      <c r="H1185" s="20"/>
      <c r="I1185" s="21"/>
    </row>
    <row r="1186" customFormat="false" ht="15" hidden="false" customHeight="false" outlineLevel="0" collapsed="false">
      <c r="A1186" s="30"/>
      <c r="B1186" s="21"/>
      <c r="C1186" s="21" t="str">
        <f aca="false">IF(B1186="","",IFERROR(INDEX(代理店一覧!$B$5:$B$204,MATCH(B1186,代理店一覧!$A$5:$A$204,0)),"※未登録のID"))</f>
        <v/>
      </c>
      <c r="D1186" s="20"/>
      <c r="E1186" s="20"/>
      <c r="F1186" s="20"/>
      <c r="G1186" s="20"/>
      <c r="H1186" s="20"/>
      <c r="I1186" s="21"/>
    </row>
    <row r="1187" customFormat="false" ht="15" hidden="false" customHeight="false" outlineLevel="0" collapsed="false">
      <c r="A1187" s="30"/>
      <c r="B1187" s="21"/>
      <c r="C1187" s="21" t="str">
        <f aca="false">IF(B1187="","",IFERROR(INDEX(代理店一覧!$B$5:$B$204,MATCH(B1187,代理店一覧!$A$5:$A$204,0)),"※未登録のID"))</f>
        <v/>
      </c>
      <c r="D1187" s="20"/>
      <c r="E1187" s="20"/>
      <c r="F1187" s="20"/>
      <c r="G1187" s="20"/>
      <c r="H1187" s="20"/>
      <c r="I1187" s="21"/>
    </row>
    <row r="1188" customFormat="false" ht="15" hidden="false" customHeight="false" outlineLevel="0" collapsed="false">
      <c r="A1188" s="30"/>
      <c r="B1188" s="21"/>
      <c r="C1188" s="21" t="str">
        <f aca="false">IF(B1188="","",IFERROR(INDEX(代理店一覧!$B$5:$B$204,MATCH(B1188,代理店一覧!$A$5:$A$204,0)),"※未登録のID"))</f>
        <v/>
      </c>
      <c r="D1188" s="20"/>
      <c r="E1188" s="20"/>
      <c r="F1188" s="20"/>
      <c r="G1188" s="20"/>
      <c r="H1188" s="20"/>
      <c r="I1188" s="21"/>
    </row>
    <row r="1189" customFormat="false" ht="15" hidden="false" customHeight="false" outlineLevel="0" collapsed="false">
      <c r="A1189" s="30"/>
      <c r="B1189" s="21"/>
      <c r="C1189" s="21" t="str">
        <f aca="false">IF(B1189="","",IFERROR(INDEX(代理店一覧!$B$5:$B$204,MATCH(B1189,代理店一覧!$A$5:$A$204,0)),"※未登録のID"))</f>
        <v/>
      </c>
      <c r="D1189" s="20"/>
      <c r="E1189" s="20"/>
      <c r="F1189" s="20"/>
      <c r="G1189" s="20"/>
      <c r="H1189" s="20"/>
      <c r="I1189" s="21"/>
    </row>
    <row r="1190" customFormat="false" ht="15" hidden="false" customHeight="false" outlineLevel="0" collapsed="false">
      <c r="A1190" s="30"/>
      <c r="B1190" s="21"/>
      <c r="C1190" s="21" t="str">
        <f aca="false">IF(B1190="","",IFERROR(INDEX(代理店一覧!$B$5:$B$204,MATCH(B1190,代理店一覧!$A$5:$A$204,0)),"※未登録のID"))</f>
        <v/>
      </c>
      <c r="D1190" s="20"/>
      <c r="E1190" s="20"/>
      <c r="F1190" s="20"/>
      <c r="G1190" s="20"/>
      <c r="H1190" s="20"/>
      <c r="I1190" s="21"/>
    </row>
    <row r="1191" customFormat="false" ht="15" hidden="false" customHeight="false" outlineLevel="0" collapsed="false">
      <c r="A1191" s="30"/>
      <c r="B1191" s="21"/>
      <c r="C1191" s="21" t="str">
        <f aca="false">IF(B1191="","",IFERROR(INDEX(代理店一覧!$B$5:$B$204,MATCH(B1191,代理店一覧!$A$5:$A$204,0)),"※未登録のID"))</f>
        <v/>
      </c>
      <c r="D1191" s="20"/>
      <c r="E1191" s="20"/>
      <c r="F1191" s="20"/>
      <c r="G1191" s="20"/>
      <c r="H1191" s="20"/>
      <c r="I1191" s="21"/>
    </row>
    <row r="1192" customFormat="false" ht="15" hidden="false" customHeight="false" outlineLevel="0" collapsed="false">
      <c r="A1192" s="30"/>
      <c r="B1192" s="21"/>
      <c r="C1192" s="21" t="str">
        <f aca="false">IF(B1192="","",IFERROR(INDEX(代理店一覧!$B$5:$B$204,MATCH(B1192,代理店一覧!$A$5:$A$204,0)),"※未登録のID"))</f>
        <v/>
      </c>
      <c r="D1192" s="20"/>
      <c r="E1192" s="20"/>
      <c r="F1192" s="20"/>
      <c r="G1192" s="20"/>
      <c r="H1192" s="20"/>
      <c r="I1192" s="21"/>
    </row>
    <row r="1193" customFormat="false" ht="15" hidden="false" customHeight="false" outlineLevel="0" collapsed="false">
      <c r="A1193" s="30"/>
      <c r="B1193" s="21"/>
      <c r="C1193" s="21" t="str">
        <f aca="false">IF(B1193="","",IFERROR(INDEX(代理店一覧!$B$5:$B$204,MATCH(B1193,代理店一覧!$A$5:$A$204,0)),"※未登録のID"))</f>
        <v/>
      </c>
      <c r="D1193" s="20"/>
      <c r="E1193" s="20"/>
      <c r="F1193" s="20"/>
      <c r="G1193" s="20"/>
      <c r="H1193" s="20"/>
      <c r="I1193" s="21"/>
    </row>
    <row r="1194" customFormat="false" ht="15" hidden="false" customHeight="false" outlineLevel="0" collapsed="false">
      <c r="A1194" s="30"/>
      <c r="B1194" s="21"/>
      <c r="C1194" s="21" t="str">
        <f aca="false">IF(B1194="","",IFERROR(INDEX(代理店一覧!$B$5:$B$204,MATCH(B1194,代理店一覧!$A$5:$A$204,0)),"※未登録のID"))</f>
        <v/>
      </c>
      <c r="D1194" s="20"/>
      <c r="E1194" s="20"/>
      <c r="F1194" s="20"/>
      <c r="G1194" s="20"/>
      <c r="H1194" s="20"/>
      <c r="I1194" s="21"/>
    </row>
    <row r="1195" customFormat="false" ht="15" hidden="false" customHeight="false" outlineLevel="0" collapsed="false">
      <c r="A1195" s="30"/>
      <c r="B1195" s="21"/>
      <c r="C1195" s="21" t="str">
        <f aca="false">IF(B1195="","",IFERROR(INDEX(代理店一覧!$B$5:$B$204,MATCH(B1195,代理店一覧!$A$5:$A$204,0)),"※未登録のID"))</f>
        <v/>
      </c>
      <c r="D1195" s="20"/>
      <c r="E1195" s="20"/>
      <c r="F1195" s="20"/>
      <c r="G1195" s="20"/>
      <c r="H1195" s="20"/>
      <c r="I1195" s="21"/>
    </row>
    <row r="1196" customFormat="false" ht="15" hidden="false" customHeight="false" outlineLevel="0" collapsed="false">
      <c r="A1196" s="30"/>
      <c r="B1196" s="21"/>
      <c r="C1196" s="21" t="str">
        <f aca="false">IF(B1196="","",IFERROR(INDEX(代理店一覧!$B$5:$B$204,MATCH(B1196,代理店一覧!$A$5:$A$204,0)),"※未登録のID"))</f>
        <v/>
      </c>
      <c r="D1196" s="20"/>
      <c r="E1196" s="20"/>
      <c r="F1196" s="20"/>
      <c r="G1196" s="20"/>
      <c r="H1196" s="20"/>
      <c r="I1196" s="21"/>
    </row>
    <row r="1197" customFormat="false" ht="15" hidden="false" customHeight="false" outlineLevel="0" collapsed="false">
      <c r="A1197" s="30"/>
      <c r="B1197" s="21"/>
      <c r="C1197" s="21" t="str">
        <f aca="false">IF(B1197="","",IFERROR(INDEX(代理店一覧!$B$5:$B$204,MATCH(B1197,代理店一覧!$A$5:$A$204,0)),"※未登録のID"))</f>
        <v/>
      </c>
      <c r="D1197" s="20"/>
      <c r="E1197" s="20"/>
      <c r="F1197" s="20"/>
      <c r="G1197" s="20"/>
      <c r="H1197" s="20"/>
      <c r="I1197" s="21"/>
    </row>
    <row r="1198" customFormat="false" ht="15" hidden="false" customHeight="false" outlineLevel="0" collapsed="false">
      <c r="A1198" s="30"/>
      <c r="B1198" s="21"/>
      <c r="C1198" s="21" t="str">
        <f aca="false">IF(B1198="","",IFERROR(INDEX(代理店一覧!$B$5:$B$204,MATCH(B1198,代理店一覧!$A$5:$A$204,0)),"※未登録のID"))</f>
        <v/>
      </c>
      <c r="D1198" s="20"/>
      <c r="E1198" s="20"/>
      <c r="F1198" s="20"/>
      <c r="G1198" s="20"/>
      <c r="H1198" s="20"/>
      <c r="I1198" s="21"/>
    </row>
    <row r="1199" customFormat="false" ht="15" hidden="false" customHeight="false" outlineLevel="0" collapsed="false">
      <c r="A1199" s="30"/>
      <c r="B1199" s="21"/>
      <c r="C1199" s="21" t="str">
        <f aca="false">IF(B1199="","",IFERROR(INDEX(代理店一覧!$B$5:$B$204,MATCH(B1199,代理店一覧!$A$5:$A$204,0)),"※未登録のID"))</f>
        <v/>
      </c>
      <c r="D1199" s="20"/>
      <c r="E1199" s="20"/>
      <c r="F1199" s="20"/>
      <c r="G1199" s="20"/>
      <c r="H1199" s="20"/>
      <c r="I1199" s="21"/>
    </row>
    <row r="1200" customFormat="false" ht="15" hidden="false" customHeight="false" outlineLevel="0" collapsed="false">
      <c r="A1200" s="30"/>
      <c r="B1200" s="21"/>
      <c r="C1200" s="21" t="str">
        <f aca="false">IF(B1200="","",IFERROR(INDEX(代理店一覧!$B$5:$B$204,MATCH(B1200,代理店一覧!$A$5:$A$204,0)),"※未登録のID"))</f>
        <v/>
      </c>
      <c r="D1200" s="20"/>
      <c r="E1200" s="20"/>
      <c r="F1200" s="20"/>
      <c r="G1200" s="20"/>
      <c r="H1200" s="20"/>
      <c r="I1200" s="21"/>
    </row>
    <row r="1201" customFormat="false" ht="15" hidden="false" customHeight="false" outlineLevel="0" collapsed="false">
      <c r="A1201" s="30"/>
      <c r="B1201" s="21"/>
      <c r="C1201" s="21" t="str">
        <f aca="false">IF(B1201="","",IFERROR(INDEX(代理店一覧!$B$5:$B$204,MATCH(B1201,代理店一覧!$A$5:$A$204,0)),"※未登録のID"))</f>
        <v/>
      </c>
      <c r="D1201" s="20"/>
      <c r="E1201" s="20"/>
      <c r="F1201" s="20"/>
      <c r="G1201" s="20"/>
      <c r="H1201" s="20"/>
      <c r="I1201" s="21"/>
    </row>
    <row r="1202" customFormat="false" ht="15" hidden="false" customHeight="false" outlineLevel="0" collapsed="false">
      <c r="A1202" s="30"/>
      <c r="B1202" s="21"/>
      <c r="C1202" s="21" t="str">
        <f aca="false">IF(B1202="","",IFERROR(INDEX(代理店一覧!$B$5:$B$204,MATCH(B1202,代理店一覧!$A$5:$A$204,0)),"※未登録のID"))</f>
        <v/>
      </c>
      <c r="D1202" s="20"/>
      <c r="E1202" s="20"/>
      <c r="F1202" s="20"/>
      <c r="G1202" s="20"/>
      <c r="H1202" s="20"/>
      <c r="I1202" s="21"/>
    </row>
    <row r="1203" customFormat="false" ht="15" hidden="false" customHeight="false" outlineLevel="0" collapsed="false">
      <c r="A1203" s="30"/>
      <c r="B1203" s="21"/>
      <c r="C1203" s="21" t="str">
        <f aca="false">IF(B1203="","",IFERROR(INDEX(代理店一覧!$B$5:$B$204,MATCH(B1203,代理店一覧!$A$5:$A$204,0)),"※未登録のID"))</f>
        <v/>
      </c>
      <c r="D1203" s="20"/>
      <c r="E1203" s="20"/>
      <c r="F1203" s="20"/>
      <c r="G1203" s="20"/>
      <c r="H1203" s="20"/>
      <c r="I1203" s="21"/>
    </row>
    <row r="1204" customFormat="false" ht="15" hidden="false" customHeight="false" outlineLevel="0" collapsed="false">
      <c r="A1204" s="30"/>
      <c r="B1204" s="21"/>
      <c r="C1204" s="21" t="str">
        <f aca="false">IF(B1204="","",IFERROR(INDEX(代理店一覧!$B$5:$B$204,MATCH(B1204,代理店一覧!$A$5:$A$204,0)),"※未登録のID"))</f>
        <v/>
      </c>
      <c r="D1204" s="20"/>
      <c r="E1204" s="20"/>
      <c r="F1204" s="20"/>
      <c r="G1204" s="20"/>
      <c r="H1204" s="20"/>
      <c r="I1204" s="21"/>
    </row>
    <row r="1205" customFormat="false" ht="15" hidden="false" customHeight="false" outlineLevel="0" collapsed="false">
      <c r="A1205" s="30"/>
      <c r="B1205" s="21"/>
      <c r="C1205" s="21" t="str">
        <f aca="false">IF(B1205="","",IFERROR(INDEX(代理店一覧!$B$5:$B$204,MATCH(B1205,代理店一覧!$A$5:$A$204,0)),"※未登録のID"))</f>
        <v/>
      </c>
      <c r="D1205" s="20"/>
      <c r="E1205" s="20"/>
      <c r="F1205" s="20"/>
      <c r="G1205" s="20"/>
      <c r="H1205" s="20"/>
      <c r="I1205" s="21"/>
    </row>
    <row r="1206" customFormat="false" ht="15" hidden="false" customHeight="false" outlineLevel="0" collapsed="false">
      <c r="A1206" s="30"/>
      <c r="B1206" s="21"/>
      <c r="C1206" s="21" t="str">
        <f aca="false">IF(B1206="","",IFERROR(INDEX(代理店一覧!$B$5:$B$204,MATCH(B1206,代理店一覧!$A$5:$A$204,0)),"※未登録のID"))</f>
        <v/>
      </c>
      <c r="D1206" s="20"/>
      <c r="E1206" s="20"/>
      <c r="F1206" s="20"/>
      <c r="G1206" s="20"/>
      <c r="H1206" s="20"/>
      <c r="I1206" s="21"/>
    </row>
    <row r="1207" customFormat="false" ht="15" hidden="false" customHeight="false" outlineLevel="0" collapsed="false">
      <c r="A1207" s="30"/>
      <c r="B1207" s="21"/>
      <c r="C1207" s="21" t="str">
        <f aca="false">IF(B1207="","",IFERROR(INDEX(代理店一覧!$B$5:$B$204,MATCH(B1207,代理店一覧!$A$5:$A$204,0)),"※未登録のID"))</f>
        <v/>
      </c>
      <c r="D1207" s="20"/>
      <c r="E1207" s="20"/>
      <c r="F1207" s="20"/>
      <c r="G1207" s="20"/>
      <c r="H1207" s="20"/>
      <c r="I1207" s="21"/>
    </row>
    <row r="1208" customFormat="false" ht="15" hidden="false" customHeight="false" outlineLevel="0" collapsed="false">
      <c r="A1208" s="30"/>
      <c r="B1208" s="21"/>
      <c r="C1208" s="21" t="str">
        <f aca="false">IF(B1208="","",IFERROR(INDEX(代理店一覧!$B$5:$B$204,MATCH(B1208,代理店一覧!$A$5:$A$204,0)),"※未登録のID"))</f>
        <v/>
      </c>
      <c r="D1208" s="20"/>
      <c r="E1208" s="20"/>
      <c r="F1208" s="20"/>
      <c r="G1208" s="20"/>
      <c r="H1208" s="20"/>
      <c r="I1208" s="21"/>
    </row>
    <row r="1209" customFormat="false" ht="15" hidden="false" customHeight="false" outlineLevel="0" collapsed="false">
      <c r="A1209" s="30"/>
      <c r="B1209" s="21"/>
      <c r="C1209" s="21" t="str">
        <f aca="false">IF(B1209="","",IFERROR(INDEX(代理店一覧!$B$5:$B$204,MATCH(B1209,代理店一覧!$A$5:$A$204,0)),"※未登録のID"))</f>
        <v/>
      </c>
      <c r="D1209" s="20"/>
      <c r="E1209" s="20"/>
      <c r="F1209" s="20"/>
      <c r="G1209" s="20"/>
      <c r="H1209" s="20"/>
      <c r="I1209" s="21"/>
    </row>
    <row r="1210" customFormat="false" ht="15" hidden="false" customHeight="false" outlineLevel="0" collapsed="false">
      <c r="A1210" s="30"/>
      <c r="B1210" s="21"/>
      <c r="C1210" s="21" t="str">
        <f aca="false">IF(B1210="","",IFERROR(INDEX(代理店一覧!$B$5:$B$204,MATCH(B1210,代理店一覧!$A$5:$A$204,0)),"※未登録のID"))</f>
        <v/>
      </c>
      <c r="D1210" s="20"/>
      <c r="E1210" s="20"/>
      <c r="F1210" s="20"/>
      <c r="G1210" s="20"/>
      <c r="H1210" s="20"/>
      <c r="I1210" s="21"/>
    </row>
    <row r="1211" customFormat="false" ht="15" hidden="false" customHeight="false" outlineLevel="0" collapsed="false">
      <c r="A1211" s="30"/>
      <c r="B1211" s="21"/>
      <c r="C1211" s="21" t="str">
        <f aca="false">IF(B1211="","",IFERROR(INDEX(代理店一覧!$B$5:$B$204,MATCH(B1211,代理店一覧!$A$5:$A$204,0)),"※未登録のID"))</f>
        <v/>
      </c>
      <c r="D1211" s="20"/>
      <c r="E1211" s="20"/>
      <c r="F1211" s="20"/>
      <c r="G1211" s="20"/>
      <c r="H1211" s="20"/>
      <c r="I1211" s="21"/>
    </row>
    <row r="1212" customFormat="false" ht="15" hidden="false" customHeight="false" outlineLevel="0" collapsed="false">
      <c r="A1212" s="30"/>
      <c r="B1212" s="21"/>
      <c r="C1212" s="21" t="str">
        <f aca="false">IF(B1212="","",IFERROR(INDEX(代理店一覧!$B$5:$B$204,MATCH(B1212,代理店一覧!$A$5:$A$204,0)),"※未登録のID"))</f>
        <v/>
      </c>
      <c r="D1212" s="20"/>
      <c r="E1212" s="20"/>
      <c r="F1212" s="20"/>
      <c r="G1212" s="20"/>
      <c r="H1212" s="20"/>
      <c r="I1212" s="21"/>
    </row>
    <row r="1213" customFormat="false" ht="15" hidden="false" customHeight="false" outlineLevel="0" collapsed="false">
      <c r="A1213" s="30"/>
      <c r="B1213" s="21"/>
      <c r="C1213" s="21" t="str">
        <f aca="false">IF(B1213="","",IFERROR(INDEX(代理店一覧!$B$5:$B$204,MATCH(B1213,代理店一覧!$A$5:$A$204,0)),"※未登録のID"))</f>
        <v/>
      </c>
      <c r="D1213" s="20"/>
      <c r="E1213" s="20"/>
      <c r="F1213" s="20"/>
      <c r="G1213" s="20"/>
      <c r="H1213" s="20"/>
      <c r="I1213" s="21"/>
    </row>
    <row r="1214" customFormat="false" ht="15" hidden="false" customHeight="false" outlineLevel="0" collapsed="false">
      <c r="A1214" s="30"/>
      <c r="B1214" s="21"/>
      <c r="C1214" s="21" t="str">
        <f aca="false">IF(B1214="","",IFERROR(INDEX(代理店一覧!$B$5:$B$204,MATCH(B1214,代理店一覧!$A$5:$A$204,0)),"※未登録のID"))</f>
        <v/>
      </c>
      <c r="D1214" s="20"/>
      <c r="E1214" s="20"/>
      <c r="F1214" s="20"/>
      <c r="G1214" s="20"/>
      <c r="H1214" s="20"/>
      <c r="I1214" s="21"/>
    </row>
    <row r="1215" customFormat="false" ht="15" hidden="false" customHeight="false" outlineLevel="0" collapsed="false">
      <c r="A1215" s="30"/>
      <c r="B1215" s="21"/>
      <c r="C1215" s="21" t="str">
        <f aca="false">IF(B1215="","",IFERROR(INDEX(代理店一覧!$B$5:$B$204,MATCH(B1215,代理店一覧!$A$5:$A$204,0)),"※未登録のID"))</f>
        <v/>
      </c>
      <c r="D1215" s="20"/>
      <c r="E1215" s="20"/>
      <c r="F1215" s="20"/>
      <c r="G1215" s="20"/>
      <c r="H1215" s="20"/>
      <c r="I1215" s="21"/>
    </row>
    <row r="1216" customFormat="false" ht="15" hidden="false" customHeight="false" outlineLevel="0" collapsed="false">
      <c r="A1216" s="30"/>
      <c r="B1216" s="21"/>
      <c r="C1216" s="21" t="str">
        <f aca="false">IF(B1216="","",IFERROR(INDEX(代理店一覧!$B$5:$B$204,MATCH(B1216,代理店一覧!$A$5:$A$204,0)),"※未登録のID"))</f>
        <v/>
      </c>
      <c r="D1216" s="20"/>
      <c r="E1216" s="20"/>
      <c r="F1216" s="20"/>
      <c r="G1216" s="20"/>
      <c r="H1216" s="20"/>
      <c r="I1216" s="21"/>
    </row>
    <row r="1217" customFormat="false" ht="15" hidden="false" customHeight="false" outlineLevel="0" collapsed="false">
      <c r="A1217" s="30"/>
      <c r="B1217" s="21"/>
      <c r="C1217" s="21" t="str">
        <f aca="false">IF(B1217="","",IFERROR(INDEX(代理店一覧!$B$5:$B$204,MATCH(B1217,代理店一覧!$A$5:$A$204,0)),"※未登録のID"))</f>
        <v/>
      </c>
      <c r="D1217" s="20"/>
      <c r="E1217" s="20"/>
      <c r="F1217" s="20"/>
      <c r="G1217" s="20"/>
      <c r="H1217" s="20"/>
      <c r="I1217" s="21"/>
    </row>
    <row r="1218" customFormat="false" ht="15" hidden="false" customHeight="false" outlineLevel="0" collapsed="false">
      <c r="A1218" s="30"/>
      <c r="B1218" s="21"/>
      <c r="C1218" s="21" t="str">
        <f aca="false">IF(B1218="","",IFERROR(INDEX(代理店一覧!$B$5:$B$204,MATCH(B1218,代理店一覧!$A$5:$A$204,0)),"※未登録のID"))</f>
        <v/>
      </c>
      <c r="D1218" s="20"/>
      <c r="E1218" s="20"/>
      <c r="F1218" s="20"/>
      <c r="G1218" s="20"/>
      <c r="H1218" s="20"/>
      <c r="I1218" s="21"/>
    </row>
    <row r="1219" customFormat="false" ht="15" hidden="false" customHeight="false" outlineLevel="0" collapsed="false">
      <c r="A1219" s="30"/>
      <c r="B1219" s="21"/>
      <c r="C1219" s="21" t="str">
        <f aca="false">IF(B1219="","",IFERROR(INDEX(代理店一覧!$B$5:$B$204,MATCH(B1219,代理店一覧!$A$5:$A$204,0)),"※未登録のID"))</f>
        <v/>
      </c>
      <c r="D1219" s="20"/>
      <c r="E1219" s="20"/>
      <c r="F1219" s="20"/>
      <c r="G1219" s="20"/>
      <c r="H1219" s="20"/>
      <c r="I1219" s="21"/>
    </row>
    <row r="1220" customFormat="false" ht="15" hidden="false" customHeight="false" outlineLevel="0" collapsed="false">
      <c r="A1220" s="30"/>
      <c r="B1220" s="21"/>
      <c r="C1220" s="21" t="str">
        <f aca="false">IF(B1220="","",IFERROR(INDEX(代理店一覧!$B$5:$B$204,MATCH(B1220,代理店一覧!$A$5:$A$204,0)),"※未登録のID"))</f>
        <v/>
      </c>
      <c r="D1220" s="20"/>
      <c r="E1220" s="20"/>
      <c r="F1220" s="20"/>
      <c r="G1220" s="20"/>
      <c r="H1220" s="20"/>
      <c r="I1220" s="21"/>
    </row>
    <row r="1221" customFormat="false" ht="15" hidden="false" customHeight="false" outlineLevel="0" collapsed="false">
      <c r="A1221" s="30"/>
      <c r="B1221" s="21"/>
      <c r="C1221" s="21" t="str">
        <f aca="false">IF(B1221="","",IFERROR(INDEX(代理店一覧!$B$5:$B$204,MATCH(B1221,代理店一覧!$A$5:$A$204,0)),"※未登録のID"))</f>
        <v/>
      </c>
      <c r="D1221" s="20"/>
      <c r="E1221" s="20"/>
      <c r="F1221" s="20"/>
      <c r="G1221" s="20"/>
      <c r="H1221" s="20"/>
      <c r="I1221" s="21"/>
    </row>
    <row r="1222" customFormat="false" ht="15" hidden="false" customHeight="false" outlineLevel="0" collapsed="false">
      <c r="A1222" s="30"/>
      <c r="B1222" s="21"/>
      <c r="C1222" s="21" t="str">
        <f aca="false">IF(B1222="","",IFERROR(INDEX(代理店一覧!$B$5:$B$204,MATCH(B1222,代理店一覧!$A$5:$A$204,0)),"※未登録のID"))</f>
        <v/>
      </c>
      <c r="D1222" s="20"/>
      <c r="E1222" s="20"/>
      <c r="F1222" s="20"/>
      <c r="G1222" s="20"/>
      <c r="H1222" s="20"/>
      <c r="I1222" s="21"/>
    </row>
    <row r="1223" customFormat="false" ht="15" hidden="false" customHeight="false" outlineLevel="0" collapsed="false">
      <c r="A1223" s="30"/>
      <c r="B1223" s="21"/>
      <c r="C1223" s="21" t="str">
        <f aca="false">IF(B1223="","",IFERROR(INDEX(代理店一覧!$B$5:$B$204,MATCH(B1223,代理店一覧!$A$5:$A$204,0)),"※未登録のID"))</f>
        <v/>
      </c>
      <c r="D1223" s="20"/>
      <c r="E1223" s="20"/>
      <c r="F1223" s="20"/>
      <c r="G1223" s="20"/>
      <c r="H1223" s="20"/>
      <c r="I1223" s="21"/>
    </row>
    <row r="1224" customFormat="false" ht="15" hidden="false" customHeight="false" outlineLevel="0" collapsed="false">
      <c r="A1224" s="30"/>
      <c r="B1224" s="21"/>
      <c r="C1224" s="21" t="str">
        <f aca="false">IF(B1224="","",IFERROR(INDEX(代理店一覧!$B$5:$B$204,MATCH(B1224,代理店一覧!$A$5:$A$204,0)),"※未登録のID"))</f>
        <v/>
      </c>
      <c r="D1224" s="20"/>
      <c r="E1224" s="20"/>
      <c r="F1224" s="20"/>
      <c r="G1224" s="20"/>
      <c r="H1224" s="20"/>
      <c r="I1224" s="21"/>
    </row>
    <row r="1225" customFormat="false" ht="15" hidden="false" customHeight="false" outlineLevel="0" collapsed="false">
      <c r="A1225" s="30"/>
      <c r="B1225" s="21"/>
      <c r="C1225" s="21" t="str">
        <f aca="false">IF(B1225="","",IFERROR(INDEX(代理店一覧!$B$5:$B$204,MATCH(B1225,代理店一覧!$A$5:$A$204,0)),"※未登録のID"))</f>
        <v/>
      </c>
      <c r="D1225" s="20"/>
      <c r="E1225" s="20"/>
      <c r="F1225" s="20"/>
      <c r="G1225" s="20"/>
      <c r="H1225" s="20"/>
      <c r="I1225" s="21"/>
    </row>
    <row r="1226" customFormat="false" ht="15" hidden="false" customHeight="false" outlineLevel="0" collapsed="false">
      <c r="A1226" s="30"/>
      <c r="B1226" s="21"/>
      <c r="C1226" s="21" t="str">
        <f aca="false">IF(B1226="","",IFERROR(INDEX(代理店一覧!$B$5:$B$204,MATCH(B1226,代理店一覧!$A$5:$A$204,0)),"※未登録のID"))</f>
        <v/>
      </c>
      <c r="D1226" s="20"/>
      <c r="E1226" s="20"/>
      <c r="F1226" s="20"/>
      <c r="G1226" s="20"/>
      <c r="H1226" s="20"/>
      <c r="I1226" s="21"/>
    </row>
    <row r="1227" customFormat="false" ht="15" hidden="false" customHeight="false" outlineLevel="0" collapsed="false">
      <c r="A1227" s="30"/>
      <c r="B1227" s="21"/>
      <c r="C1227" s="21" t="str">
        <f aca="false">IF(B1227="","",IFERROR(INDEX(代理店一覧!$B$5:$B$204,MATCH(B1227,代理店一覧!$A$5:$A$204,0)),"※未登録のID"))</f>
        <v/>
      </c>
      <c r="D1227" s="20"/>
      <c r="E1227" s="20"/>
      <c r="F1227" s="20"/>
      <c r="G1227" s="20"/>
      <c r="H1227" s="20"/>
      <c r="I1227" s="21"/>
    </row>
    <row r="1228" customFormat="false" ht="15" hidden="false" customHeight="false" outlineLevel="0" collapsed="false">
      <c r="A1228" s="30"/>
      <c r="B1228" s="21"/>
      <c r="C1228" s="21" t="str">
        <f aca="false">IF(B1228="","",IFERROR(INDEX(代理店一覧!$B$5:$B$204,MATCH(B1228,代理店一覧!$A$5:$A$204,0)),"※未登録のID"))</f>
        <v/>
      </c>
      <c r="D1228" s="20"/>
      <c r="E1228" s="20"/>
      <c r="F1228" s="20"/>
      <c r="G1228" s="20"/>
      <c r="H1228" s="20"/>
      <c r="I1228" s="21"/>
    </row>
    <row r="1229" customFormat="false" ht="15" hidden="false" customHeight="false" outlineLevel="0" collapsed="false">
      <c r="A1229" s="30"/>
      <c r="B1229" s="21"/>
      <c r="C1229" s="21" t="str">
        <f aca="false">IF(B1229="","",IFERROR(INDEX(代理店一覧!$B$5:$B$204,MATCH(B1229,代理店一覧!$A$5:$A$204,0)),"※未登録のID"))</f>
        <v/>
      </c>
      <c r="D1229" s="20"/>
      <c r="E1229" s="20"/>
      <c r="F1229" s="20"/>
      <c r="G1229" s="20"/>
      <c r="H1229" s="20"/>
      <c r="I1229" s="21"/>
    </row>
    <row r="1230" customFormat="false" ht="15" hidden="false" customHeight="false" outlineLevel="0" collapsed="false">
      <c r="A1230" s="30"/>
      <c r="B1230" s="21"/>
      <c r="C1230" s="21" t="str">
        <f aca="false">IF(B1230="","",IFERROR(INDEX(代理店一覧!$B$5:$B$204,MATCH(B1230,代理店一覧!$A$5:$A$204,0)),"※未登録のID"))</f>
        <v/>
      </c>
      <c r="D1230" s="20"/>
      <c r="E1230" s="20"/>
      <c r="F1230" s="20"/>
      <c r="G1230" s="20"/>
      <c r="H1230" s="20"/>
      <c r="I1230" s="21"/>
    </row>
    <row r="1231" customFormat="false" ht="15" hidden="false" customHeight="false" outlineLevel="0" collapsed="false">
      <c r="A1231" s="30"/>
      <c r="B1231" s="21"/>
      <c r="C1231" s="21" t="str">
        <f aca="false">IF(B1231="","",IFERROR(INDEX(代理店一覧!$B$5:$B$204,MATCH(B1231,代理店一覧!$A$5:$A$204,0)),"※未登録のID"))</f>
        <v/>
      </c>
      <c r="D1231" s="20"/>
      <c r="E1231" s="20"/>
      <c r="F1231" s="20"/>
      <c r="G1231" s="20"/>
      <c r="H1231" s="20"/>
      <c r="I1231" s="21"/>
    </row>
    <row r="1232" customFormat="false" ht="15" hidden="false" customHeight="false" outlineLevel="0" collapsed="false">
      <c r="A1232" s="30"/>
      <c r="B1232" s="21"/>
      <c r="C1232" s="21" t="str">
        <f aca="false">IF(B1232="","",IFERROR(INDEX(代理店一覧!$B$5:$B$204,MATCH(B1232,代理店一覧!$A$5:$A$204,0)),"※未登録のID"))</f>
        <v/>
      </c>
      <c r="D1232" s="20"/>
      <c r="E1232" s="20"/>
      <c r="F1232" s="20"/>
      <c r="G1232" s="20"/>
      <c r="H1232" s="20"/>
      <c r="I1232" s="21"/>
    </row>
    <row r="1233" customFormat="false" ht="15" hidden="false" customHeight="false" outlineLevel="0" collapsed="false">
      <c r="A1233" s="30"/>
      <c r="B1233" s="21"/>
      <c r="C1233" s="21" t="str">
        <f aca="false">IF(B1233="","",IFERROR(INDEX(代理店一覧!$B$5:$B$204,MATCH(B1233,代理店一覧!$A$5:$A$204,0)),"※未登録のID"))</f>
        <v/>
      </c>
      <c r="D1233" s="20"/>
      <c r="E1233" s="20"/>
      <c r="F1233" s="20"/>
      <c r="G1233" s="20"/>
      <c r="H1233" s="20"/>
      <c r="I1233" s="21"/>
    </row>
    <row r="1234" customFormat="false" ht="15" hidden="false" customHeight="false" outlineLevel="0" collapsed="false">
      <c r="A1234" s="30"/>
      <c r="B1234" s="21"/>
      <c r="C1234" s="21" t="str">
        <f aca="false">IF(B1234="","",IFERROR(INDEX(代理店一覧!$B$5:$B$204,MATCH(B1234,代理店一覧!$A$5:$A$204,0)),"※未登録のID"))</f>
        <v/>
      </c>
      <c r="D1234" s="20"/>
      <c r="E1234" s="20"/>
      <c r="F1234" s="20"/>
      <c r="G1234" s="20"/>
      <c r="H1234" s="20"/>
      <c r="I1234" s="21"/>
    </row>
    <row r="1235" customFormat="false" ht="15" hidden="false" customHeight="false" outlineLevel="0" collapsed="false">
      <c r="A1235" s="30"/>
      <c r="B1235" s="21"/>
      <c r="C1235" s="21" t="str">
        <f aca="false">IF(B1235="","",IFERROR(INDEX(代理店一覧!$B$5:$B$204,MATCH(B1235,代理店一覧!$A$5:$A$204,0)),"※未登録のID"))</f>
        <v/>
      </c>
      <c r="D1235" s="20"/>
      <c r="E1235" s="20"/>
      <c r="F1235" s="20"/>
      <c r="G1235" s="20"/>
      <c r="H1235" s="20"/>
      <c r="I1235" s="21"/>
    </row>
    <row r="1236" customFormat="false" ht="15" hidden="false" customHeight="false" outlineLevel="0" collapsed="false">
      <c r="A1236" s="30"/>
      <c r="B1236" s="21"/>
      <c r="C1236" s="21" t="str">
        <f aca="false">IF(B1236="","",IFERROR(INDEX(代理店一覧!$B$5:$B$204,MATCH(B1236,代理店一覧!$A$5:$A$204,0)),"※未登録のID"))</f>
        <v/>
      </c>
      <c r="D1236" s="20"/>
      <c r="E1236" s="20"/>
      <c r="F1236" s="20"/>
      <c r="G1236" s="20"/>
      <c r="H1236" s="20"/>
      <c r="I1236" s="21"/>
    </row>
    <row r="1237" customFormat="false" ht="15" hidden="false" customHeight="false" outlineLevel="0" collapsed="false">
      <c r="A1237" s="30"/>
      <c r="B1237" s="21"/>
      <c r="C1237" s="21" t="str">
        <f aca="false">IF(B1237="","",IFERROR(INDEX(代理店一覧!$B$5:$B$204,MATCH(B1237,代理店一覧!$A$5:$A$204,0)),"※未登録のID"))</f>
        <v/>
      </c>
      <c r="D1237" s="20"/>
      <c r="E1237" s="20"/>
      <c r="F1237" s="20"/>
      <c r="G1237" s="20"/>
      <c r="H1237" s="20"/>
      <c r="I1237" s="21"/>
    </row>
    <row r="1238" customFormat="false" ht="15" hidden="false" customHeight="false" outlineLevel="0" collapsed="false">
      <c r="A1238" s="30"/>
      <c r="B1238" s="21"/>
      <c r="C1238" s="21" t="str">
        <f aca="false">IF(B1238="","",IFERROR(INDEX(代理店一覧!$B$5:$B$204,MATCH(B1238,代理店一覧!$A$5:$A$204,0)),"※未登録のID"))</f>
        <v/>
      </c>
      <c r="D1238" s="20"/>
      <c r="E1238" s="20"/>
      <c r="F1238" s="20"/>
      <c r="G1238" s="20"/>
      <c r="H1238" s="20"/>
      <c r="I1238" s="21"/>
    </row>
    <row r="1239" customFormat="false" ht="15" hidden="false" customHeight="false" outlineLevel="0" collapsed="false">
      <c r="A1239" s="30"/>
      <c r="B1239" s="21"/>
      <c r="C1239" s="21" t="str">
        <f aca="false">IF(B1239="","",IFERROR(INDEX(代理店一覧!$B$5:$B$204,MATCH(B1239,代理店一覧!$A$5:$A$204,0)),"※未登録のID"))</f>
        <v/>
      </c>
      <c r="D1239" s="20"/>
      <c r="E1239" s="20"/>
      <c r="F1239" s="20"/>
      <c r="G1239" s="20"/>
      <c r="H1239" s="20"/>
      <c r="I1239" s="21"/>
    </row>
    <row r="1240" customFormat="false" ht="15" hidden="false" customHeight="false" outlineLevel="0" collapsed="false">
      <c r="A1240" s="30"/>
      <c r="B1240" s="21"/>
      <c r="C1240" s="21" t="str">
        <f aca="false">IF(B1240="","",IFERROR(INDEX(代理店一覧!$B$5:$B$204,MATCH(B1240,代理店一覧!$A$5:$A$204,0)),"※未登録のID"))</f>
        <v/>
      </c>
      <c r="D1240" s="20"/>
      <c r="E1240" s="20"/>
      <c r="F1240" s="20"/>
      <c r="G1240" s="20"/>
      <c r="H1240" s="20"/>
      <c r="I1240" s="21"/>
    </row>
    <row r="1241" customFormat="false" ht="15" hidden="false" customHeight="false" outlineLevel="0" collapsed="false">
      <c r="A1241" s="30"/>
      <c r="B1241" s="21"/>
      <c r="C1241" s="21" t="str">
        <f aca="false">IF(B1241="","",IFERROR(INDEX(代理店一覧!$B$5:$B$204,MATCH(B1241,代理店一覧!$A$5:$A$204,0)),"※未登録のID"))</f>
        <v/>
      </c>
      <c r="D1241" s="20"/>
      <c r="E1241" s="20"/>
      <c r="F1241" s="20"/>
      <c r="G1241" s="20"/>
      <c r="H1241" s="20"/>
      <c r="I1241" s="21"/>
    </row>
    <row r="1242" customFormat="false" ht="15" hidden="false" customHeight="false" outlineLevel="0" collapsed="false">
      <c r="A1242" s="30"/>
      <c r="B1242" s="21"/>
      <c r="C1242" s="21" t="str">
        <f aca="false">IF(B1242="","",IFERROR(INDEX(代理店一覧!$B$5:$B$204,MATCH(B1242,代理店一覧!$A$5:$A$204,0)),"※未登録のID"))</f>
        <v/>
      </c>
      <c r="D1242" s="20"/>
      <c r="E1242" s="20"/>
      <c r="F1242" s="20"/>
      <c r="G1242" s="20"/>
      <c r="H1242" s="20"/>
      <c r="I1242" s="21"/>
    </row>
    <row r="1243" customFormat="false" ht="15" hidden="false" customHeight="false" outlineLevel="0" collapsed="false">
      <c r="A1243" s="30"/>
      <c r="B1243" s="21"/>
      <c r="C1243" s="21" t="str">
        <f aca="false">IF(B1243="","",IFERROR(INDEX(代理店一覧!$B$5:$B$204,MATCH(B1243,代理店一覧!$A$5:$A$204,0)),"※未登録のID"))</f>
        <v/>
      </c>
      <c r="D1243" s="20"/>
      <c r="E1243" s="20"/>
      <c r="F1243" s="20"/>
      <c r="G1243" s="20"/>
      <c r="H1243" s="20"/>
      <c r="I1243" s="21"/>
    </row>
    <row r="1244" customFormat="false" ht="15" hidden="false" customHeight="false" outlineLevel="0" collapsed="false">
      <c r="A1244" s="30"/>
      <c r="B1244" s="21"/>
      <c r="C1244" s="21" t="str">
        <f aca="false">IF(B1244="","",IFERROR(INDEX(代理店一覧!$B$5:$B$204,MATCH(B1244,代理店一覧!$A$5:$A$204,0)),"※未登録のID"))</f>
        <v/>
      </c>
      <c r="D1244" s="20"/>
      <c r="E1244" s="20"/>
      <c r="F1244" s="20"/>
      <c r="G1244" s="20"/>
      <c r="H1244" s="20"/>
      <c r="I1244" s="21"/>
    </row>
    <row r="1245" customFormat="false" ht="15" hidden="false" customHeight="false" outlineLevel="0" collapsed="false">
      <c r="A1245" s="30"/>
      <c r="B1245" s="21"/>
      <c r="C1245" s="21" t="str">
        <f aca="false">IF(B1245="","",IFERROR(INDEX(代理店一覧!$B$5:$B$204,MATCH(B1245,代理店一覧!$A$5:$A$204,0)),"※未登録のID"))</f>
        <v/>
      </c>
      <c r="D1245" s="20"/>
      <c r="E1245" s="20"/>
      <c r="F1245" s="20"/>
      <c r="G1245" s="20"/>
      <c r="H1245" s="20"/>
      <c r="I1245" s="21"/>
    </row>
    <row r="1246" customFormat="false" ht="15" hidden="false" customHeight="false" outlineLevel="0" collapsed="false">
      <c r="A1246" s="30"/>
      <c r="B1246" s="21"/>
      <c r="C1246" s="21" t="str">
        <f aca="false">IF(B1246="","",IFERROR(INDEX(代理店一覧!$B$5:$B$204,MATCH(B1246,代理店一覧!$A$5:$A$204,0)),"※未登録のID"))</f>
        <v/>
      </c>
      <c r="D1246" s="20"/>
      <c r="E1246" s="20"/>
      <c r="F1246" s="20"/>
      <c r="G1246" s="20"/>
      <c r="H1246" s="20"/>
      <c r="I1246" s="21"/>
    </row>
    <row r="1247" customFormat="false" ht="15" hidden="false" customHeight="false" outlineLevel="0" collapsed="false">
      <c r="A1247" s="30"/>
      <c r="B1247" s="21"/>
      <c r="C1247" s="21" t="str">
        <f aca="false">IF(B1247="","",IFERROR(INDEX(代理店一覧!$B$5:$B$204,MATCH(B1247,代理店一覧!$A$5:$A$204,0)),"※未登録のID"))</f>
        <v/>
      </c>
      <c r="D1247" s="20"/>
      <c r="E1247" s="20"/>
      <c r="F1247" s="20"/>
      <c r="G1247" s="20"/>
      <c r="H1247" s="20"/>
      <c r="I1247" s="21"/>
    </row>
    <row r="1248" customFormat="false" ht="15" hidden="false" customHeight="false" outlineLevel="0" collapsed="false">
      <c r="A1248" s="30"/>
      <c r="B1248" s="21"/>
      <c r="C1248" s="21" t="str">
        <f aca="false">IF(B1248="","",IFERROR(INDEX(代理店一覧!$B$5:$B$204,MATCH(B1248,代理店一覧!$A$5:$A$204,0)),"※未登録のID"))</f>
        <v/>
      </c>
      <c r="D1248" s="20"/>
      <c r="E1248" s="20"/>
      <c r="F1248" s="20"/>
      <c r="G1248" s="20"/>
      <c r="H1248" s="20"/>
      <c r="I1248" s="21"/>
    </row>
    <row r="1249" customFormat="false" ht="15" hidden="false" customHeight="false" outlineLevel="0" collapsed="false">
      <c r="A1249" s="30"/>
      <c r="B1249" s="21"/>
      <c r="C1249" s="21" t="str">
        <f aca="false">IF(B1249="","",IFERROR(INDEX(代理店一覧!$B$5:$B$204,MATCH(B1249,代理店一覧!$A$5:$A$204,0)),"※未登録のID"))</f>
        <v/>
      </c>
      <c r="D1249" s="20"/>
      <c r="E1249" s="20"/>
      <c r="F1249" s="20"/>
      <c r="G1249" s="20"/>
      <c r="H1249" s="20"/>
      <c r="I1249" s="21"/>
    </row>
    <row r="1250" customFormat="false" ht="15" hidden="false" customHeight="false" outlineLevel="0" collapsed="false">
      <c r="A1250" s="30"/>
      <c r="B1250" s="21"/>
      <c r="C1250" s="21" t="str">
        <f aca="false">IF(B1250="","",IFERROR(INDEX(代理店一覧!$B$5:$B$204,MATCH(B1250,代理店一覧!$A$5:$A$204,0)),"※未登録のID"))</f>
        <v/>
      </c>
      <c r="D1250" s="20"/>
      <c r="E1250" s="20"/>
      <c r="F1250" s="20"/>
      <c r="G1250" s="20"/>
      <c r="H1250" s="20"/>
      <c r="I1250" s="21"/>
    </row>
    <row r="1251" customFormat="false" ht="15" hidden="false" customHeight="false" outlineLevel="0" collapsed="false">
      <c r="A1251" s="30"/>
      <c r="B1251" s="21"/>
      <c r="C1251" s="21" t="str">
        <f aca="false">IF(B1251="","",IFERROR(INDEX(代理店一覧!$B$5:$B$204,MATCH(B1251,代理店一覧!$A$5:$A$204,0)),"※未登録のID"))</f>
        <v/>
      </c>
      <c r="D1251" s="20"/>
      <c r="E1251" s="20"/>
      <c r="F1251" s="20"/>
      <c r="G1251" s="20"/>
      <c r="H1251" s="20"/>
      <c r="I1251" s="21"/>
    </row>
    <row r="1252" customFormat="false" ht="15" hidden="false" customHeight="false" outlineLevel="0" collapsed="false">
      <c r="A1252" s="30"/>
      <c r="B1252" s="21"/>
      <c r="C1252" s="21" t="str">
        <f aca="false">IF(B1252="","",IFERROR(INDEX(代理店一覧!$B$5:$B$204,MATCH(B1252,代理店一覧!$A$5:$A$204,0)),"※未登録のID"))</f>
        <v/>
      </c>
      <c r="D1252" s="20"/>
      <c r="E1252" s="20"/>
      <c r="F1252" s="20"/>
      <c r="G1252" s="20"/>
      <c r="H1252" s="20"/>
      <c r="I1252" s="21"/>
    </row>
    <row r="1253" customFormat="false" ht="15" hidden="false" customHeight="false" outlineLevel="0" collapsed="false">
      <c r="A1253" s="30"/>
      <c r="B1253" s="21"/>
      <c r="C1253" s="21" t="str">
        <f aca="false">IF(B1253="","",IFERROR(INDEX(代理店一覧!$B$5:$B$204,MATCH(B1253,代理店一覧!$A$5:$A$204,0)),"※未登録のID"))</f>
        <v/>
      </c>
      <c r="D1253" s="20"/>
      <c r="E1253" s="20"/>
      <c r="F1253" s="20"/>
      <c r="G1253" s="20"/>
      <c r="H1253" s="20"/>
      <c r="I1253" s="21"/>
    </row>
    <row r="1254" customFormat="false" ht="15" hidden="false" customHeight="false" outlineLevel="0" collapsed="false">
      <c r="A1254" s="30"/>
      <c r="B1254" s="21"/>
      <c r="C1254" s="21" t="str">
        <f aca="false">IF(B1254="","",IFERROR(INDEX(代理店一覧!$B$5:$B$204,MATCH(B1254,代理店一覧!$A$5:$A$204,0)),"※未登録のID"))</f>
        <v/>
      </c>
      <c r="D1254" s="20"/>
      <c r="E1254" s="20"/>
      <c r="F1254" s="20"/>
      <c r="G1254" s="20"/>
      <c r="H1254" s="20"/>
      <c r="I1254" s="21"/>
    </row>
    <row r="1255" customFormat="false" ht="15" hidden="false" customHeight="false" outlineLevel="0" collapsed="false">
      <c r="A1255" s="30"/>
      <c r="B1255" s="21"/>
      <c r="C1255" s="21" t="str">
        <f aca="false">IF(B1255="","",IFERROR(INDEX(代理店一覧!$B$5:$B$204,MATCH(B1255,代理店一覧!$A$5:$A$204,0)),"※未登録のID"))</f>
        <v/>
      </c>
      <c r="D1255" s="20"/>
      <c r="E1255" s="20"/>
      <c r="F1255" s="20"/>
      <c r="G1255" s="20"/>
      <c r="H1255" s="20"/>
      <c r="I1255" s="21"/>
    </row>
    <row r="1256" customFormat="false" ht="15" hidden="false" customHeight="false" outlineLevel="0" collapsed="false">
      <c r="A1256" s="30"/>
      <c r="B1256" s="21"/>
      <c r="C1256" s="21" t="str">
        <f aca="false">IF(B1256="","",IFERROR(INDEX(代理店一覧!$B$5:$B$204,MATCH(B1256,代理店一覧!$A$5:$A$204,0)),"※未登録のID"))</f>
        <v/>
      </c>
      <c r="D1256" s="20"/>
      <c r="E1256" s="20"/>
      <c r="F1256" s="20"/>
      <c r="G1256" s="20"/>
      <c r="H1256" s="20"/>
      <c r="I1256" s="21"/>
    </row>
    <row r="1257" customFormat="false" ht="15" hidden="false" customHeight="false" outlineLevel="0" collapsed="false">
      <c r="A1257" s="30"/>
      <c r="B1257" s="21"/>
      <c r="C1257" s="21" t="str">
        <f aca="false">IF(B1257="","",IFERROR(INDEX(代理店一覧!$B$5:$B$204,MATCH(B1257,代理店一覧!$A$5:$A$204,0)),"※未登録のID"))</f>
        <v/>
      </c>
      <c r="D1257" s="20"/>
      <c r="E1257" s="20"/>
      <c r="F1257" s="20"/>
      <c r="G1257" s="20"/>
      <c r="H1257" s="20"/>
      <c r="I1257" s="21"/>
    </row>
    <row r="1258" customFormat="false" ht="15" hidden="false" customHeight="false" outlineLevel="0" collapsed="false">
      <c r="A1258" s="30"/>
      <c r="B1258" s="21"/>
      <c r="C1258" s="21" t="str">
        <f aca="false">IF(B1258="","",IFERROR(INDEX(代理店一覧!$B$5:$B$204,MATCH(B1258,代理店一覧!$A$5:$A$204,0)),"※未登録のID"))</f>
        <v/>
      </c>
      <c r="D1258" s="20"/>
      <c r="E1258" s="20"/>
      <c r="F1258" s="20"/>
      <c r="G1258" s="20"/>
      <c r="H1258" s="20"/>
      <c r="I1258" s="21"/>
    </row>
    <row r="1259" customFormat="false" ht="15" hidden="false" customHeight="false" outlineLevel="0" collapsed="false">
      <c r="A1259" s="30"/>
      <c r="B1259" s="21"/>
      <c r="C1259" s="21" t="str">
        <f aca="false">IF(B1259="","",IFERROR(INDEX(代理店一覧!$B$5:$B$204,MATCH(B1259,代理店一覧!$A$5:$A$204,0)),"※未登録のID"))</f>
        <v/>
      </c>
      <c r="D1259" s="20"/>
      <c r="E1259" s="20"/>
      <c r="F1259" s="20"/>
      <c r="G1259" s="20"/>
      <c r="H1259" s="20"/>
      <c r="I1259" s="21"/>
    </row>
    <row r="1260" customFormat="false" ht="15" hidden="false" customHeight="false" outlineLevel="0" collapsed="false">
      <c r="A1260" s="30"/>
      <c r="B1260" s="21"/>
      <c r="C1260" s="21" t="str">
        <f aca="false">IF(B1260="","",IFERROR(INDEX(代理店一覧!$B$5:$B$204,MATCH(B1260,代理店一覧!$A$5:$A$204,0)),"※未登録のID"))</f>
        <v/>
      </c>
      <c r="D1260" s="20"/>
      <c r="E1260" s="20"/>
      <c r="F1260" s="20"/>
      <c r="G1260" s="20"/>
      <c r="H1260" s="20"/>
      <c r="I1260" s="21"/>
    </row>
    <row r="1261" customFormat="false" ht="15" hidden="false" customHeight="false" outlineLevel="0" collapsed="false">
      <c r="A1261" s="30"/>
      <c r="B1261" s="21"/>
      <c r="C1261" s="21" t="str">
        <f aca="false">IF(B1261="","",IFERROR(INDEX(代理店一覧!$B$5:$B$204,MATCH(B1261,代理店一覧!$A$5:$A$204,0)),"※未登録のID"))</f>
        <v/>
      </c>
      <c r="D1261" s="20"/>
      <c r="E1261" s="20"/>
      <c r="F1261" s="20"/>
      <c r="G1261" s="20"/>
      <c r="H1261" s="20"/>
      <c r="I1261" s="21"/>
    </row>
    <row r="1262" customFormat="false" ht="15" hidden="false" customHeight="false" outlineLevel="0" collapsed="false">
      <c r="A1262" s="30"/>
      <c r="B1262" s="21"/>
      <c r="C1262" s="21" t="str">
        <f aca="false">IF(B1262="","",IFERROR(INDEX(代理店一覧!$B$5:$B$204,MATCH(B1262,代理店一覧!$A$5:$A$204,0)),"※未登録のID"))</f>
        <v/>
      </c>
      <c r="D1262" s="20"/>
      <c r="E1262" s="20"/>
      <c r="F1262" s="20"/>
      <c r="G1262" s="20"/>
      <c r="H1262" s="20"/>
      <c r="I1262" s="21"/>
    </row>
    <row r="1263" customFormat="false" ht="15" hidden="false" customHeight="false" outlineLevel="0" collapsed="false">
      <c r="A1263" s="30"/>
      <c r="B1263" s="21"/>
      <c r="C1263" s="21" t="str">
        <f aca="false">IF(B1263="","",IFERROR(INDEX(代理店一覧!$B$5:$B$204,MATCH(B1263,代理店一覧!$A$5:$A$204,0)),"※未登録のID"))</f>
        <v/>
      </c>
      <c r="D1263" s="20"/>
      <c r="E1263" s="20"/>
      <c r="F1263" s="20"/>
      <c r="G1263" s="20"/>
      <c r="H1263" s="20"/>
      <c r="I1263" s="21"/>
    </row>
    <row r="1264" customFormat="false" ht="15" hidden="false" customHeight="false" outlineLevel="0" collapsed="false">
      <c r="A1264" s="30"/>
      <c r="B1264" s="21"/>
      <c r="C1264" s="21" t="str">
        <f aca="false">IF(B1264="","",IFERROR(INDEX(代理店一覧!$B$5:$B$204,MATCH(B1264,代理店一覧!$A$5:$A$204,0)),"※未登録のID"))</f>
        <v/>
      </c>
      <c r="D1264" s="20"/>
      <c r="E1264" s="20"/>
      <c r="F1264" s="20"/>
      <c r="G1264" s="20"/>
      <c r="H1264" s="20"/>
      <c r="I1264" s="21"/>
    </row>
    <row r="1265" customFormat="false" ht="15" hidden="false" customHeight="false" outlineLevel="0" collapsed="false">
      <c r="A1265" s="30"/>
      <c r="B1265" s="21"/>
      <c r="C1265" s="21" t="str">
        <f aca="false">IF(B1265="","",IFERROR(INDEX(代理店一覧!$B$5:$B$204,MATCH(B1265,代理店一覧!$A$5:$A$204,0)),"※未登録のID"))</f>
        <v/>
      </c>
      <c r="D1265" s="20"/>
      <c r="E1265" s="20"/>
      <c r="F1265" s="20"/>
      <c r="G1265" s="20"/>
      <c r="H1265" s="20"/>
      <c r="I1265" s="21"/>
    </row>
    <row r="1266" customFormat="false" ht="15" hidden="false" customHeight="false" outlineLevel="0" collapsed="false">
      <c r="A1266" s="30"/>
      <c r="B1266" s="21"/>
      <c r="C1266" s="21" t="str">
        <f aca="false">IF(B1266="","",IFERROR(INDEX(代理店一覧!$B$5:$B$204,MATCH(B1266,代理店一覧!$A$5:$A$204,0)),"※未登録のID"))</f>
        <v/>
      </c>
      <c r="D1266" s="20"/>
      <c r="E1266" s="20"/>
      <c r="F1266" s="20"/>
      <c r="G1266" s="20"/>
      <c r="H1266" s="20"/>
      <c r="I1266" s="21"/>
    </row>
    <row r="1267" customFormat="false" ht="15" hidden="false" customHeight="false" outlineLevel="0" collapsed="false">
      <c r="A1267" s="30"/>
      <c r="B1267" s="21"/>
      <c r="C1267" s="21" t="str">
        <f aca="false">IF(B1267="","",IFERROR(INDEX(代理店一覧!$B$5:$B$204,MATCH(B1267,代理店一覧!$A$5:$A$204,0)),"※未登録のID"))</f>
        <v/>
      </c>
      <c r="D1267" s="20"/>
      <c r="E1267" s="20"/>
      <c r="F1267" s="20"/>
      <c r="G1267" s="20"/>
      <c r="H1267" s="20"/>
      <c r="I1267" s="21"/>
    </row>
    <row r="1268" customFormat="false" ht="15" hidden="false" customHeight="false" outlineLevel="0" collapsed="false">
      <c r="A1268" s="30"/>
      <c r="B1268" s="21"/>
      <c r="C1268" s="21" t="str">
        <f aca="false">IF(B1268="","",IFERROR(INDEX(代理店一覧!$B$5:$B$204,MATCH(B1268,代理店一覧!$A$5:$A$204,0)),"※未登録のID"))</f>
        <v/>
      </c>
      <c r="D1268" s="20"/>
      <c r="E1268" s="20"/>
      <c r="F1268" s="20"/>
      <c r="G1268" s="20"/>
      <c r="H1268" s="20"/>
      <c r="I1268" s="21"/>
    </row>
    <row r="1269" customFormat="false" ht="15" hidden="false" customHeight="false" outlineLevel="0" collapsed="false">
      <c r="A1269" s="30"/>
      <c r="B1269" s="21"/>
      <c r="C1269" s="21" t="str">
        <f aca="false">IF(B1269="","",IFERROR(INDEX(代理店一覧!$B$5:$B$204,MATCH(B1269,代理店一覧!$A$5:$A$204,0)),"※未登録のID"))</f>
        <v/>
      </c>
      <c r="D1269" s="20"/>
      <c r="E1269" s="20"/>
      <c r="F1269" s="20"/>
      <c r="G1269" s="20"/>
      <c r="H1269" s="20"/>
      <c r="I1269" s="21"/>
    </row>
    <row r="1270" customFormat="false" ht="15" hidden="false" customHeight="false" outlineLevel="0" collapsed="false">
      <c r="A1270" s="30"/>
      <c r="B1270" s="21"/>
      <c r="C1270" s="21" t="str">
        <f aca="false">IF(B1270="","",IFERROR(INDEX(代理店一覧!$B$5:$B$204,MATCH(B1270,代理店一覧!$A$5:$A$204,0)),"※未登録のID"))</f>
        <v/>
      </c>
      <c r="D1270" s="20"/>
      <c r="E1270" s="20"/>
      <c r="F1270" s="20"/>
      <c r="G1270" s="20"/>
      <c r="H1270" s="20"/>
      <c r="I1270" s="21"/>
    </row>
    <row r="1271" customFormat="false" ht="15" hidden="false" customHeight="false" outlineLevel="0" collapsed="false">
      <c r="A1271" s="30"/>
      <c r="B1271" s="21"/>
      <c r="C1271" s="21" t="str">
        <f aca="false">IF(B1271="","",IFERROR(INDEX(代理店一覧!$B$5:$B$204,MATCH(B1271,代理店一覧!$A$5:$A$204,0)),"※未登録のID"))</f>
        <v/>
      </c>
      <c r="D1271" s="20"/>
      <c r="E1271" s="20"/>
      <c r="F1271" s="20"/>
      <c r="G1271" s="20"/>
      <c r="H1271" s="20"/>
      <c r="I1271" s="21"/>
    </row>
    <row r="1272" customFormat="false" ht="15" hidden="false" customHeight="false" outlineLevel="0" collapsed="false">
      <c r="A1272" s="30"/>
      <c r="B1272" s="21"/>
      <c r="C1272" s="21" t="str">
        <f aca="false">IF(B1272="","",IFERROR(INDEX(代理店一覧!$B$5:$B$204,MATCH(B1272,代理店一覧!$A$5:$A$204,0)),"※未登録のID"))</f>
        <v/>
      </c>
      <c r="D1272" s="20"/>
      <c r="E1272" s="20"/>
      <c r="F1272" s="20"/>
      <c r="G1272" s="20"/>
      <c r="H1272" s="20"/>
      <c r="I1272" s="21"/>
    </row>
    <row r="1273" customFormat="false" ht="15" hidden="false" customHeight="false" outlineLevel="0" collapsed="false">
      <c r="A1273" s="30"/>
      <c r="B1273" s="21"/>
      <c r="C1273" s="21" t="str">
        <f aca="false">IF(B1273="","",IFERROR(INDEX(代理店一覧!$B$5:$B$204,MATCH(B1273,代理店一覧!$A$5:$A$204,0)),"※未登録のID"))</f>
        <v/>
      </c>
      <c r="D1273" s="20"/>
      <c r="E1273" s="20"/>
      <c r="F1273" s="20"/>
      <c r="G1273" s="20"/>
      <c r="H1273" s="20"/>
      <c r="I1273" s="21"/>
    </row>
    <row r="1274" customFormat="false" ht="15" hidden="false" customHeight="false" outlineLevel="0" collapsed="false">
      <c r="A1274" s="30"/>
      <c r="B1274" s="21"/>
      <c r="C1274" s="21" t="str">
        <f aca="false">IF(B1274="","",IFERROR(INDEX(代理店一覧!$B$5:$B$204,MATCH(B1274,代理店一覧!$A$5:$A$204,0)),"※未登録のID"))</f>
        <v/>
      </c>
      <c r="D1274" s="20"/>
      <c r="E1274" s="20"/>
      <c r="F1274" s="20"/>
      <c r="G1274" s="20"/>
      <c r="H1274" s="20"/>
      <c r="I1274" s="21"/>
    </row>
    <row r="1275" customFormat="false" ht="15" hidden="false" customHeight="false" outlineLevel="0" collapsed="false">
      <c r="A1275" s="30"/>
      <c r="B1275" s="21"/>
      <c r="C1275" s="21" t="str">
        <f aca="false">IF(B1275="","",IFERROR(INDEX(代理店一覧!$B$5:$B$204,MATCH(B1275,代理店一覧!$A$5:$A$204,0)),"※未登録のID"))</f>
        <v/>
      </c>
      <c r="D1275" s="20"/>
      <c r="E1275" s="20"/>
      <c r="F1275" s="20"/>
      <c r="G1275" s="20"/>
      <c r="H1275" s="20"/>
      <c r="I1275" s="21"/>
    </row>
    <row r="1276" customFormat="false" ht="15" hidden="false" customHeight="false" outlineLevel="0" collapsed="false">
      <c r="A1276" s="30"/>
      <c r="B1276" s="21"/>
      <c r="C1276" s="21" t="str">
        <f aca="false">IF(B1276="","",IFERROR(INDEX(代理店一覧!$B$5:$B$204,MATCH(B1276,代理店一覧!$A$5:$A$204,0)),"※未登録のID"))</f>
        <v/>
      </c>
      <c r="D1276" s="20"/>
      <c r="E1276" s="20"/>
      <c r="F1276" s="20"/>
      <c r="G1276" s="20"/>
      <c r="H1276" s="20"/>
      <c r="I1276" s="21"/>
    </row>
    <row r="1277" customFormat="false" ht="15" hidden="false" customHeight="false" outlineLevel="0" collapsed="false">
      <c r="A1277" s="30"/>
      <c r="B1277" s="21"/>
      <c r="C1277" s="21" t="str">
        <f aca="false">IF(B1277="","",IFERROR(INDEX(代理店一覧!$B$5:$B$204,MATCH(B1277,代理店一覧!$A$5:$A$204,0)),"※未登録のID"))</f>
        <v/>
      </c>
      <c r="D1277" s="20"/>
      <c r="E1277" s="20"/>
      <c r="F1277" s="20"/>
      <c r="G1277" s="20"/>
      <c r="H1277" s="20"/>
      <c r="I1277" s="21"/>
    </row>
    <row r="1278" customFormat="false" ht="15" hidden="false" customHeight="false" outlineLevel="0" collapsed="false">
      <c r="A1278" s="30"/>
      <c r="B1278" s="21"/>
      <c r="C1278" s="21" t="str">
        <f aca="false">IF(B1278="","",IFERROR(INDEX(代理店一覧!$B$5:$B$204,MATCH(B1278,代理店一覧!$A$5:$A$204,0)),"※未登録のID"))</f>
        <v/>
      </c>
      <c r="D1278" s="20"/>
      <c r="E1278" s="20"/>
      <c r="F1278" s="20"/>
      <c r="G1278" s="20"/>
      <c r="H1278" s="20"/>
      <c r="I1278" s="21"/>
    </row>
    <row r="1279" customFormat="false" ht="15" hidden="false" customHeight="false" outlineLevel="0" collapsed="false">
      <c r="A1279" s="30"/>
      <c r="B1279" s="21"/>
      <c r="C1279" s="21" t="str">
        <f aca="false">IF(B1279="","",IFERROR(INDEX(代理店一覧!$B$5:$B$204,MATCH(B1279,代理店一覧!$A$5:$A$204,0)),"※未登録のID"))</f>
        <v/>
      </c>
      <c r="D1279" s="20"/>
      <c r="E1279" s="20"/>
      <c r="F1279" s="20"/>
      <c r="G1279" s="20"/>
      <c r="H1279" s="20"/>
      <c r="I1279" s="21"/>
    </row>
    <row r="1280" customFormat="false" ht="15" hidden="false" customHeight="false" outlineLevel="0" collapsed="false">
      <c r="A1280" s="30"/>
      <c r="B1280" s="21"/>
      <c r="C1280" s="21" t="str">
        <f aca="false">IF(B1280="","",IFERROR(INDEX(代理店一覧!$B$5:$B$204,MATCH(B1280,代理店一覧!$A$5:$A$204,0)),"※未登録のID"))</f>
        <v/>
      </c>
      <c r="D1280" s="20"/>
      <c r="E1280" s="20"/>
      <c r="F1280" s="20"/>
      <c r="G1280" s="20"/>
      <c r="H1280" s="20"/>
      <c r="I1280" s="21"/>
    </row>
    <row r="1281" customFormat="false" ht="15" hidden="false" customHeight="false" outlineLevel="0" collapsed="false">
      <c r="A1281" s="30"/>
      <c r="B1281" s="21"/>
      <c r="C1281" s="21" t="str">
        <f aca="false">IF(B1281="","",IFERROR(INDEX(代理店一覧!$B$5:$B$204,MATCH(B1281,代理店一覧!$A$5:$A$204,0)),"※未登録のID"))</f>
        <v/>
      </c>
      <c r="D1281" s="20"/>
      <c r="E1281" s="20"/>
      <c r="F1281" s="20"/>
      <c r="G1281" s="20"/>
      <c r="H1281" s="20"/>
      <c r="I1281" s="21"/>
    </row>
    <row r="1282" customFormat="false" ht="15" hidden="false" customHeight="false" outlineLevel="0" collapsed="false">
      <c r="A1282" s="30"/>
      <c r="B1282" s="21"/>
      <c r="C1282" s="21" t="str">
        <f aca="false">IF(B1282="","",IFERROR(INDEX(代理店一覧!$B$5:$B$204,MATCH(B1282,代理店一覧!$A$5:$A$204,0)),"※未登録のID"))</f>
        <v/>
      </c>
      <c r="D1282" s="20"/>
      <c r="E1282" s="20"/>
      <c r="F1282" s="20"/>
      <c r="G1282" s="20"/>
      <c r="H1282" s="20"/>
      <c r="I1282" s="21"/>
    </row>
    <row r="1283" customFormat="false" ht="15" hidden="false" customHeight="false" outlineLevel="0" collapsed="false">
      <c r="A1283" s="30"/>
      <c r="B1283" s="21"/>
      <c r="C1283" s="21" t="str">
        <f aca="false">IF(B1283="","",IFERROR(INDEX(代理店一覧!$B$5:$B$204,MATCH(B1283,代理店一覧!$A$5:$A$204,0)),"※未登録のID"))</f>
        <v/>
      </c>
      <c r="D1283" s="20"/>
      <c r="E1283" s="20"/>
      <c r="F1283" s="20"/>
      <c r="G1283" s="20"/>
      <c r="H1283" s="20"/>
      <c r="I1283" s="21"/>
    </row>
    <row r="1284" customFormat="false" ht="15" hidden="false" customHeight="false" outlineLevel="0" collapsed="false">
      <c r="A1284" s="30"/>
      <c r="B1284" s="21"/>
      <c r="C1284" s="21" t="str">
        <f aca="false">IF(B1284="","",IFERROR(INDEX(代理店一覧!$B$5:$B$204,MATCH(B1284,代理店一覧!$A$5:$A$204,0)),"※未登録のID"))</f>
        <v/>
      </c>
      <c r="D1284" s="20"/>
      <c r="E1284" s="20"/>
      <c r="F1284" s="20"/>
      <c r="G1284" s="20"/>
      <c r="H1284" s="20"/>
      <c r="I1284" s="21"/>
    </row>
    <row r="1285" customFormat="false" ht="15" hidden="false" customHeight="false" outlineLevel="0" collapsed="false">
      <c r="A1285" s="30"/>
      <c r="B1285" s="21"/>
      <c r="C1285" s="21" t="str">
        <f aca="false">IF(B1285="","",IFERROR(INDEX(代理店一覧!$B$5:$B$204,MATCH(B1285,代理店一覧!$A$5:$A$204,0)),"※未登録のID"))</f>
        <v/>
      </c>
      <c r="D1285" s="20"/>
      <c r="E1285" s="20"/>
      <c r="F1285" s="20"/>
      <c r="G1285" s="20"/>
      <c r="H1285" s="20"/>
      <c r="I1285" s="21"/>
    </row>
    <row r="1286" customFormat="false" ht="15" hidden="false" customHeight="false" outlineLevel="0" collapsed="false">
      <c r="A1286" s="30"/>
      <c r="B1286" s="21"/>
      <c r="C1286" s="21" t="str">
        <f aca="false">IF(B1286="","",IFERROR(INDEX(代理店一覧!$B$5:$B$204,MATCH(B1286,代理店一覧!$A$5:$A$204,0)),"※未登録のID"))</f>
        <v/>
      </c>
      <c r="D1286" s="20"/>
      <c r="E1286" s="20"/>
      <c r="F1286" s="20"/>
      <c r="G1286" s="20"/>
      <c r="H1286" s="20"/>
      <c r="I1286" s="21"/>
    </row>
    <row r="1287" customFormat="false" ht="15" hidden="false" customHeight="false" outlineLevel="0" collapsed="false">
      <c r="A1287" s="30"/>
      <c r="B1287" s="21"/>
      <c r="C1287" s="21" t="str">
        <f aca="false">IF(B1287="","",IFERROR(INDEX(代理店一覧!$B$5:$B$204,MATCH(B1287,代理店一覧!$A$5:$A$204,0)),"※未登録のID"))</f>
        <v/>
      </c>
      <c r="D1287" s="20"/>
      <c r="E1287" s="20"/>
      <c r="F1287" s="20"/>
      <c r="G1287" s="20"/>
      <c r="H1287" s="20"/>
      <c r="I1287" s="21"/>
    </row>
    <row r="1288" customFormat="false" ht="15" hidden="false" customHeight="false" outlineLevel="0" collapsed="false">
      <c r="A1288" s="30"/>
      <c r="B1288" s="21"/>
      <c r="C1288" s="21" t="str">
        <f aca="false">IF(B1288="","",IFERROR(INDEX(代理店一覧!$B$5:$B$204,MATCH(B1288,代理店一覧!$A$5:$A$204,0)),"※未登録のID"))</f>
        <v/>
      </c>
      <c r="D1288" s="20"/>
      <c r="E1288" s="20"/>
      <c r="F1288" s="20"/>
      <c r="G1288" s="20"/>
      <c r="H1288" s="20"/>
      <c r="I1288" s="21"/>
    </row>
    <row r="1289" customFormat="false" ht="15" hidden="false" customHeight="false" outlineLevel="0" collapsed="false">
      <c r="A1289" s="30"/>
      <c r="B1289" s="21"/>
      <c r="C1289" s="21" t="str">
        <f aca="false">IF(B1289="","",IFERROR(INDEX(代理店一覧!$B$5:$B$204,MATCH(B1289,代理店一覧!$A$5:$A$204,0)),"※未登録のID"))</f>
        <v/>
      </c>
      <c r="D1289" s="20"/>
      <c r="E1289" s="20"/>
      <c r="F1289" s="20"/>
      <c r="G1289" s="20"/>
      <c r="H1289" s="20"/>
      <c r="I1289" s="21"/>
    </row>
    <row r="1290" customFormat="false" ht="15" hidden="false" customHeight="false" outlineLevel="0" collapsed="false">
      <c r="A1290" s="30"/>
      <c r="B1290" s="21"/>
      <c r="C1290" s="21" t="str">
        <f aca="false">IF(B1290="","",IFERROR(INDEX(代理店一覧!$B$5:$B$204,MATCH(B1290,代理店一覧!$A$5:$A$204,0)),"※未登録のID"))</f>
        <v/>
      </c>
      <c r="D1290" s="20"/>
      <c r="E1290" s="20"/>
      <c r="F1290" s="20"/>
      <c r="G1290" s="20"/>
      <c r="H1290" s="20"/>
      <c r="I1290" s="21"/>
    </row>
    <row r="1291" customFormat="false" ht="15" hidden="false" customHeight="false" outlineLevel="0" collapsed="false">
      <c r="A1291" s="30"/>
      <c r="B1291" s="21"/>
      <c r="C1291" s="21" t="str">
        <f aca="false">IF(B1291="","",IFERROR(INDEX(代理店一覧!$B$5:$B$204,MATCH(B1291,代理店一覧!$A$5:$A$204,0)),"※未登録のID"))</f>
        <v/>
      </c>
      <c r="D1291" s="20"/>
      <c r="E1291" s="20"/>
      <c r="F1291" s="20"/>
      <c r="G1291" s="20"/>
      <c r="H1291" s="20"/>
      <c r="I1291" s="21"/>
    </row>
    <row r="1292" customFormat="false" ht="15" hidden="false" customHeight="false" outlineLevel="0" collapsed="false">
      <c r="A1292" s="30"/>
      <c r="B1292" s="21"/>
      <c r="C1292" s="21" t="str">
        <f aca="false">IF(B1292="","",IFERROR(INDEX(代理店一覧!$B$5:$B$204,MATCH(B1292,代理店一覧!$A$5:$A$204,0)),"※未登録のID"))</f>
        <v/>
      </c>
      <c r="D1292" s="20"/>
      <c r="E1292" s="20"/>
      <c r="F1292" s="20"/>
      <c r="G1292" s="20"/>
      <c r="H1292" s="20"/>
      <c r="I1292" s="21"/>
    </row>
    <row r="1293" customFormat="false" ht="15" hidden="false" customHeight="false" outlineLevel="0" collapsed="false">
      <c r="A1293" s="30"/>
      <c r="B1293" s="21"/>
      <c r="C1293" s="21" t="str">
        <f aca="false">IF(B1293="","",IFERROR(INDEX(代理店一覧!$B$5:$B$204,MATCH(B1293,代理店一覧!$A$5:$A$204,0)),"※未登録のID"))</f>
        <v/>
      </c>
      <c r="D1293" s="20"/>
      <c r="E1293" s="20"/>
      <c r="F1293" s="20"/>
      <c r="G1293" s="20"/>
      <c r="H1293" s="20"/>
      <c r="I1293" s="21"/>
    </row>
    <row r="1294" customFormat="false" ht="15" hidden="false" customHeight="false" outlineLevel="0" collapsed="false">
      <c r="A1294" s="30"/>
      <c r="B1294" s="21"/>
      <c r="C1294" s="21" t="str">
        <f aca="false">IF(B1294="","",IFERROR(INDEX(代理店一覧!$B$5:$B$204,MATCH(B1294,代理店一覧!$A$5:$A$204,0)),"※未登録のID"))</f>
        <v/>
      </c>
      <c r="D1294" s="20"/>
      <c r="E1294" s="20"/>
      <c r="F1294" s="20"/>
      <c r="G1294" s="20"/>
      <c r="H1294" s="20"/>
      <c r="I1294" s="21"/>
    </row>
    <row r="1295" customFormat="false" ht="15" hidden="false" customHeight="false" outlineLevel="0" collapsed="false">
      <c r="A1295" s="30"/>
      <c r="B1295" s="21"/>
      <c r="C1295" s="21" t="str">
        <f aca="false">IF(B1295="","",IFERROR(INDEX(代理店一覧!$B$5:$B$204,MATCH(B1295,代理店一覧!$A$5:$A$204,0)),"※未登録のID"))</f>
        <v/>
      </c>
      <c r="D1295" s="20"/>
      <c r="E1295" s="20"/>
      <c r="F1295" s="20"/>
      <c r="G1295" s="20"/>
      <c r="H1295" s="20"/>
      <c r="I1295" s="21"/>
    </row>
    <row r="1296" customFormat="false" ht="15" hidden="false" customHeight="false" outlineLevel="0" collapsed="false">
      <c r="A1296" s="30"/>
      <c r="B1296" s="21"/>
      <c r="C1296" s="21" t="str">
        <f aca="false">IF(B1296="","",IFERROR(INDEX(代理店一覧!$B$5:$B$204,MATCH(B1296,代理店一覧!$A$5:$A$204,0)),"※未登録のID"))</f>
        <v/>
      </c>
      <c r="D1296" s="20"/>
      <c r="E1296" s="20"/>
      <c r="F1296" s="20"/>
      <c r="G1296" s="20"/>
      <c r="H1296" s="20"/>
      <c r="I1296" s="21"/>
    </row>
    <row r="1297" customFormat="false" ht="15" hidden="false" customHeight="false" outlineLevel="0" collapsed="false">
      <c r="A1297" s="30"/>
      <c r="B1297" s="21"/>
      <c r="C1297" s="21" t="str">
        <f aca="false">IF(B1297="","",IFERROR(INDEX(代理店一覧!$B$5:$B$204,MATCH(B1297,代理店一覧!$A$5:$A$204,0)),"※未登録のID"))</f>
        <v/>
      </c>
      <c r="D1297" s="20"/>
      <c r="E1297" s="20"/>
      <c r="F1297" s="20"/>
      <c r="G1297" s="20"/>
      <c r="H1297" s="20"/>
      <c r="I1297" s="21"/>
    </row>
    <row r="1298" customFormat="false" ht="15" hidden="false" customHeight="false" outlineLevel="0" collapsed="false">
      <c r="A1298" s="30"/>
      <c r="B1298" s="21"/>
      <c r="C1298" s="21" t="str">
        <f aca="false">IF(B1298="","",IFERROR(INDEX(代理店一覧!$B$5:$B$204,MATCH(B1298,代理店一覧!$A$5:$A$204,0)),"※未登録のID"))</f>
        <v/>
      </c>
      <c r="D1298" s="20"/>
      <c r="E1298" s="20"/>
      <c r="F1298" s="20"/>
      <c r="G1298" s="20"/>
      <c r="H1298" s="20"/>
      <c r="I1298" s="21"/>
    </row>
    <row r="1299" customFormat="false" ht="15" hidden="false" customHeight="false" outlineLevel="0" collapsed="false">
      <c r="A1299" s="30"/>
      <c r="B1299" s="21"/>
      <c r="C1299" s="21" t="str">
        <f aca="false">IF(B1299="","",IFERROR(INDEX(代理店一覧!$B$5:$B$204,MATCH(B1299,代理店一覧!$A$5:$A$204,0)),"※未登録のID"))</f>
        <v/>
      </c>
      <c r="D1299" s="20"/>
      <c r="E1299" s="20"/>
      <c r="F1299" s="20"/>
      <c r="G1299" s="20"/>
      <c r="H1299" s="20"/>
      <c r="I1299" s="21"/>
    </row>
    <row r="1300" customFormat="false" ht="15" hidden="false" customHeight="false" outlineLevel="0" collapsed="false">
      <c r="A1300" s="30"/>
      <c r="B1300" s="21"/>
      <c r="C1300" s="21" t="str">
        <f aca="false">IF(B1300="","",IFERROR(INDEX(代理店一覧!$B$5:$B$204,MATCH(B1300,代理店一覧!$A$5:$A$204,0)),"※未登録のID"))</f>
        <v/>
      </c>
      <c r="D1300" s="20"/>
      <c r="E1300" s="20"/>
      <c r="F1300" s="20"/>
      <c r="G1300" s="20"/>
      <c r="H1300" s="20"/>
      <c r="I1300" s="21"/>
    </row>
    <row r="1301" customFormat="false" ht="15" hidden="false" customHeight="false" outlineLevel="0" collapsed="false">
      <c r="A1301" s="30"/>
      <c r="B1301" s="21"/>
      <c r="C1301" s="21" t="str">
        <f aca="false">IF(B1301="","",IFERROR(INDEX(代理店一覧!$B$5:$B$204,MATCH(B1301,代理店一覧!$A$5:$A$204,0)),"※未登録のID"))</f>
        <v/>
      </c>
      <c r="D1301" s="20"/>
      <c r="E1301" s="20"/>
      <c r="F1301" s="20"/>
      <c r="G1301" s="20"/>
      <c r="H1301" s="20"/>
      <c r="I1301" s="21"/>
    </row>
    <row r="1302" customFormat="false" ht="15" hidden="false" customHeight="false" outlineLevel="0" collapsed="false">
      <c r="A1302" s="30"/>
      <c r="B1302" s="21"/>
      <c r="C1302" s="21" t="str">
        <f aca="false">IF(B1302="","",IFERROR(INDEX(代理店一覧!$B$5:$B$204,MATCH(B1302,代理店一覧!$A$5:$A$204,0)),"※未登録のID"))</f>
        <v/>
      </c>
      <c r="D1302" s="20"/>
      <c r="E1302" s="20"/>
      <c r="F1302" s="20"/>
      <c r="G1302" s="20"/>
      <c r="H1302" s="20"/>
      <c r="I1302" s="21"/>
    </row>
    <row r="1303" customFormat="false" ht="15" hidden="false" customHeight="false" outlineLevel="0" collapsed="false">
      <c r="A1303" s="30"/>
      <c r="B1303" s="21"/>
      <c r="C1303" s="21" t="str">
        <f aca="false">IF(B1303="","",IFERROR(INDEX(代理店一覧!$B$5:$B$204,MATCH(B1303,代理店一覧!$A$5:$A$204,0)),"※未登録のID"))</f>
        <v/>
      </c>
      <c r="D1303" s="20"/>
      <c r="E1303" s="20"/>
      <c r="F1303" s="20"/>
      <c r="G1303" s="20"/>
      <c r="H1303" s="20"/>
      <c r="I1303" s="21"/>
    </row>
    <row r="1304" customFormat="false" ht="15" hidden="false" customHeight="false" outlineLevel="0" collapsed="false">
      <c r="A1304" s="30"/>
      <c r="B1304" s="21"/>
      <c r="C1304" s="21" t="str">
        <f aca="false">IF(B1304="","",IFERROR(INDEX(代理店一覧!$B$5:$B$204,MATCH(B1304,代理店一覧!$A$5:$A$204,0)),"※未登録のID"))</f>
        <v/>
      </c>
      <c r="D1304" s="20"/>
      <c r="E1304" s="20"/>
      <c r="F1304" s="20"/>
      <c r="G1304" s="20"/>
      <c r="H1304" s="20"/>
      <c r="I1304" s="21"/>
    </row>
    <row r="1305" customFormat="false" ht="15" hidden="false" customHeight="false" outlineLevel="0" collapsed="false">
      <c r="A1305" s="30"/>
      <c r="B1305" s="21"/>
      <c r="C1305" s="21" t="str">
        <f aca="false">IF(B1305="","",IFERROR(INDEX(代理店一覧!$B$5:$B$204,MATCH(B1305,代理店一覧!$A$5:$A$204,0)),"※未登録のID"))</f>
        <v/>
      </c>
      <c r="D1305" s="20"/>
      <c r="E1305" s="20"/>
      <c r="F1305" s="20"/>
      <c r="G1305" s="20"/>
      <c r="H1305" s="20"/>
      <c r="I1305" s="21"/>
    </row>
    <row r="1306" customFormat="false" ht="15" hidden="false" customHeight="false" outlineLevel="0" collapsed="false">
      <c r="A1306" s="30"/>
      <c r="B1306" s="21"/>
      <c r="C1306" s="21" t="str">
        <f aca="false">IF(B1306="","",IFERROR(INDEX(代理店一覧!$B$5:$B$204,MATCH(B1306,代理店一覧!$A$5:$A$204,0)),"※未登録のID"))</f>
        <v/>
      </c>
      <c r="D1306" s="20"/>
      <c r="E1306" s="20"/>
      <c r="F1306" s="20"/>
      <c r="G1306" s="20"/>
      <c r="H1306" s="20"/>
      <c r="I1306" s="21"/>
    </row>
    <row r="1307" customFormat="false" ht="15" hidden="false" customHeight="false" outlineLevel="0" collapsed="false">
      <c r="A1307" s="30"/>
      <c r="B1307" s="21"/>
      <c r="C1307" s="21" t="str">
        <f aca="false">IF(B1307="","",IFERROR(INDEX(代理店一覧!$B$5:$B$204,MATCH(B1307,代理店一覧!$A$5:$A$204,0)),"※未登録のID"))</f>
        <v/>
      </c>
      <c r="D1307" s="20"/>
      <c r="E1307" s="20"/>
      <c r="F1307" s="20"/>
      <c r="G1307" s="20"/>
      <c r="H1307" s="20"/>
      <c r="I1307" s="21"/>
    </row>
    <row r="1308" customFormat="false" ht="15" hidden="false" customHeight="false" outlineLevel="0" collapsed="false">
      <c r="A1308" s="30"/>
      <c r="B1308" s="21"/>
      <c r="C1308" s="21" t="str">
        <f aca="false">IF(B1308="","",IFERROR(INDEX(代理店一覧!$B$5:$B$204,MATCH(B1308,代理店一覧!$A$5:$A$204,0)),"※未登録のID"))</f>
        <v/>
      </c>
      <c r="D1308" s="20"/>
      <c r="E1308" s="20"/>
      <c r="F1308" s="20"/>
      <c r="G1308" s="20"/>
      <c r="H1308" s="20"/>
      <c r="I1308" s="21"/>
    </row>
    <row r="1309" customFormat="false" ht="15" hidden="false" customHeight="false" outlineLevel="0" collapsed="false">
      <c r="A1309" s="30"/>
      <c r="B1309" s="21"/>
      <c r="C1309" s="21" t="str">
        <f aca="false">IF(B1309="","",IFERROR(INDEX(代理店一覧!$B$5:$B$204,MATCH(B1309,代理店一覧!$A$5:$A$204,0)),"※未登録のID"))</f>
        <v/>
      </c>
      <c r="D1309" s="20"/>
      <c r="E1309" s="20"/>
      <c r="F1309" s="20"/>
      <c r="G1309" s="20"/>
      <c r="H1309" s="20"/>
      <c r="I1309" s="21"/>
    </row>
    <row r="1310" customFormat="false" ht="15" hidden="false" customHeight="false" outlineLevel="0" collapsed="false">
      <c r="A1310" s="30"/>
      <c r="B1310" s="21"/>
      <c r="C1310" s="21" t="str">
        <f aca="false">IF(B1310="","",IFERROR(INDEX(代理店一覧!$B$5:$B$204,MATCH(B1310,代理店一覧!$A$5:$A$204,0)),"※未登録のID"))</f>
        <v/>
      </c>
      <c r="D1310" s="20"/>
      <c r="E1310" s="20"/>
      <c r="F1310" s="20"/>
      <c r="G1310" s="20"/>
      <c r="H1310" s="20"/>
      <c r="I1310" s="21"/>
    </row>
    <row r="1311" customFormat="false" ht="15" hidden="false" customHeight="false" outlineLevel="0" collapsed="false">
      <c r="A1311" s="30"/>
      <c r="B1311" s="21"/>
      <c r="C1311" s="21" t="str">
        <f aca="false">IF(B1311="","",IFERROR(INDEX(代理店一覧!$B$5:$B$204,MATCH(B1311,代理店一覧!$A$5:$A$204,0)),"※未登録のID"))</f>
        <v/>
      </c>
      <c r="D1311" s="20"/>
      <c r="E1311" s="20"/>
      <c r="F1311" s="20"/>
      <c r="G1311" s="20"/>
      <c r="H1311" s="20"/>
      <c r="I1311" s="21"/>
    </row>
    <row r="1312" customFormat="false" ht="15" hidden="false" customHeight="false" outlineLevel="0" collapsed="false">
      <c r="A1312" s="30"/>
      <c r="B1312" s="21"/>
      <c r="C1312" s="21" t="str">
        <f aca="false">IF(B1312="","",IFERROR(INDEX(代理店一覧!$B$5:$B$204,MATCH(B1312,代理店一覧!$A$5:$A$204,0)),"※未登録のID"))</f>
        <v/>
      </c>
      <c r="D1312" s="20"/>
      <c r="E1312" s="20"/>
      <c r="F1312" s="20"/>
      <c r="G1312" s="20"/>
      <c r="H1312" s="20"/>
      <c r="I1312" s="21"/>
    </row>
    <row r="1313" customFormat="false" ht="15" hidden="false" customHeight="false" outlineLevel="0" collapsed="false">
      <c r="A1313" s="30"/>
      <c r="B1313" s="21"/>
      <c r="C1313" s="21" t="str">
        <f aca="false">IF(B1313="","",IFERROR(INDEX(代理店一覧!$B$5:$B$204,MATCH(B1313,代理店一覧!$A$5:$A$204,0)),"※未登録のID"))</f>
        <v/>
      </c>
      <c r="D1313" s="20"/>
      <c r="E1313" s="20"/>
      <c r="F1313" s="20"/>
      <c r="G1313" s="20"/>
      <c r="H1313" s="20"/>
      <c r="I1313" s="21"/>
    </row>
    <row r="1314" customFormat="false" ht="15" hidden="false" customHeight="false" outlineLevel="0" collapsed="false">
      <c r="A1314" s="30"/>
      <c r="B1314" s="21"/>
      <c r="C1314" s="21" t="str">
        <f aca="false">IF(B1314="","",IFERROR(INDEX(代理店一覧!$B$5:$B$204,MATCH(B1314,代理店一覧!$A$5:$A$204,0)),"※未登録のID"))</f>
        <v/>
      </c>
      <c r="D1314" s="20"/>
      <c r="E1314" s="20"/>
      <c r="F1314" s="20"/>
      <c r="G1314" s="20"/>
      <c r="H1314" s="20"/>
      <c r="I1314" s="21"/>
    </row>
    <row r="1315" customFormat="false" ht="15" hidden="false" customHeight="false" outlineLevel="0" collapsed="false">
      <c r="A1315" s="30"/>
      <c r="B1315" s="21"/>
      <c r="C1315" s="21" t="str">
        <f aca="false">IF(B1315="","",IFERROR(INDEX(代理店一覧!$B$5:$B$204,MATCH(B1315,代理店一覧!$A$5:$A$204,0)),"※未登録のID"))</f>
        <v/>
      </c>
      <c r="D1315" s="20"/>
      <c r="E1315" s="20"/>
      <c r="F1315" s="20"/>
      <c r="G1315" s="20"/>
      <c r="H1315" s="20"/>
      <c r="I1315" s="21"/>
    </row>
    <row r="1316" customFormat="false" ht="15" hidden="false" customHeight="false" outlineLevel="0" collapsed="false">
      <c r="A1316" s="30"/>
      <c r="B1316" s="21"/>
      <c r="C1316" s="21" t="str">
        <f aca="false">IF(B1316="","",IFERROR(INDEX(代理店一覧!$B$5:$B$204,MATCH(B1316,代理店一覧!$A$5:$A$204,0)),"※未登録のID"))</f>
        <v/>
      </c>
      <c r="D1316" s="20"/>
      <c r="E1316" s="20"/>
      <c r="F1316" s="20"/>
      <c r="G1316" s="20"/>
      <c r="H1316" s="20"/>
      <c r="I1316" s="21"/>
    </row>
    <row r="1317" customFormat="false" ht="15" hidden="false" customHeight="false" outlineLevel="0" collapsed="false">
      <c r="A1317" s="30"/>
      <c r="B1317" s="21"/>
      <c r="C1317" s="21" t="str">
        <f aca="false">IF(B1317="","",IFERROR(INDEX(代理店一覧!$B$5:$B$204,MATCH(B1317,代理店一覧!$A$5:$A$204,0)),"※未登録のID"))</f>
        <v/>
      </c>
      <c r="D1317" s="20"/>
      <c r="E1317" s="20"/>
      <c r="F1317" s="20"/>
      <c r="G1317" s="20"/>
      <c r="H1317" s="20"/>
      <c r="I1317" s="21"/>
    </row>
    <row r="1318" customFormat="false" ht="15" hidden="false" customHeight="false" outlineLevel="0" collapsed="false">
      <c r="A1318" s="30"/>
      <c r="B1318" s="21"/>
      <c r="C1318" s="21" t="str">
        <f aca="false">IF(B1318="","",IFERROR(INDEX(代理店一覧!$B$5:$B$204,MATCH(B1318,代理店一覧!$A$5:$A$204,0)),"※未登録のID"))</f>
        <v/>
      </c>
      <c r="D1318" s="20"/>
      <c r="E1318" s="20"/>
      <c r="F1318" s="20"/>
      <c r="G1318" s="20"/>
      <c r="H1318" s="20"/>
      <c r="I1318" s="21"/>
    </row>
    <row r="1319" customFormat="false" ht="15" hidden="false" customHeight="false" outlineLevel="0" collapsed="false">
      <c r="A1319" s="30"/>
      <c r="B1319" s="21"/>
      <c r="C1319" s="21" t="str">
        <f aca="false">IF(B1319="","",IFERROR(INDEX(代理店一覧!$B$5:$B$204,MATCH(B1319,代理店一覧!$A$5:$A$204,0)),"※未登録のID"))</f>
        <v/>
      </c>
      <c r="D1319" s="20"/>
      <c r="E1319" s="20"/>
      <c r="F1319" s="20"/>
      <c r="G1319" s="20"/>
      <c r="H1319" s="20"/>
      <c r="I1319" s="21"/>
    </row>
    <row r="1320" customFormat="false" ht="15" hidden="false" customHeight="false" outlineLevel="0" collapsed="false">
      <c r="A1320" s="30"/>
      <c r="B1320" s="21"/>
      <c r="C1320" s="21" t="str">
        <f aca="false">IF(B1320="","",IFERROR(INDEX(代理店一覧!$B$5:$B$204,MATCH(B1320,代理店一覧!$A$5:$A$204,0)),"※未登録のID"))</f>
        <v/>
      </c>
      <c r="D1320" s="20"/>
      <c r="E1320" s="20"/>
      <c r="F1320" s="20"/>
      <c r="G1320" s="20"/>
      <c r="H1320" s="20"/>
      <c r="I1320" s="21"/>
    </row>
    <row r="1321" customFormat="false" ht="15" hidden="false" customHeight="false" outlineLevel="0" collapsed="false">
      <c r="A1321" s="30"/>
      <c r="B1321" s="21"/>
      <c r="C1321" s="21" t="str">
        <f aca="false">IF(B1321="","",IFERROR(INDEX(代理店一覧!$B$5:$B$204,MATCH(B1321,代理店一覧!$A$5:$A$204,0)),"※未登録のID"))</f>
        <v/>
      </c>
      <c r="D1321" s="20"/>
      <c r="E1321" s="20"/>
      <c r="F1321" s="20"/>
      <c r="G1321" s="20"/>
      <c r="H1321" s="20"/>
      <c r="I1321" s="21"/>
    </row>
    <row r="1322" customFormat="false" ht="15" hidden="false" customHeight="false" outlineLevel="0" collapsed="false">
      <c r="A1322" s="30"/>
      <c r="B1322" s="21"/>
      <c r="C1322" s="21" t="str">
        <f aca="false">IF(B1322="","",IFERROR(INDEX(代理店一覧!$B$5:$B$204,MATCH(B1322,代理店一覧!$A$5:$A$204,0)),"※未登録のID"))</f>
        <v/>
      </c>
      <c r="D1322" s="20"/>
      <c r="E1322" s="20"/>
      <c r="F1322" s="20"/>
      <c r="G1322" s="20"/>
      <c r="H1322" s="20"/>
      <c r="I1322" s="21"/>
    </row>
    <row r="1323" customFormat="false" ht="15" hidden="false" customHeight="false" outlineLevel="0" collapsed="false">
      <c r="A1323" s="30"/>
      <c r="B1323" s="21"/>
      <c r="C1323" s="21" t="str">
        <f aca="false">IF(B1323="","",IFERROR(INDEX(代理店一覧!$B$5:$B$204,MATCH(B1323,代理店一覧!$A$5:$A$204,0)),"※未登録のID"))</f>
        <v/>
      </c>
      <c r="D1323" s="20"/>
      <c r="E1323" s="20"/>
      <c r="F1323" s="20"/>
      <c r="G1323" s="20"/>
      <c r="H1323" s="20"/>
      <c r="I1323" s="21"/>
    </row>
    <row r="1324" customFormat="false" ht="15" hidden="false" customHeight="false" outlineLevel="0" collapsed="false">
      <c r="A1324" s="30"/>
      <c r="B1324" s="21"/>
      <c r="C1324" s="21" t="str">
        <f aca="false">IF(B1324="","",IFERROR(INDEX(代理店一覧!$B$5:$B$204,MATCH(B1324,代理店一覧!$A$5:$A$204,0)),"※未登録のID"))</f>
        <v/>
      </c>
      <c r="D1324" s="20"/>
      <c r="E1324" s="20"/>
      <c r="F1324" s="20"/>
      <c r="G1324" s="20"/>
      <c r="H1324" s="20"/>
      <c r="I1324" s="21"/>
    </row>
    <row r="1325" customFormat="false" ht="15" hidden="false" customHeight="false" outlineLevel="0" collapsed="false">
      <c r="A1325" s="30"/>
      <c r="B1325" s="21"/>
      <c r="C1325" s="21" t="str">
        <f aca="false">IF(B1325="","",IFERROR(INDEX(代理店一覧!$B$5:$B$204,MATCH(B1325,代理店一覧!$A$5:$A$204,0)),"※未登録のID"))</f>
        <v/>
      </c>
      <c r="D1325" s="20"/>
      <c r="E1325" s="20"/>
      <c r="F1325" s="20"/>
      <c r="G1325" s="20"/>
      <c r="H1325" s="20"/>
      <c r="I1325" s="21"/>
    </row>
    <row r="1326" customFormat="false" ht="15" hidden="false" customHeight="false" outlineLevel="0" collapsed="false">
      <c r="A1326" s="30"/>
      <c r="B1326" s="21"/>
      <c r="C1326" s="21" t="str">
        <f aca="false">IF(B1326="","",IFERROR(INDEX(代理店一覧!$B$5:$B$204,MATCH(B1326,代理店一覧!$A$5:$A$204,0)),"※未登録のID"))</f>
        <v/>
      </c>
      <c r="D1326" s="20"/>
      <c r="E1326" s="20"/>
      <c r="F1326" s="20"/>
      <c r="G1326" s="20"/>
      <c r="H1326" s="20"/>
      <c r="I1326" s="21"/>
    </row>
    <row r="1327" customFormat="false" ht="15" hidden="false" customHeight="false" outlineLevel="0" collapsed="false">
      <c r="A1327" s="30"/>
      <c r="B1327" s="21"/>
      <c r="C1327" s="21" t="str">
        <f aca="false">IF(B1327="","",IFERROR(INDEX(代理店一覧!$B$5:$B$204,MATCH(B1327,代理店一覧!$A$5:$A$204,0)),"※未登録のID"))</f>
        <v/>
      </c>
      <c r="D1327" s="20"/>
      <c r="E1327" s="20"/>
      <c r="F1327" s="20"/>
      <c r="G1327" s="20"/>
      <c r="H1327" s="20"/>
      <c r="I1327" s="21"/>
    </row>
    <row r="1328" customFormat="false" ht="15" hidden="false" customHeight="false" outlineLevel="0" collapsed="false">
      <c r="A1328" s="30"/>
      <c r="B1328" s="21"/>
      <c r="C1328" s="21" t="str">
        <f aca="false">IF(B1328="","",IFERROR(INDEX(代理店一覧!$B$5:$B$204,MATCH(B1328,代理店一覧!$A$5:$A$204,0)),"※未登録のID"))</f>
        <v/>
      </c>
      <c r="D1328" s="20"/>
      <c r="E1328" s="20"/>
      <c r="F1328" s="20"/>
      <c r="G1328" s="20"/>
      <c r="H1328" s="20"/>
      <c r="I1328" s="21"/>
    </row>
    <row r="1329" customFormat="false" ht="15" hidden="false" customHeight="false" outlineLevel="0" collapsed="false">
      <c r="A1329" s="30"/>
      <c r="B1329" s="21"/>
      <c r="C1329" s="21" t="str">
        <f aca="false">IF(B1329="","",IFERROR(INDEX(代理店一覧!$B$5:$B$204,MATCH(B1329,代理店一覧!$A$5:$A$204,0)),"※未登録のID"))</f>
        <v/>
      </c>
      <c r="D1329" s="20"/>
      <c r="E1329" s="20"/>
      <c r="F1329" s="20"/>
      <c r="G1329" s="20"/>
      <c r="H1329" s="20"/>
      <c r="I1329" s="21"/>
    </row>
    <row r="1330" customFormat="false" ht="15" hidden="false" customHeight="false" outlineLevel="0" collapsed="false">
      <c r="A1330" s="30"/>
      <c r="B1330" s="21"/>
      <c r="C1330" s="21" t="str">
        <f aca="false">IF(B1330="","",IFERROR(INDEX(代理店一覧!$B$5:$B$204,MATCH(B1330,代理店一覧!$A$5:$A$204,0)),"※未登録のID"))</f>
        <v/>
      </c>
      <c r="D1330" s="20"/>
      <c r="E1330" s="20"/>
      <c r="F1330" s="20"/>
      <c r="G1330" s="20"/>
      <c r="H1330" s="20"/>
      <c r="I1330" s="21"/>
    </row>
    <row r="1331" customFormat="false" ht="15" hidden="false" customHeight="false" outlineLevel="0" collapsed="false">
      <c r="A1331" s="30"/>
      <c r="B1331" s="21"/>
      <c r="C1331" s="21" t="str">
        <f aca="false">IF(B1331="","",IFERROR(INDEX(代理店一覧!$B$5:$B$204,MATCH(B1331,代理店一覧!$A$5:$A$204,0)),"※未登録のID"))</f>
        <v/>
      </c>
      <c r="D1331" s="20"/>
      <c r="E1331" s="20"/>
      <c r="F1331" s="20"/>
      <c r="G1331" s="20"/>
      <c r="H1331" s="20"/>
      <c r="I1331" s="21"/>
    </row>
    <row r="1332" customFormat="false" ht="15" hidden="false" customHeight="false" outlineLevel="0" collapsed="false">
      <c r="A1332" s="30"/>
      <c r="B1332" s="21"/>
      <c r="C1332" s="21" t="str">
        <f aca="false">IF(B1332="","",IFERROR(INDEX(代理店一覧!$B$5:$B$204,MATCH(B1332,代理店一覧!$A$5:$A$204,0)),"※未登録のID"))</f>
        <v/>
      </c>
      <c r="D1332" s="20"/>
      <c r="E1332" s="20"/>
      <c r="F1332" s="20"/>
      <c r="G1332" s="20"/>
      <c r="H1332" s="20"/>
      <c r="I1332" s="21"/>
    </row>
    <row r="1333" customFormat="false" ht="15" hidden="false" customHeight="false" outlineLevel="0" collapsed="false">
      <c r="A1333" s="30"/>
      <c r="B1333" s="21"/>
      <c r="C1333" s="21" t="str">
        <f aca="false">IF(B1333="","",IFERROR(INDEX(代理店一覧!$B$5:$B$204,MATCH(B1333,代理店一覧!$A$5:$A$204,0)),"※未登録のID"))</f>
        <v/>
      </c>
      <c r="D1333" s="20"/>
      <c r="E1333" s="20"/>
      <c r="F1333" s="20"/>
      <c r="G1333" s="20"/>
      <c r="H1333" s="20"/>
      <c r="I1333" s="21"/>
    </row>
    <row r="1334" customFormat="false" ht="15" hidden="false" customHeight="false" outlineLevel="0" collapsed="false">
      <c r="A1334" s="30"/>
      <c r="B1334" s="21"/>
      <c r="C1334" s="21" t="str">
        <f aca="false">IF(B1334="","",IFERROR(INDEX(代理店一覧!$B$5:$B$204,MATCH(B1334,代理店一覧!$A$5:$A$204,0)),"※未登録のID"))</f>
        <v/>
      </c>
      <c r="D1334" s="20"/>
      <c r="E1334" s="20"/>
      <c r="F1334" s="20"/>
      <c r="G1334" s="20"/>
      <c r="H1334" s="20"/>
      <c r="I1334" s="21"/>
    </row>
    <row r="1335" customFormat="false" ht="15" hidden="false" customHeight="false" outlineLevel="0" collapsed="false">
      <c r="A1335" s="30"/>
      <c r="B1335" s="21"/>
      <c r="C1335" s="21" t="str">
        <f aca="false">IF(B1335="","",IFERROR(INDEX(代理店一覧!$B$5:$B$204,MATCH(B1335,代理店一覧!$A$5:$A$204,0)),"※未登録のID"))</f>
        <v/>
      </c>
      <c r="D1335" s="20"/>
      <c r="E1335" s="20"/>
      <c r="F1335" s="20"/>
      <c r="G1335" s="20"/>
      <c r="H1335" s="20"/>
      <c r="I1335" s="21"/>
    </row>
    <row r="1336" customFormat="false" ht="15" hidden="false" customHeight="false" outlineLevel="0" collapsed="false">
      <c r="A1336" s="30"/>
      <c r="B1336" s="21"/>
      <c r="C1336" s="21" t="str">
        <f aca="false">IF(B1336="","",IFERROR(INDEX(代理店一覧!$B$5:$B$204,MATCH(B1336,代理店一覧!$A$5:$A$204,0)),"※未登録のID"))</f>
        <v/>
      </c>
      <c r="D1336" s="20"/>
      <c r="E1336" s="20"/>
      <c r="F1336" s="20"/>
      <c r="G1336" s="20"/>
      <c r="H1336" s="20"/>
      <c r="I1336" s="21"/>
    </row>
    <row r="1337" customFormat="false" ht="15" hidden="false" customHeight="false" outlineLevel="0" collapsed="false">
      <c r="A1337" s="30"/>
      <c r="B1337" s="21"/>
      <c r="C1337" s="21" t="str">
        <f aca="false">IF(B1337="","",IFERROR(INDEX(代理店一覧!$B$5:$B$204,MATCH(B1337,代理店一覧!$A$5:$A$204,0)),"※未登録のID"))</f>
        <v/>
      </c>
      <c r="D1337" s="20"/>
      <c r="E1337" s="20"/>
      <c r="F1337" s="20"/>
      <c r="G1337" s="20"/>
      <c r="H1337" s="20"/>
      <c r="I1337" s="21"/>
    </row>
    <row r="1338" customFormat="false" ht="15" hidden="false" customHeight="false" outlineLevel="0" collapsed="false">
      <c r="A1338" s="30"/>
      <c r="B1338" s="21"/>
      <c r="C1338" s="21" t="str">
        <f aca="false">IF(B1338="","",IFERROR(INDEX(代理店一覧!$B$5:$B$204,MATCH(B1338,代理店一覧!$A$5:$A$204,0)),"※未登録のID"))</f>
        <v/>
      </c>
      <c r="D1338" s="20"/>
      <c r="E1338" s="20"/>
      <c r="F1338" s="20"/>
      <c r="G1338" s="20"/>
      <c r="H1338" s="20"/>
      <c r="I1338" s="21"/>
    </row>
    <row r="1339" customFormat="false" ht="15" hidden="false" customHeight="false" outlineLevel="0" collapsed="false">
      <c r="A1339" s="30"/>
      <c r="B1339" s="21"/>
      <c r="C1339" s="21" t="str">
        <f aca="false">IF(B1339="","",IFERROR(INDEX(代理店一覧!$B$5:$B$204,MATCH(B1339,代理店一覧!$A$5:$A$204,0)),"※未登録のID"))</f>
        <v/>
      </c>
      <c r="D1339" s="20"/>
      <c r="E1339" s="20"/>
      <c r="F1339" s="20"/>
      <c r="G1339" s="20"/>
      <c r="H1339" s="20"/>
      <c r="I1339" s="21"/>
    </row>
    <row r="1340" customFormat="false" ht="15" hidden="false" customHeight="false" outlineLevel="0" collapsed="false">
      <c r="A1340" s="30"/>
      <c r="B1340" s="21"/>
      <c r="C1340" s="21" t="str">
        <f aca="false">IF(B1340="","",IFERROR(INDEX(代理店一覧!$B$5:$B$204,MATCH(B1340,代理店一覧!$A$5:$A$204,0)),"※未登録のID"))</f>
        <v/>
      </c>
      <c r="D1340" s="20"/>
      <c r="E1340" s="20"/>
      <c r="F1340" s="20"/>
      <c r="G1340" s="20"/>
      <c r="H1340" s="20"/>
      <c r="I1340" s="21"/>
    </row>
    <row r="1341" customFormat="false" ht="15" hidden="false" customHeight="false" outlineLevel="0" collapsed="false">
      <c r="A1341" s="30"/>
      <c r="B1341" s="21"/>
      <c r="C1341" s="21" t="str">
        <f aca="false">IF(B1341="","",IFERROR(INDEX(代理店一覧!$B$5:$B$204,MATCH(B1341,代理店一覧!$A$5:$A$204,0)),"※未登録のID"))</f>
        <v/>
      </c>
      <c r="D1341" s="20"/>
      <c r="E1341" s="20"/>
      <c r="F1341" s="20"/>
      <c r="G1341" s="20"/>
      <c r="H1341" s="20"/>
      <c r="I1341" s="21"/>
    </row>
    <row r="1342" customFormat="false" ht="15" hidden="false" customHeight="false" outlineLevel="0" collapsed="false">
      <c r="A1342" s="30"/>
      <c r="B1342" s="21"/>
      <c r="C1342" s="21" t="str">
        <f aca="false">IF(B1342="","",IFERROR(INDEX(代理店一覧!$B$5:$B$204,MATCH(B1342,代理店一覧!$A$5:$A$204,0)),"※未登録のID"))</f>
        <v/>
      </c>
      <c r="D1342" s="20"/>
      <c r="E1342" s="20"/>
      <c r="F1342" s="20"/>
      <c r="G1342" s="20"/>
      <c r="H1342" s="20"/>
      <c r="I1342" s="21"/>
    </row>
    <row r="1343" customFormat="false" ht="15" hidden="false" customHeight="false" outlineLevel="0" collapsed="false">
      <c r="A1343" s="30"/>
      <c r="B1343" s="21"/>
      <c r="C1343" s="21" t="str">
        <f aca="false">IF(B1343="","",IFERROR(INDEX(代理店一覧!$B$5:$B$204,MATCH(B1343,代理店一覧!$A$5:$A$204,0)),"※未登録のID"))</f>
        <v/>
      </c>
      <c r="D1343" s="20"/>
      <c r="E1343" s="20"/>
      <c r="F1343" s="20"/>
      <c r="G1343" s="20"/>
      <c r="H1343" s="20"/>
      <c r="I1343" s="21"/>
    </row>
    <row r="1344" customFormat="false" ht="15" hidden="false" customHeight="false" outlineLevel="0" collapsed="false">
      <c r="A1344" s="30"/>
      <c r="B1344" s="21"/>
      <c r="C1344" s="21" t="str">
        <f aca="false">IF(B1344="","",IFERROR(INDEX(代理店一覧!$B$5:$B$204,MATCH(B1344,代理店一覧!$A$5:$A$204,0)),"※未登録のID"))</f>
        <v/>
      </c>
      <c r="D1344" s="20"/>
      <c r="E1344" s="20"/>
      <c r="F1344" s="20"/>
      <c r="G1344" s="20"/>
      <c r="H1344" s="20"/>
      <c r="I1344" s="21"/>
    </row>
    <row r="1345" customFormat="false" ht="15" hidden="false" customHeight="false" outlineLevel="0" collapsed="false">
      <c r="A1345" s="30"/>
      <c r="B1345" s="21"/>
      <c r="C1345" s="21" t="str">
        <f aca="false">IF(B1345="","",IFERROR(INDEX(代理店一覧!$B$5:$B$204,MATCH(B1345,代理店一覧!$A$5:$A$204,0)),"※未登録のID"))</f>
        <v/>
      </c>
      <c r="D1345" s="20"/>
      <c r="E1345" s="20"/>
      <c r="F1345" s="20"/>
      <c r="G1345" s="20"/>
      <c r="H1345" s="20"/>
      <c r="I1345" s="21"/>
    </row>
    <row r="1346" customFormat="false" ht="15" hidden="false" customHeight="false" outlineLevel="0" collapsed="false">
      <c r="A1346" s="30"/>
      <c r="B1346" s="21"/>
      <c r="C1346" s="21" t="str">
        <f aca="false">IF(B1346="","",IFERROR(INDEX(代理店一覧!$B$5:$B$204,MATCH(B1346,代理店一覧!$A$5:$A$204,0)),"※未登録のID"))</f>
        <v/>
      </c>
      <c r="D1346" s="20"/>
      <c r="E1346" s="20"/>
      <c r="F1346" s="20"/>
      <c r="G1346" s="20"/>
      <c r="H1346" s="20"/>
      <c r="I1346" s="21"/>
    </row>
    <row r="1347" customFormat="false" ht="15" hidden="false" customHeight="false" outlineLevel="0" collapsed="false">
      <c r="A1347" s="30"/>
      <c r="B1347" s="21"/>
      <c r="C1347" s="21" t="str">
        <f aca="false">IF(B1347="","",IFERROR(INDEX(代理店一覧!$B$5:$B$204,MATCH(B1347,代理店一覧!$A$5:$A$204,0)),"※未登録のID"))</f>
        <v/>
      </c>
      <c r="D1347" s="20"/>
      <c r="E1347" s="20"/>
      <c r="F1347" s="20"/>
      <c r="G1347" s="20"/>
      <c r="H1347" s="20"/>
      <c r="I1347" s="21"/>
    </row>
    <row r="1348" customFormat="false" ht="15" hidden="false" customHeight="false" outlineLevel="0" collapsed="false">
      <c r="A1348" s="30"/>
      <c r="B1348" s="21"/>
      <c r="C1348" s="21" t="str">
        <f aca="false">IF(B1348="","",IFERROR(INDEX(代理店一覧!$B$5:$B$204,MATCH(B1348,代理店一覧!$A$5:$A$204,0)),"※未登録のID"))</f>
        <v/>
      </c>
      <c r="D1348" s="20"/>
      <c r="E1348" s="20"/>
      <c r="F1348" s="20"/>
      <c r="G1348" s="20"/>
      <c r="H1348" s="20"/>
      <c r="I1348" s="21"/>
    </row>
    <row r="1349" customFormat="false" ht="15" hidden="false" customHeight="false" outlineLevel="0" collapsed="false">
      <c r="A1349" s="30"/>
      <c r="B1349" s="21"/>
      <c r="C1349" s="21" t="str">
        <f aca="false">IF(B1349="","",IFERROR(INDEX(代理店一覧!$B$5:$B$204,MATCH(B1349,代理店一覧!$A$5:$A$204,0)),"※未登録のID"))</f>
        <v/>
      </c>
      <c r="D1349" s="20"/>
      <c r="E1349" s="20"/>
      <c r="F1349" s="20"/>
      <c r="G1349" s="20"/>
      <c r="H1349" s="20"/>
      <c r="I1349" s="21"/>
    </row>
    <row r="1350" customFormat="false" ht="15" hidden="false" customHeight="false" outlineLevel="0" collapsed="false">
      <c r="A1350" s="30"/>
      <c r="B1350" s="21"/>
      <c r="C1350" s="21" t="str">
        <f aca="false">IF(B1350="","",IFERROR(INDEX(代理店一覧!$B$5:$B$204,MATCH(B1350,代理店一覧!$A$5:$A$204,0)),"※未登録のID"))</f>
        <v/>
      </c>
      <c r="D1350" s="20"/>
      <c r="E1350" s="20"/>
      <c r="F1350" s="20"/>
      <c r="G1350" s="20"/>
      <c r="H1350" s="20"/>
      <c r="I1350" s="21"/>
    </row>
    <row r="1351" customFormat="false" ht="15" hidden="false" customHeight="false" outlineLevel="0" collapsed="false">
      <c r="A1351" s="30"/>
      <c r="B1351" s="21"/>
      <c r="C1351" s="21" t="str">
        <f aca="false">IF(B1351="","",IFERROR(INDEX(代理店一覧!$B$5:$B$204,MATCH(B1351,代理店一覧!$A$5:$A$204,0)),"※未登録のID"))</f>
        <v/>
      </c>
      <c r="D1351" s="20"/>
      <c r="E1351" s="20"/>
      <c r="F1351" s="20"/>
      <c r="G1351" s="20"/>
      <c r="H1351" s="20"/>
      <c r="I1351" s="21"/>
    </row>
    <row r="1352" customFormat="false" ht="15" hidden="false" customHeight="false" outlineLevel="0" collapsed="false">
      <c r="A1352" s="30"/>
      <c r="B1352" s="21"/>
      <c r="C1352" s="21" t="str">
        <f aca="false">IF(B1352="","",IFERROR(INDEX(代理店一覧!$B$5:$B$204,MATCH(B1352,代理店一覧!$A$5:$A$204,0)),"※未登録のID"))</f>
        <v/>
      </c>
      <c r="D1352" s="20"/>
      <c r="E1352" s="20"/>
      <c r="F1352" s="20"/>
      <c r="G1352" s="20"/>
      <c r="H1352" s="20"/>
      <c r="I1352" s="21"/>
    </row>
    <row r="1353" customFormat="false" ht="15" hidden="false" customHeight="false" outlineLevel="0" collapsed="false">
      <c r="A1353" s="30"/>
      <c r="B1353" s="21"/>
      <c r="C1353" s="21" t="str">
        <f aca="false">IF(B1353="","",IFERROR(INDEX(代理店一覧!$B$5:$B$204,MATCH(B1353,代理店一覧!$A$5:$A$204,0)),"※未登録のID"))</f>
        <v/>
      </c>
      <c r="D1353" s="20"/>
      <c r="E1353" s="20"/>
      <c r="F1353" s="20"/>
      <c r="G1353" s="20"/>
      <c r="H1353" s="20"/>
      <c r="I1353" s="21"/>
    </row>
    <row r="1354" customFormat="false" ht="15" hidden="false" customHeight="false" outlineLevel="0" collapsed="false">
      <c r="A1354" s="30"/>
      <c r="B1354" s="21"/>
      <c r="C1354" s="21" t="str">
        <f aca="false">IF(B1354="","",IFERROR(INDEX(代理店一覧!$B$5:$B$204,MATCH(B1354,代理店一覧!$A$5:$A$204,0)),"※未登録のID"))</f>
        <v/>
      </c>
      <c r="D1354" s="20"/>
      <c r="E1354" s="20"/>
      <c r="F1354" s="20"/>
      <c r="G1354" s="20"/>
      <c r="H1354" s="20"/>
      <c r="I1354" s="21"/>
    </row>
    <row r="1355" customFormat="false" ht="15" hidden="false" customHeight="false" outlineLevel="0" collapsed="false">
      <c r="A1355" s="30"/>
      <c r="B1355" s="21"/>
      <c r="C1355" s="21" t="str">
        <f aca="false">IF(B1355="","",IFERROR(INDEX(代理店一覧!$B$5:$B$204,MATCH(B1355,代理店一覧!$A$5:$A$204,0)),"※未登録のID"))</f>
        <v/>
      </c>
      <c r="D1355" s="20"/>
      <c r="E1355" s="20"/>
      <c r="F1355" s="20"/>
      <c r="G1355" s="20"/>
      <c r="H1355" s="20"/>
      <c r="I1355" s="21"/>
    </row>
    <row r="1356" customFormat="false" ht="15" hidden="false" customHeight="false" outlineLevel="0" collapsed="false">
      <c r="A1356" s="30"/>
      <c r="B1356" s="21"/>
      <c r="C1356" s="21" t="str">
        <f aca="false">IF(B1356="","",IFERROR(INDEX(代理店一覧!$B$5:$B$204,MATCH(B1356,代理店一覧!$A$5:$A$204,0)),"※未登録のID"))</f>
        <v/>
      </c>
      <c r="D1356" s="20"/>
      <c r="E1356" s="20"/>
      <c r="F1356" s="20"/>
      <c r="G1356" s="20"/>
      <c r="H1356" s="20"/>
      <c r="I1356" s="21"/>
    </row>
    <row r="1357" customFormat="false" ht="15" hidden="false" customHeight="false" outlineLevel="0" collapsed="false">
      <c r="A1357" s="30"/>
      <c r="B1357" s="21"/>
      <c r="C1357" s="21" t="str">
        <f aca="false">IF(B1357="","",IFERROR(INDEX(代理店一覧!$B$5:$B$204,MATCH(B1357,代理店一覧!$A$5:$A$204,0)),"※未登録のID"))</f>
        <v/>
      </c>
      <c r="D1357" s="20"/>
      <c r="E1357" s="20"/>
      <c r="F1357" s="20"/>
      <c r="G1357" s="20"/>
      <c r="H1357" s="20"/>
      <c r="I1357" s="21"/>
    </row>
    <row r="1358" customFormat="false" ht="15" hidden="false" customHeight="false" outlineLevel="0" collapsed="false">
      <c r="A1358" s="30"/>
      <c r="B1358" s="21"/>
      <c r="C1358" s="21" t="str">
        <f aca="false">IF(B1358="","",IFERROR(INDEX(代理店一覧!$B$5:$B$204,MATCH(B1358,代理店一覧!$A$5:$A$204,0)),"※未登録のID"))</f>
        <v/>
      </c>
      <c r="D1358" s="20"/>
      <c r="E1358" s="20"/>
      <c r="F1358" s="20"/>
      <c r="G1358" s="20"/>
      <c r="H1358" s="20"/>
      <c r="I1358" s="21"/>
    </row>
    <row r="1359" customFormat="false" ht="15" hidden="false" customHeight="false" outlineLevel="0" collapsed="false">
      <c r="A1359" s="30"/>
      <c r="B1359" s="21"/>
      <c r="C1359" s="21" t="str">
        <f aca="false">IF(B1359="","",IFERROR(INDEX(代理店一覧!$B$5:$B$204,MATCH(B1359,代理店一覧!$A$5:$A$204,0)),"※未登録のID"))</f>
        <v/>
      </c>
      <c r="D1359" s="20"/>
      <c r="E1359" s="20"/>
      <c r="F1359" s="20"/>
      <c r="G1359" s="20"/>
      <c r="H1359" s="20"/>
      <c r="I1359" s="21"/>
    </row>
    <row r="1360" customFormat="false" ht="15" hidden="false" customHeight="false" outlineLevel="0" collapsed="false">
      <c r="A1360" s="30"/>
      <c r="B1360" s="21"/>
      <c r="C1360" s="21" t="str">
        <f aca="false">IF(B1360="","",IFERROR(INDEX(代理店一覧!$B$5:$B$204,MATCH(B1360,代理店一覧!$A$5:$A$204,0)),"※未登録のID"))</f>
        <v/>
      </c>
      <c r="D1360" s="20"/>
      <c r="E1360" s="20"/>
      <c r="F1360" s="20"/>
      <c r="G1360" s="20"/>
      <c r="H1360" s="20"/>
      <c r="I1360" s="21"/>
    </row>
    <row r="1361" customFormat="false" ht="15" hidden="false" customHeight="false" outlineLevel="0" collapsed="false">
      <c r="A1361" s="30"/>
      <c r="B1361" s="21"/>
      <c r="C1361" s="21" t="str">
        <f aca="false">IF(B1361="","",IFERROR(INDEX(代理店一覧!$B$5:$B$204,MATCH(B1361,代理店一覧!$A$5:$A$204,0)),"※未登録のID"))</f>
        <v/>
      </c>
      <c r="D1361" s="20"/>
      <c r="E1361" s="20"/>
      <c r="F1361" s="20"/>
      <c r="G1361" s="20"/>
      <c r="H1361" s="20"/>
      <c r="I1361" s="21"/>
    </row>
    <row r="1362" customFormat="false" ht="15" hidden="false" customHeight="false" outlineLevel="0" collapsed="false">
      <c r="A1362" s="30"/>
      <c r="B1362" s="21"/>
      <c r="C1362" s="21" t="str">
        <f aca="false">IF(B1362="","",IFERROR(INDEX(代理店一覧!$B$5:$B$204,MATCH(B1362,代理店一覧!$A$5:$A$204,0)),"※未登録のID"))</f>
        <v/>
      </c>
      <c r="D1362" s="20"/>
      <c r="E1362" s="20"/>
      <c r="F1362" s="20"/>
      <c r="G1362" s="20"/>
      <c r="H1362" s="20"/>
      <c r="I1362" s="21"/>
    </row>
    <row r="1363" customFormat="false" ht="15" hidden="false" customHeight="false" outlineLevel="0" collapsed="false">
      <c r="A1363" s="30"/>
      <c r="B1363" s="21"/>
      <c r="C1363" s="21" t="str">
        <f aca="false">IF(B1363="","",IFERROR(INDEX(代理店一覧!$B$5:$B$204,MATCH(B1363,代理店一覧!$A$5:$A$204,0)),"※未登録のID"))</f>
        <v/>
      </c>
      <c r="D1363" s="20"/>
      <c r="E1363" s="20"/>
      <c r="F1363" s="20"/>
      <c r="G1363" s="20"/>
      <c r="H1363" s="20"/>
      <c r="I1363" s="21"/>
    </row>
    <row r="1364" customFormat="false" ht="15" hidden="false" customHeight="false" outlineLevel="0" collapsed="false">
      <c r="A1364" s="30"/>
      <c r="B1364" s="21"/>
      <c r="C1364" s="21" t="str">
        <f aca="false">IF(B1364="","",IFERROR(INDEX(代理店一覧!$B$5:$B$204,MATCH(B1364,代理店一覧!$A$5:$A$204,0)),"※未登録のID"))</f>
        <v/>
      </c>
      <c r="D1364" s="20"/>
      <c r="E1364" s="20"/>
      <c r="F1364" s="20"/>
      <c r="G1364" s="20"/>
      <c r="H1364" s="20"/>
      <c r="I1364" s="21"/>
    </row>
    <row r="1365" customFormat="false" ht="15" hidden="false" customHeight="false" outlineLevel="0" collapsed="false">
      <c r="A1365" s="30"/>
      <c r="B1365" s="21"/>
      <c r="C1365" s="21" t="str">
        <f aca="false">IF(B1365="","",IFERROR(INDEX(代理店一覧!$B$5:$B$204,MATCH(B1365,代理店一覧!$A$5:$A$204,0)),"※未登録のID"))</f>
        <v/>
      </c>
      <c r="D1365" s="20"/>
      <c r="E1365" s="20"/>
      <c r="F1365" s="20"/>
      <c r="G1365" s="20"/>
      <c r="H1365" s="20"/>
      <c r="I1365" s="21"/>
    </row>
    <row r="1366" customFormat="false" ht="15" hidden="false" customHeight="false" outlineLevel="0" collapsed="false">
      <c r="A1366" s="30"/>
      <c r="B1366" s="21"/>
      <c r="C1366" s="21" t="str">
        <f aca="false">IF(B1366="","",IFERROR(INDEX(代理店一覧!$B$5:$B$204,MATCH(B1366,代理店一覧!$A$5:$A$204,0)),"※未登録のID"))</f>
        <v/>
      </c>
      <c r="D1366" s="20"/>
      <c r="E1366" s="20"/>
      <c r="F1366" s="20"/>
      <c r="G1366" s="20"/>
      <c r="H1366" s="20"/>
      <c r="I1366" s="21"/>
    </row>
    <row r="1367" customFormat="false" ht="15" hidden="false" customHeight="false" outlineLevel="0" collapsed="false">
      <c r="A1367" s="30"/>
      <c r="B1367" s="21"/>
      <c r="C1367" s="21" t="str">
        <f aca="false">IF(B1367="","",IFERROR(INDEX(代理店一覧!$B$5:$B$204,MATCH(B1367,代理店一覧!$A$5:$A$204,0)),"※未登録のID"))</f>
        <v/>
      </c>
      <c r="D1367" s="20"/>
      <c r="E1367" s="20"/>
      <c r="F1367" s="20"/>
      <c r="G1367" s="20"/>
      <c r="H1367" s="20"/>
      <c r="I1367" s="21"/>
    </row>
    <row r="1368" customFormat="false" ht="15" hidden="false" customHeight="false" outlineLevel="0" collapsed="false">
      <c r="A1368" s="30"/>
      <c r="B1368" s="21"/>
      <c r="C1368" s="21" t="str">
        <f aca="false">IF(B1368="","",IFERROR(INDEX(代理店一覧!$B$5:$B$204,MATCH(B1368,代理店一覧!$A$5:$A$204,0)),"※未登録のID"))</f>
        <v/>
      </c>
      <c r="D1368" s="20"/>
      <c r="E1368" s="20"/>
      <c r="F1368" s="20"/>
      <c r="G1368" s="20"/>
      <c r="H1368" s="20"/>
      <c r="I1368" s="21"/>
    </row>
    <row r="1369" customFormat="false" ht="15" hidden="false" customHeight="false" outlineLevel="0" collapsed="false">
      <c r="A1369" s="30"/>
      <c r="B1369" s="21"/>
      <c r="C1369" s="21" t="str">
        <f aca="false">IF(B1369="","",IFERROR(INDEX(代理店一覧!$B$5:$B$204,MATCH(B1369,代理店一覧!$A$5:$A$204,0)),"※未登録のID"))</f>
        <v/>
      </c>
      <c r="D1369" s="20"/>
      <c r="E1369" s="20"/>
      <c r="F1369" s="20"/>
      <c r="G1369" s="20"/>
      <c r="H1369" s="20"/>
      <c r="I1369" s="21"/>
    </row>
    <row r="1370" customFormat="false" ht="15" hidden="false" customHeight="false" outlineLevel="0" collapsed="false">
      <c r="A1370" s="30"/>
      <c r="B1370" s="21"/>
      <c r="C1370" s="21" t="str">
        <f aca="false">IF(B1370="","",IFERROR(INDEX(代理店一覧!$B$5:$B$204,MATCH(B1370,代理店一覧!$A$5:$A$204,0)),"※未登録のID"))</f>
        <v/>
      </c>
      <c r="D1370" s="20"/>
      <c r="E1370" s="20"/>
      <c r="F1370" s="20"/>
      <c r="G1370" s="20"/>
      <c r="H1370" s="20"/>
      <c r="I1370" s="21"/>
    </row>
    <row r="1371" customFormat="false" ht="15" hidden="false" customHeight="false" outlineLevel="0" collapsed="false">
      <c r="A1371" s="30"/>
      <c r="B1371" s="21"/>
      <c r="C1371" s="21" t="str">
        <f aca="false">IF(B1371="","",IFERROR(INDEX(代理店一覧!$B$5:$B$204,MATCH(B1371,代理店一覧!$A$5:$A$204,0)),"※未登録のID"))</f>
        <v/>
      </c>
      <c r="D1371" s="20"/>
      <c r="E1371" s="20"/>
      <c r="F1371" s="20"/>
      <c r="G1371" s="20"/>
      <c r="H1371" s="20"/>
      <c r="I1371" s="21"/>
    </row>
    <row r="1372" customFormat="false" ht="15" hidden="false" customHeight="false" outlineLevel="0" collapsed="false">
      <c r="A1372" s="30"/>
      <c r="B1372" s="21"/>
      <c r="C1372" s="21" t="str">
        <f aca="false">IF(B1372="","",IFERROR(INDEX(代理店一覧!$B$5:$B$204,MATCH(B1372,代理店一覧!$A$5:$A$204,0)),"※未登録のID"))</f>
        <v/>
      </c>
      <c r="D1372" s="20"/>
      <c r="E1372" s="20"/>
      <c r="F1372" s="20"/>
      <c r="G1372" s="20"/>
      <c r="H1372" s="20"/>
      <c r="I1372" s="21"/>
    </row>
    <row r="1373" customFormat="false" ht="15" hidden="false" customHeight="false" outlineLevel="0" collapsed="false">
      <c r="A1373" s="30"/>
      <c r="B1373" s="21"/>
      <c r="C1373" s="21" t="str">
        <f aca="false">IF(B1373="","",IFERROR(INDEX(代理店一覧!$B$5:$B$204,MATCH(B1373,代理店一覧!$A$5:$A$204,0)),"※未登録のID"))</f>
        <v/>
      </c>
      <c r="D1373" s="20"/>
      <c r="E1373" s="20"/>
      <c r="F1373" s="20"/>
      <c r="G1373" s="20"/>
      <c r="H1373" s="20"/>
      <c r="I1373" s="21"/>
    </row>
    <row r="1374" customFormat="false" ht="15" hidden="false" customHeight="false" outlineLevel="0" collapsed="false">
      <c r="A1374" s="30"/>
      <c r="B1374" s="21"/>
      <c r="C1374" s="21" t="str">
        <f aca="false">IF(B1374="","",IFERROR(INDEX(代理店一覧!$B$5:$B$204,MATCH(B1374,代理店一覧!$A$5:$A$204,0)),"※未登録のID"))</f>
        <v/>
      </c>
      <c r="D1374" s="20"/>
      <c r="E1374" s="20"/>
      <c r="F1374" s="20"/>
      <c r="G1374" s="20"/>
      <c r="H1374" s="20"/>
      <c r="I1374" s="21"/>
    </row>
    <row r="1375" customFormat="false" ht="15" hidden="false" customHeight="false" outlineLevel="0" collapsed="false">
      <c r="A1375" s="30"/>
      <c r="B1375" s="21"/>
      <c r="C1375" s="21" t="str">
        <f aca="false">IF(B1375="","",IFERROR(INDEX(代理店一覧!$B$5:$B$204,MATCH(B1375,代理店一覧!$A$5:$A$204,0)),"※未登録のID"))</f>
        <v/>
      </c>
      <c r="D1375" s="20"/>
      <c r="E1375" s="20"/>
      <c r="F1375" s="20"/>
      <c r="G1375" s="20"/>
      <c r="H1375" s="20"/>
      <c r="I1375" s="21"/>
    </row>
    <row r="1376" customFormat="false" ht="15" hidden="false" customHeight="false" outlineLevel="0" collapsed="false">
      <c r="A1376" s="30"/>
      <c r="B1376" s="21"/>
      <c r="C1376" s="21" t="str">
        <f aca="false">IF(B1376="","",IFERROR(INDEX(代理店一覧!$B$5:$B$204,MATCH(B1376,代理店一覧!$A$5:$A$204,0)),"※未登録のID"))</f>
        <v/>
      </c>
      <c r="D1376" s="20"/>
      <c r="E1376" s="20"/>
      <c r="F1376" s="20"/>
      <c r="G1376" s="20"/>
      <c r="H1376" s="20"/>
      <c r="I1376" s="21"/>
    </row>
    <row r="1377" customFormat="false" ht="15" hidden="false" customHeight="false" outlineLevel="0" collapsed="false">
      <c r="A1377" s="30"/>
      <c r="B1377" s="21"/>
      <c r="C1377" s="21" t="str">
        <f aca="false">IF(B1377="","",IFERROR(INDEX(代理店一覧!$B$5:$B$204,MATCH(B1377,代理店一覧!$A$5:$A$204,0)),"※未登録のID"))</f>
        <v/>
      </c>
      <c r="D1377" s="20"/>
      <c r="E1377" s="20"/>
      <c r="F1377" s="20"/>
      <c r="G1377" s="20"/>
      <c r="H1377" s="20"/>
      <c r="I1377" s="21"/>
    </row>
    <row r="1378" customFormat="false" ht="15" hidden="false" customHeight="false" outlineLevel="0" collapsed="false">
      <c r="A1378" s="30"/>
      <c r="B1378" s="21"/>
      <c r="C1378" s="21" t="str">
        <f aca="false">IF(B1378="","",IFERROR(INDEX(代理店一覧!$B$5:$B$204,MATCH(B1378,代理店一覧!$A$5:$A$204,0)),"※未登録のID"))</f>
        <v/>
      </c>
      <c r="D1378" s="20"/>
      <c r="E1378" s="20"/>
      <c r="F1378" s="20"/>
      <c r="G1378" s="20"/>
      <c r="H1378" s="20"/>
      <c r="I1378" s="21"/>
    </row>
    <row r="1379" customFormat="false" ht="15" hidden="false" customHeight="false" outlineLevel="0" collapsed="false">
      <c r="A1379" s="30"/>
      <c r="B1379" s="21"/>
      <c r="C1379" s="21" t="str">
        <f aca="false">IF(B1379="","",IFERROR(INDEX(代理店一覧!$B$5:$B$204,MATCH(B1379,代理店一覧!$A$5:$A$204,0)),"※未登録のID"))</f>
        <v/>
      </c>
      <c r="D1379" s="20"/>
      <c r="E1379" s="20"/>
      <c r="F1379" s="20"/>
      <c r="G1379" s="20"/>
      <c r="H1379" s="20"/>
      <c r="I1379" s="21"/>
    </row>
    <row r="1380" customFormat="false" ht="15" hidden="false" customHeight="false" outlineLevel="0" collapsed="false">
      <c r="A1380" s="30"/>
      <c r="B1380" s="21"/>
      <c r="C1380" s="21" t="str">
        <f aca="false">IF(B1380="","",IFERROR(INDEX(代理店一覧!$B$5:$B$204,MATCH(B1380,代理店一覧!$A$5:$A$204,0)),"※未登録のID"))</f>
        <v/>
      </c>
      <c r="D1380" s="20"/>
      <c r="E1380" s="20"/>
      <c r="F1380" s="20"/>
      <c r="G1380" s="20"/>
      <c r="H1380" s="20"/>
      <c r="I1380" s="21"/>
    </row>
    <row r="1381" customFormat="false" ht="15" hidden="false" customHeight="false" outlineLevel="0" collapsed="false">
      <c r="A1381" s="30"/>
      <c r="B1381" s="21"/>
      <c r="C1381" s="21" t="str">
        <f aca="false">IF(B1381="","",IFERROR(INDEX(代理店一覧!$B$5:$B$204,MATCH(B1381,代理店一覧!$A$5:$A$204,0)),"※未登録のID"))</f>
        <v/>
      </c>
      <c r="D1381" s="20"/>
      <c r="E1381" s="20"/>
      <c r="F1381" s="20"/>
      <c r="G1381" s="20"/>
      <c r="H1381" s="20"/>
      <c r="I1381" s="21"/>
    </row>
    <row r="1382" customFormat="false" ht="15" hidden="false" customHeight="false" outlineLevel="0" collapsed="false">
      <c r="A1382" s="30"/>
      <c r="B1382" s="21"/>
      <c r="C1382" s="21" t="str">
        <f aca="false">IF(B1382="","",IFERROR(INDEX(代理店一覧!$B$5:$B$204,MATCH(B1382,代理店一覧!$A$5:$A$204,0)),"※未登録のID"))</f>
        <v/>
      </c>
      <c r="D1382" s="20"/>
      <c r="E1382" s="20"/>
      <c r="F1382" s="20"/>
      <c r="G1382" s="20"/>
      <c r="H1382" s="20"/>
      <c r="I1382" s="21"/>
    </row>
    <row r="1383" customFormat="false" ht="15" hidden="false" customHeight="false" outlineLevel="0" collapsed="false">
      <c r="A1383" s="30"/>
      <c r="B1383" s="21"/>
      <c r="C1383" s="21" t="str">
        <f aca="false">IF(B1383="","",IFERROR(INDEX(代理店一覧!$B$5:$B$204,MATCH(B1383,代理店一覧!$A$5:$A$204,0)),"※未登録のID"))</f>
        <v/>
      </c>
      <c r="D1383" s="20"/>
      <c r="E1383" s="20"/>
      <c r="F1383" s="20"/>
      <c r="G1383" s="20"/>
      <c r="H1383" s="20"/>
      <c r="I1383" s="21"/>
    </row>
    <row r="1384" customFormat="false" ht="15" hidden="false" customHeight="false" outlineLevel="0" collapsed="false">
      <c r="A1384" s="30"/>
      <c r="B1384" s="21"/>
      <c r="C1384" s="21" t="str">
        <f aca="false">IF(B1384="","",IFERROR(INDEX(代理店一覧!$B$5:$B$204,MATCH(B1384,代理店一覧!$A$5:$A$204,0)),"※未登録のID"))</f>
        <v/>
      </c>
      <c r="D1384" s="20"/>
      <c r="E1384" s="20"/>
      <c r="F1384" s="20"/>
      <c r="G1384" s="20"/>
      <c r="H1384" s="20"/>
      <c r="I1384" s="21"/>
    </row>
    <row r="1385" customFormat="false" ht="15" hidden="false" customHeight="false" outlineLevel="0" collapsed="false">
      <c r="A1385" s="30"/>
      <c r="B1385" s="21"/>
      <c r="C1385" s="21" t="str">
        <f aca="false">IF(B1385="","",IFERROR(INDEX(代理店一覧!$B$5:$B$204,MATCH(B1385,代理店一覧!$A$5:$A$204,0)),"※未登録のID"))</f>
        <v/>
      </c>
      <c r="D1385" s="20"/>
      <c r="E1385" s="20"/>
      <c r="F1385" s="20"/>
      <c r="G1385" s="20"/>
      <c r="H1385" s="20"/>
      <c r="I1385" s="21"/>
    </row>
    <row r="1386" customFormat="false" ht="15" hidden="false" customHeight="false" outlineLevel="0" collapsed="false">
      <c r="A1386" s="30"/>
      <c r="B1386" s="21"/>
      <c r="C1386" s="21" t="str">
        <f aca="false">IF(B1386="","",IFERROR(INDEX(代理店一覧!$B$5:$B$204,MATCH(B1386,代理店一覧!$A$5:$A$204,0)),"※未登録のID"))</f>
        <v/>
      </c>
      <c r="D1386" s="20"/>
      <c r="E1386" s="20"/>
      <c r="F1386" s="20"/>
      <c r="G1386" s="20"/>
      <c r="H1386" s="20"/>
      <c r="I1386" s="21"/>
    </row>
    <row r="1387" customFormat="false" ht="15" hidden="false" customHeight="false" outlineLevel="0" collapsed="false">
      <c r="A1387" s="30"/>
      <c r="B1387" s="21"/>
      <c r="C1387" s="21" t="str">
        <f aca="false">IF(B1387="","",IFERROR(INDEX(代理店一覧!$B$5:$B$204,MATCH(B1387,代理店一覧!$A$5:$A$204,0)),"※未登録のID"))</f>
        <v/>
      </c>
      <c r="D1387" s="20"/>
      <c r="E1387" s="20"/>
      <c r="F1387" s="20"/>
      <c r="G1387" s="20"/>
      <c r="H1387" s="20"/>
      <c r="I1387" s="21"/>
    </row>
    <row r="1388" customFormat="false" ht="15" hidden="false" customHeight="false" outlineLevel="0" collapsed="false">
      <c r="A1388" s="30"/>
      <c r="B1388" s="21"/>
      <c r="C1388" s="21" t="str">
        <f aca="false">IF(B1388="","",IFERROR(INDEX(代理店一覧!$B$5:$B$204,MATCH(B1388,代理店一覧!$A$5:$A$204,0)),"※未登録のID"))</f>
        <v/>
      </c>
      <c r="D1388" s="20"/>
      <c r="E1388" s="20"/>
      <c r="F1388" s="20"/>
      <c r="G1388" s="20"/>
      <c r="H1388" s="20"/>
      <c r="I1388" s="21"/>
    </row>
    <row r="1389" customFormat="false" ht="15" hidden="false" customHeight="false" outlineLevel="0" collapsed="false">
      <c r="A1389" s="30"/>
      <c r="B1389" s="21"/>
      <c r="C1389" s="21" t="str">
        <f aca="false">IF(B1389="","",IFERROR(INDEX(代理店一覧!$B$5:$B$204,MATCH(B1389,代理店一覧!$A$5:$A$204,0)),"※未登録のID"))</f>
        <v/>
      </c>
      <c r="D1389" s="20"/>
      <c r="E1389" s="20"/>
      <c r="F1389" s="20"/>
      <c r="G1389" s="20"/>
      <c r="H1389" s="20"/>
      <c r="I1389" s="21"/>
    </row>
    <row r="1390" customFormat="false" ht="15" hidden="false" customHeight="false" outlineLevel="0" collapsed="false">
      <c r="A1390" s="30"/>
      <c r="B1390" s="21"/>
      <c r="C1390" s="21" t="str">
        <f aca="false">IF(B1390="","",IFERROR(INDEX(代理店一覧!$B$5:$B$204,MATCH(B1390,代理店一覧!$A$5:$A$204,0)),"※未登録のID"))</f>
        <v/>
      </c>
      <c r="D1390" s="20"/>
      <c r="E1390" s="20"/>
      <c r="F1390" s="20"/>
      <c r="G1390" s="20"/>
      <c r="H1390" s="20"/>
      <c r="I1390" s="21"/>
    </row>
    <row r="1391" customFormat="false" ht="15" hidden="false" customHeight="false" outlineLevel="0" collapsed="false">
      <c r="A1391" s="30"/>
      <c r="B1391" s="21"/>
      <c r="C1391" s="21" t="str">
        <f aca="false">IF(B1391="","",IFERROR(INDEX(代理店一覧!$B$5:$B$204,MATCH(B1391,代理店一覧!$A$5:$A$204,0)),"※未登録のID"))</f>
        <v/>
      </c>
      <c r="D1391" s="20"/>
      <c r="E1391" s="20"/>
      <c r="F1391" s="20"/>
      <c r="G1391" s="20"/>
      <c r="H1391" s="20"/>
      <c r="I1391" s="21"/>
    </row>
    <row r="1392" customFormat="false" ht="15" hidden="false" customHeight="false" outlineLevel="0" collapsed="false">
      <c r="A1392" s="30"/>
      <c r="B1392" s="21"/>
      <c r="C1392" s="21" t="str">
        <f aca="false">IF(B1392="","",IFERROR(INDEX(代理店一覧!$B$5:$B$204,MATCH(B1392,代理店一覧!$A$5:$A$204,0)),"※未登録のID"))</f>
        <v/>
      </c>
      <c r="D1392" s="20"/>
      <c r="E1392" s="20"/>
      <c r="F1392" s="20"/>
      <c r="G1392" s="20"/>
      <c r="H1392" s="20"/>
      <c r="I1392" s="21"/>
    </row>
    <row r="1393" customFormat="false" ht="15" hidden="false" customHeight="false" outlineLevel="0" collapsed="false">
      <c r="A1393" s="30"/>
      <c r="B1393" s="21"/>
      <c r="C1393" s="21" t="str">
        <f aca="false">IF(B1393="","",IFERROR(INDEX(代理店一覧!$B$5:$B$204,MATCH(B1393,代理店一覧!$A$5:$A$204,0)),"※未登録のID"))</f>
        <v/>
      </c>
      <c r="D1393" s="20"/>
      <c r="E1393" s="20"/>
      <c r="F1393" s="20"/>
      <c r="G1393" s="20"/>
      <c r="H1393" s="20"/>
      <c r="I1393" s="21"/>
    </row>
    <row r="1394" customFormat="false" ht="15" hidden="false" customHeight="false" outlineLevel="0" collapsed="false">
      <c r="A1394" s="30"/>
      <c r="B1394" s="21"/>
      <c r="C1394" s="21" t="str">
        <f aca="false">IF(B1394="","",IFERROR(INDEX(代理店一覧!$B$5:$B$204,MATCH(B1394,代理店一覧!$A$5:$A$204,0)),"※未登録のID"))</f>
        <v/>
      </c>
      <c r="D1394" s="20"/>
      <c r="E1394" s="20"/>
      <c r="F1394" s="20"/>
      <c r="G1394" s="20"/>
      <c r="H1394" s="20"/>
      <c r="I1394" s="21"/>
    </row>
    <row r="1395" customFormat="false" ht="15" hidden="false" customHeight="false" outlineLevel="0" collapsed="false">
      <c r="A1395" s="30"/>
      <c r="B1395" s="21"/>
      <c r="C1395" s="21" t="str">
        <f aca="false">IF(B1395="","",IFERROR(INDEX(代理店一覧!$B$5:$B$204,MATCH(B1395,代理店一覧!$A$5:$A$204,0)),"※未登録のID"))</f>
        <v/>
      </c>
      <c r="D1395" s="20"/>
      <c r="E1395" s="20"/>
      <c r="F1395" s="20"/>
      <c r="G1395" s="20"/>
      <c r="H1395" s="20"/>
      <c r="I1395" s="21"/>
    </row>
    <row r="1396" customFormat="false" ht="15" hidden="false" customHeight="false" outlineLevel="0" collapsed="false">
      <c r="A1396" s="30"/>
      <c r="B1396" s="21"/>
      <c r="C1396" s="21" t="str">
        <f aca="false">IF(B1396="","",IFERROR(INDEX(代理店一覧!$B$5:$B$204,MATCH(B1396,代理店一覧!$A$5:$A$204,0)),"※未登録のID"))</f>
        <v/>
      </c>
      <c r="D1396" s="20"/>
      <c r="E1396" s="20"/>
      <c r="F1396" s="20"/>
      <c r="G1396" s="20"/>
      <c r="H1396" s="20"/>
      <c r="I1396" s="21"/>
    </row>
    <row r="1397" customFormat="false" ht="15" hidden="false" customHeight="false" outlineLevel="0" collapsed="false">
      <c r="A1397" s="30"/>
      <c r="B1397" s="21"/>
      <c r="C1397" s="21" t="str">
        <f aca="false">IF(B1397="","",IFERROR(INDEX(代理店一覧!$B$5:$B$204,MATCH(B1397,代理店一覧!$A$5:$A$204,0)),"※未登録のID"))</f>
        <v/>
      </c>
      <c r="D1397" s="20"/>
      <c r="E1397" s="20"/>
      <c r="F1397" s="20"/>
      <c r="G1397" s="20"/>
      <c r="H1397" s="20"/>
      <c r="I1397" s="21"/>
    </row>
    <row r="1398" customFormat="false" ht="15" hidden="false" customHeight="false" outlineLevel="0" collapsed="false">
      <c r="A1398" s="30"/>
      <c r="B1398" s="21"/>
      <c r="C1398" s="21" t="str">
        <f aca="false">IF(B1398="","",IFERROR(INDEX(代理店一覧!$B$5:$B$204,MATCH(B1398,代理店一覧!$A$5:$A$204,0)),"※未登録のID"))</f>
        <v/>
      </c>
      <c r="D1398" s="20"/>
      <c r="E1398" s="20"/>
      <c r="F1398" s="20"/>
      <c r="G1398" s="20"/>
      <c r="H1398" s="20"/>
      <c r="I1398" s="21"/>
    </row>
    <row r="1399" customFormat="false" ht="15" hidden="false" customHeight="false" outlineLevel="0" collapsed="false">
      <c r="A1399" s="30"/>
      <c r="B1399" s="21"/>
      <c r="C1399" s="21" t="str">
        <f aca="false">IF(B1399="","",IFERROR(INDEX(代理店一覧!$B$5:$B$204,MATCH(B1399,代理店一覧!$A$5:$A$204,0)),"※未登録のID"))</f>
        <v/>
      </c>
      <c r="D1399" s="20"/>
      <c r="E1399" s="20"/>
      <c r="F1399" s="20"/>
      <c r="G1399" s="20"/>
      <c r="H1399" s="20"/>
      <c r="I1399" s="21"/>
    </row>
    <row r="1400" customFormat="false" ht="15" hidden="false" customHeight="false" outlineLevel="0" collapsed="false">
      <c r="A1400" s="30"/>
      <c r="B1400" s="21"/>
      <c r="C1400" s="21" t="str">
        <f aca="false">IF(B1400="","",IFERROR(INDEX(代理店一覧!$B$5:$B$204,MATCH(B1400,代理店一覧!$A$5:$A$204,0)),"※未登録のID"))</f>
        <v/>
      </c>
      <c r="D1400" s="20"/>
      <c r="E1400" s="20"/>
      <c r="F1400" s="20"/>
      <c r="G1400" s="20"/>
      <c r="H1400" s="20"/>
      <c r="I1400" s="21"/>
    </row>
    <row r="1401" customFormat="false" ht="15" hidden="false" customHeight="false" outlineLevel="0" collapsed="false">
      <c r="A1401" s="30"/>
      <c r="B1401" s="21"/>
      <c r="C1401" s="21" t="str">
        <f aca="false">IF(B1401="","",IFERROR(INDEX(代理店一覧!$B$5:$B$204,MATCH(B1401,代理店一覧!$A$5:$A$204,0)),"※未登録のID"))</f>
        <v/>
      </c>
      <c r="D1401" s="20"/>
      <c r="E1401" s="20"/>
      <c r="F1401" s="20"/>
      <c r="G1401" s="20"/>
      <c r="H1401" s="20"/>
      <c r="I1401" s="21"/>
    </row>
    <row r="1402" customFormat="false" ht="15" hidden="false" customHeight="false" outlineLevel="0" collapsed="false">
      <c r="A1402" s="30"/>
      <c r="B1402" s="21"/>
      <c r="C1402" s="21" t="str">
        <f aca="false">IF(B1402="","",IFERROR(INDEX(代理店一覧!$B$5:$B$204,MATCH(B1402,代理店一覧!$A$5:$A$204,0)),"※未登録のID"))</f>
        <v/>
      </c>
      <c r="D1402" s="20"/>
      <c r="E1402" s="20"/>
      <c r="F1402" s="20"/>
      <c r="G1402" s="20"/>
      <c r="H1402" s="20"/>
      <c r="I1402" s="21"/>
    </row>
    <row r="1403" customFormat="false" ht="15" hidden="false" customHeight="false" outlineLevel="0" collapsed="false">
      <c r="A1403" s="30"/>
      <c r="B1403" s="21"/>
      <c r="C1403" s="21" t="str">
        <f aca="false">IF(B1403="","",IFERROR(INDEX(代理店一覧!$B$5:$B$204,MATCH(B1403,代理店一覧!$A$5:$A$204,0)),"※未登録のID"))</f>
        <v/>
      </c>
      <c r="D1403" s="20"/>
      <c r="E1403" s="20"/>
      <c r="F1403" s="20"/>
      <c r="G1403" s="20"/>
      <c r="H1403" s="20"/>
      <c r="I1403" s="21"/>
    </row>
    <row r="1404" customFormat="false" ht="15" hidden="false" customHeight="false" outlineLevel="0" collapsed="false">
      <c r="A1404" s="30"/>
      <c r="B1404" s="21"/>
      <c r="C1404" s="21" t="str">
        <f aca="false">IF(B1404="","",IFERROR(INDEX(代理店一覧!$B$5:$B$204,MATCH(B1404,代理店一覧!$A$5:$A$204,0)),"※未登録のID"))</f>
        <v/>
      </c>
      <c r="D1404" s="20"/>
      <c r="E1404" s="20"/>
      <c r="F1404" s="20"/>
      <c r="G1404" s="20"/>
      <c r="H1404" s="20"/>
      <c r="I1404" s="21"/>
    </row>
    <row r="1405" customFormat="false" ht="15" hidden="false" customHeight="false" outlineLevel="0" collapsed="false">
      <c r="A1405" s="30"/>
      <c r="B1405" s="21"/>
      <c r="C1405" s="21" t="str">
        <f aca="false">IF(B1405="","",IFERROR(INDEX(代理店一覧!$B$5:$B$204,MATCH(B1405,代理店一覧!$A$5:$A$204,0)),"※未登録のID"))</f>
        <v/>
      </c>
      <c r="D1405" s="20"/>
      <c r="E1405" s="20"/>
      <c r="F1405" s="20"/>
      <c r="G1405" s="20"/>
      <c r="H1405" s="20"/>
      <c r="I1405" s="21"/>
    </row>
    <row r="1406" customFormat="false" ht="15" hidden="false" customHeight="false" outlineLevel="0" collapsed="false">
      <c r="A1406" s="30"/>
      <c r="B1406" s="21"/>
      <c r="C1406" s="21" t="str">
        <f aca="false">IF(B1406="","",IFERROR(INDEX(代理店一覧!$B$5:$B$204,MATCH(B1406,代理店一覧!$A$5:$A$204,0)),"※未登録のID"))</f>
        <v/>
      </c>
      <c r="D1406" s="20"/>
      <c r="E1406" s="20"/>
      <c r="F1406" s="20"/>
      <c r="G1406" s="20"/>
      <c r="H1406" s="20"/>
      <c r="I1406" s="21"/>
    </row>
    <row r="1407" customFormat="false" ht="15" hidden="false" customHeight="false" outlineLevel="0" collapsed="false">
      <c r="A1407" s="30"/>
      <c r="B1407" s="21"/>
      <c r="C1407" s="21" t="str">
        <f aca="false">IF(B1407="","",IFERROR(INDEX(代理店一覧!$B$5:$B$204,MATCH(B1407,代理店一覧!$A$5:$A$204,0)),"※未登録のID"))</f>
        <v/>
      </c>
      <c r="D1407" s="20"/>
      <c r="E1407" s="20"/>
      <c r="F1407" s="20"/>
      <c r="G1407" s="20"/>
      <c r="H1407" s="20"/>
      <c r="I1407" s="21"/>
    </row>
    <row r="1408" customFormat="false" ht="15" hidden="false" customHeight="false" outlineLevel="0" collapsed="false">
      <c r="A1408" s="30"/>
      <c r="B1408" s="21"/>
      <c r="C1408" s="21" t="str">
        <f aca="false">IF(B1408="","",IFERROR(INDEX(代理店一覧!$B$5:$B$204,MATCH(B1408,代理店一覧!$A$5:$A$204,0)),"※未登録のID"))</f>
        <v/>
      </c>
      <c r="D1408" s="20"/>
      <c r="E1408" s="20"/>
      <c r="F1408" s="20"/>
      <c r="G1408" s="20"/>
      <c r="H1408" s="20"/>
      <c r="I1408" s="21"/>
    </row>
    <row r="1409" customFormat="false" ht="15" hidden="false" customHeight="false" outlineLevel="0" collapsed="false">
      <c r="A1409" s="30"/>
      <c r="B1409" s="21"/>
      <c r="C1409" s="21" t="str">
        <f aca="false">IF(B1409="","",IFERROR(INDEX(代理店一覧!$B$5:$B$204,MATCH(B1409,代理店一覧!$A$5:$A$204,0)),"※未登録のID"))</f>
        <v/>
      </c>
      <c r="D1409" s="20"/>
      <c r="E1409" s="20"/>
      <c r="F1409" s="20"/>
      <c r="G1409" s="20"/>
      <c r="H1409" s="20"/>
      <c r="I1409" s="21"/>
    </row>
    <row r="1410" customFormat="false" ht="15" hidden="false" customHeight="false" outlineLevel="0" collapsed="false">
      <c r="A1410" s="30"/>
      <c r="B1410" s="21"/>
      <c r="C1410" s="21" t="str">
        <f aca="false">IF(B1410="","",IFERROR(INDEX(代理店一覧!$B$5:$B$204,MATCH(B1410,代理店一覧!$A$5:$A$204,0)),"※未登録のID"))</f>
        <v/>
      </c>
      <c r="D1410" s="20"/>
      <c r="E1410" s="20"/>
      <c r="F1410" s="20"/>
      <c r="G1410" s="20"/>
      <c r="H1410" s="20"/>
      <c r="I1410" s="21"/>
    </row>
    <row r="1411" customFormat="false" ht="15" hidden="false" customHeight="false" outlineLevel="0" collapsed="false">
      <c r="A1411" s="30"/>
      <c r="B1411" s="21"/>
      <c r="C1411" s="21" t="str">
        <f aca="false">IF(B1411="","",IFERROR(INDEX(代理店一覧!$B$5:$B$204,MATCH(B1411,代理店一覧!$A$5:$A$204,0)),"※未登録のID"))</f>
        <v/>
      </c>
      <c r="D1411" s="20"/>
      <c r="E1411" s="20"/>
      <c r="F1411" s="20"/>
      <c r="G1411" s="20"/>
      <c r="H1411" s="20"/>
      <c r="I1411" s="21"/>
    </row>
    <row r="1412" customFormat="false" ht="15" hidden="false" customHeight="false" outlineLevel="0" collapsed="false">
      <c r="A1412" s="30"/>
      <c r="B1412" s="21"/>
      <c r="C1412" s="21" t="str">
        <f aca="false">IF(B1412="","",IFERROR(INDEX(代理店一覧!$B$5:$B$204,MATCH(B1412,代理店一覧!$A$5:$A$204,0)),"※未登録のID"))</f>
        <v/>
      </c>
      <c r="D1412" s="20"/>
      <c r="E1412" s="20"/>
      <c r="F1412" s="20"/>
      <c r="G1412" s="20"/>
      <c r="H1412" s="20"/>
      <c r="I1412" s="21"/>
    </row>
    <row r="1413" customFormat="false" ht="15" hidden="false" customHeight="false" outlineLevel="0" collapsed="false">
      <c r="A1413" s="30"/>
      <c r="B1413" s="21"/>
      <c r="C1413" s="21" t="str">
        <f aca="false">IF(B1413="","",IFERROR(INDEX(代理店一覧!$B$5:$B$204,MATCH(B1413,代理店一覧!$A$5:$A$204,0)),"※未登録のID"))</f>
        <v/>
      </c>
      <c r="D1413" s="20"/>
      <c r="E1413" s="20"/>
      <c r="F1413" s="20"/>
      <c r="G1413" s="20"/>
      <c r="H1413" s="20"/>
      <c r="I1413" s="21"/>
    </row>
    <row r="1414" customFormat="false" ht="15" hidden="false" customHeight="false" outlineLevel="0" collapsed="false">
      <c r="A1414" s="30"/>
      <c r="B1414" s="21"/>
      <c r="C1414" s="21" t="str">
        <f aca="false">IF(B1414="","",IFERROR(INDEX(代理店一覧!$B$5:$B$204,MATCH(B1414,代理店一覧!$A$5:$A$204,0)),"※未登録のID"))</f>
        <v/>
      </c>
      <c r="D1414" s="20"/>
      <c r="E1414" s="20"/>
      <c r="F1414" s="20"/>
      <c r="G1414" s="20"/>
      <c r="H1414" s="20"/>
      <c r="I1414" s="21"/>
    </row>
    <row r="1415" customFormat="false" ht="15" hidden="false" customHeight="false" outlineLevel="0" collapsed="false">
      <c r="A1415" s="30"/>
      <c r="B1415" s="21"/>
      <c r="C1415" s="21" t="str">
        <f aca="false">IF(B1415="","",IFERROR(INDEX(代理店一覧!$B$5:$B$204,MATCH(B1415,代理店一覧!$A$5:$A$204,0)),"※未登録のID"))</f>
        <v/>
      </c>
      <c r="D1415" s="20"/>
      <c r="E1415" s="20"/>
      <c r="F1415" s="20"/>
      <c r="G1415" s="20"/>
      <c r="H1415" s="20"/>
      <c r="I1415" s="21"/>
    </row>
    <row r="1416" customFormat="false" ht="15" hidden="false" customHeight="false" outlineLevel="0" collapsed="false">
      <c r="A1416" s="30"/>
      <c r="B1416" s="21"/>
      <c r="C1416" s="21" t="str">
        <f aca="false">IF(B1416="","",IFERROR(INDEX(代理店一覧!$B$5:$B$204,MATCH(B1416,代理店一覧!$A$5:$A$204,0)),"※未登録のID"))</f>
        <v/>
      </c>
      <c r="D1416" s="20"/>
      <c r="E1416" s="20"/>
      <c r="F1416" s="20"/>
      <c r="G1416" s="20"/>
      <c r="H1416" s="20"/>
      <c r="I1416" s="21"/>
    </row>
    <row r="1417" customFormat="false" ht="15" hidden="false" customHeight="false" outlineLevel="0" collapsed="false">
      <c r="A1417" s="30"/>
      <c r="B1417" s="21"/>
      <c r="C1417" s="21" t="str">
        <f aca="false">IF(B1417="","",IFERROR(INDEX(代理店一覧!$B$5:$B$204,MATCH(B1417,代理店一覧!$A$5:$A$204,0)),"※未登録のID"))</f>
        <v/>
      </c>
      <c r="D1417" s="20"/>
      <c r="E1417" s="20"/>
      <c r="F1417" s="20"/>
      <c r="G1417" s="20"/>
      <c r="H1417" s="20"/>
      <c r="I1417" s="21"/>
    </row>
    <row r="1418" customFormat="false" ht="15" hidden="false" customHeight="false" outlineLevel="0" collapsed="false">
      <c r="A1418" s="30"/>
      <c r="B1418" s="21"/>
      <c r="C1418" s="21" t="str">
        <f aca="false">IF(B1418="","",IFERROR(INDEX(代理店一覧!$B$5:$B$204,MATCH(B1418,代理店一覧!$A$5:$A$204,0)),"※未登録のID"))</f>
        <v/>
      </c>
      <c r="D1418" s="20"/>
      <c r="E1418" s="20"/>
      <c r="F1418" s="20"/>
      <c r="G1418" s="20"/>
      <c r="H1418" s="20"/>
      <c r="I1418" s="21"/>
    </row>
    <row r="1419" customFormat="false" ht="15" hidden="false" customHeight="false" outlineLevel="0" collapsed="false">
      <c r="A1419" s="30"/>
      <c r="B1419" s="21"/>
      <c r="C1419" s="21" t="str">
        <f aca="false">IF(B1419="","",IFERROR(INDEX(代理店一覧!$B$5:$B$204,MATCH(B1419,代理店一覧!$A$5:$A$204,0)),"※未登録のID"))</f>
        <v/>
      </c>
      <c r="D1419" s="20"/>
      <c r="E1419" s="20"/>
      <c r="F1419" s="20"/>
      <c r="G1419" s="20"/>
      <c r="H1419" s="20"/>
      <c r="I1419" s="21"/>
    </row>
    <row r="1420" customFormat="false" ht="15" hidden="false" customHeight="false" outlineLevel="0" collapsed="false">
      <c r="A1420" s="30"/>
      <c r="B1420" s="21"/>
      <c r="C1420" s="21" t="str">
        <f aca="false">IF(B1420="","",IFERROR(INDEX(代理店一覧!$B$5:$B$204,MATCH(B1420,代理店一覧!$A$5:$A$204,0)),"※未登録のID"))</f>
        <v/>
      </c>
      <c r="D1420" s="20"/>
      <c r="E1420" s="20"/>
      <c r="F1420" s="20"/>
      <c r="G1420" s="20"/>
      <c r="H1420" s="20"/>
      <c r="I1420" s="21"/>
    </row>
    <row r="1421" customFormat="false" ht="15" hidden="false" customHeight="false" outlineLevel="0" collapsed="false">
      <c r="A1421" s="30"/>
      <c r="B1421" s="21"/>
      <c r="C1421" s="21" t="str">
        <f aca="false">IF(B1421="","",IFERROR(INDEX(代理店一覧!$B$5:$B$204,MATCH(B1421,代理店一覧!$A$5:$A$204,0)),"※未登録のID"))</f>
        <v/>
      </c>
      <c r="D1421" s="20"/>
      <c r="E1421" s="20"/>
      <c r="F1421" s="20"/>
      <c r="G1421" s="20"/>
      <c r="H1421" s="20"/>
      <c r="I1421" s="21"/>
    </row>
    <row r="1422" customFormat="false" ht="15" hidden="false" customHeight="false" outlineLevel="0" collapsed="false">
      <c r="A1422" s="30"/>
      <c r="B1422" s="21"/>
      <c r="C1422" s="21" t="str">
        <f aca="false">IF(B1422="","",IFERROR(INDEX(代理店一覧!$B$5:$B$204,MATCH(B1422,代理店一覧!$A$5:$A$204,0)),"※未登録のID"))</f>
        <v/>
      </c>
      <c r="D1422" s="20"/>
      <c r="E1422" s="20"/>
      <c r="F1422" s="20"/>
      <c r="G1422" s="20"/>
      <c r="H1422" s="20"/>
      <c r="I1422" s="21"/>
    </row>
    <row r="1423" customFormat="false" ht="15" hidden="false" customHeight="false" outlineLevel="0" collapsed="false">
      <c r="A1423" s="30"/>
      <c r="B1423" s="21"/>
      <c r="C1423" s="21" t="str">
        <f aca="false">IF(B1423="","",IFERROR(INDEX(代理店一覧!$B$5:$B$204,MATCH(B1423,代理店一覧!$A$5:$A$204,0)),"※未登録のID"))</f>
        <v/>
      </c>
      <c r="D1423" s="20"/>
      <c r="E1423" s="20"/>
      <c r="F1423" s="20"/>
      <c r="G1423" s="20"/>
      <c r="H1423" s="20"/>
      <c r="I1423" s="21"/>
    </row>
    <row r="1424" customFormat="false" ht="15" hidden="false" customHeight="false" outlineLevel="0" collapsed="false">
      <c r="A1424" s="30"/>
      <c r="B1424" s="21"/>
      <c r="C1424" s="21" t="str">
        <f aca="false">IF(B1424="","",IFERROR(INDEX(代理店一覧!$B$5:$B$204,MATCH(B1424,代理店一覧!$A$5:$A$204,0)),"※未登録のID"))</f>
        <v/>
      </c>
      <c r="D1424" s="20"/>
      <c r="E1424" s="20"/>
      <c r="F1424" s="20"/>
      <c r="G1424" s="20"/>
      <c r="H1424" s="20"/>
      <c r="I1424" s="21"/>
    </row>
    <row r="1425" customFormat="false" ht="15" hidden="false" customHeight="false" outlineLevel="0" collapsed="false">
      <c r="A1425" s="30"/>
      <c r="B1425" s="21"/>
      <c r="C1425" s="21" t="str">
        <f aca="false">IF(B1425="","",IFERROR(INDEX(代理店一覧!$B$5:$B$204,MATCH(B1425,代理店一覧!$A$5:$A$204,0)),"※未登録のID"))</f>
        <v/>
      </c>
      <c r="D1425" s="20"/>
      <c r="E1425" s="20"/>
      <c r="F1425" s="20"/>
      <c r="G1425" s="20"/>
      <c r="H1425" s="20"/>
      <c r="I1425" s="21"/>
    </row>
    <row r="1426" customFormat="false" ht="15" hidden="false" customHeight="false" outlineLevel="0" collapsed="false">
      <c r="A1426" s="30"/>
      <c r="B1426" s="21"/>
      <c r="C1426" s="21" t="str">
        <f aca="false">IF(B1426="","",IFERROR(INDEX(代理店一覧!$B$5:$B$204,MATCH(B1426,代理店一覧!$A$5:$A$204,0)),"※未登録のID"))</f>
        <v/>
      </c>
      <c r="D1426" s="20"/>
      <c r="E1426" s="20"/>
      <c r="F1426" s="20"/>
      <c r="G1426" s="20"/>
      <c r="H1426" s="20"/>
      <c r="I1426" s="21"/>
    </row>
    <row r="1427" customFormat="false" ht="15" hidden="false" customHeight="false" outlineLevel="0" collapsed="false">
      <c r="A1427" s="30"/>
      <c r="B1427" s="21"/>
      <c r="C1427" s="21" t="str">
        <f aca="false">IF(B1427="","",IFERROR(INDEX(代理店一覧!$B$5:$B$204,MATCH(B1427,代理店一覧!$A$5:$A$204,0)),"※未登録のID"))</f>
        <v/>
      </c>
      <c r="D1427" s="20"/>
      <c r="E1427" s="20"/>
      <c r="F1427" s="20"/>
      <c r="G1427" s="20"/>
      <c r="H1427" s="20"/>
      <c r="I1427" s="21"/>
    </row>
    <row r="1428" customFormat="false" ht="15" hidden="false" customHeight="false" outlineLevel="0" collapsed="false">
      <c r="A1428" s="30"/>
      <c r="B1428" s="21"/>
      <c r="C1428" s="21" t="str">
        <f aca="false">IF(B1428="","",IFERROR(INDEX(代理店一覧!$B$5:$B$204,MATCH(B1428,代理店一覧!$A$5:$A$204,0)),"※未登録のID"))</f>
        <v/>
      </c>
      <c r="D1428" s="20"/>
      <c r="E1428" s="20"/>
      <c r="F1428" s="20"/>
      <c r="G1428" s="20"/>
      <c r="H1428" s="20"/>
      <c r="I1428" s="21"/>
    </row>
    <row r="1429" customFormat="false" ht="15" hidden="false" customHeight="false" outlineLevel="0" collapsed="false">
      <c r="A1429" s="30"/>
      <c r="B1429" s="21"/>
      <c r="C1429" s="21" t="str">
        <f aca="false">IF(B1429="","",IFERROR(INDEX(代理店一覧!$B$5:$B$204,MATCH(B1429,代理店一覧!$A$5:$A$204,0)),"※未登録のID"))</f>
        <v/>
      </c>
      <c r="D1429" s="20"/>
      <c r="E1429" s="20"/>
      <c r="F1429" s="20"/>
      <c r="G1429" s="20"/>
      <c r="H1429" s="20"/>
      <c r="I1429" s="21"/>
    </row>
    <row r="1430" customFormat="false" ht="15" hidden="false" customHeight="false" outlineLevel="0" collapsed="false">
      <c r="A1430" s="30"/>
      <c r="B1430" s="21"/>
      <c r="C1430" s="21" t="str">
        <f aca="false">IF(B1430="","",IFERROR(INDEX(代理店一覧!$B$5:$B$204,MATCH(B1430,代理店一覧!$A$5:$A$204,0)),"※未登録のID"))</f>
        <v/>
      </c>
      <c r="D1430" s="20"/>
      <c r="E1430" s="20"/>
      <c r="F1430" s="20"/>
      <c r="G1430" s="20"/>
      <c r="H1430" s="20"/>
      <c r="I1430" s="21"/>
    </row>
    <row r="1431" customFormat="false" ht="15" hidden="false" customHeight="false" outlineLevel="0" collapsed="false">
      <c r="A1431" s="30"/>
      <c r="B1431" s="21"/>
      <c r="C1431" s="21" t="str">
        <f aca="false">IF(B1431="","",IFERROR(INDEX(代理店一覧!$B$5:$B$204,MATCH(B1431,代理店一覧!$A$5:$A$204,0)),"※未登録のID"))</f>
        <v/>
      </c>
      <c r="D1431" s="20"/>
      <c r="E1431" s="20"/>
      <c r="F1431" s="20"/>
      <c r="G1431" s="20"/>
      <c r="H1431" s="20"/>
      <c r="I1431" s="21"/>
    </row>
    <row r="1432" customFormat="false" ht="15" hidden="false" customHeight="false" outlineLevel="0" collapsed="false">
      <c r="A1432" s="30"/>
      <c r="B1432" s="21"/>
      <c r="C1432" s="21" t="str">
        <f aca="false">IF(B1432="","",IFERROR(INDEX(代理店一覧!$B$5:$B$204,MATCH(B1432,代理店一覧!$A$5:$A$204,0)),"※未登録のID"))</f>
        <v/>
      </c>
      <c r="D1432" s="20"/>
      <c r="E1432" s="20"/>
      <c r="F1432" s="20"/>
      <c r="G1432" s="20"/>
      <c r="H1432" s="20"/>
      <c r="I1432" s="21"/>
    </row>
    <row r="1433" customFormat="false" ht="15" hidden="false" customHeight="false" outlineLevel="0" collapsed="false">
      <c r="A1433" s="30"/>
      <c r="B1433" s="21"/>
      <c r="C1433" s="21" t="str">
        <f aca="false">IF(B1433="","",IFERROR(INDEX(代理店一覧!$B$5:$B$204,MATCH(B1433,代理店一覧!$A$5:$A$204,0)),"※未登録のID"))</f>
        <v/>
      </c>
      <c r="D1433" s="20"/>
      <c r="E1433" s="20"/>
      <c r="F1433" s="20"/>
      <c r="G1433" s="20"/>
      <c r="H1433" s="20"/>
      <c r="I1433" s="21"/>
    </row>
    <row r="1434" customFormat="false" ht="15" hidden="false" customHeight="false" outlineLevel="0" collapsed="false">
      <c r="A1434" s="30"/>
      <c r="B1434" s="21"/>
      <c r="C1434" s="21" t="str">
        <f aca="false">IF(B1434="","",IFERROR(INDEX(代理店一覧!$B$5:$B$204,MATCH(B1434,代理店一覧!$A$5:$A$204,0)),"※未登録のID"))</f>
        <v/>
      </c>
      <c r="D1434" s="20"/>
      <c r="E1434" s="20"/>
      <c r="F1434" s="20"/>
      <c r="G1434" s="20"/>
      <c r="H1434" s="20"/>
      <c r="I1434" s="21"/>
    </row>
    <row r="1435" customFormat="false" ht="15" hidden="false" customHeight="false" outlineLevel="0" collapsed="false">
      <c r="A1435" s="30"/>
      <c r="B1435" s="21"/>
      <c r="C1435" s="21" t="str">
        <f aca="false">IF(B1435="","",IFERROR(INDEX(代理店一覧!$B$5:$B$204,MATCH(B1435,代理店一覧!$A$5:$A$204,0)),"※未登録のID"))</f>
        <v/>
      </c>
      <c r="D1435" s="20"/>
      <c r="E1435" s="20"/>
      <c r="F1435" s="20"/>
      <c r="G1435" s="20"/>
      <c r="H1435" s="20"/>
      <c r="I1435" s="21"/>
    </row>
    <row r="1436" customFormat="false" ht="15" hidden="false" customHeight="false" outlineLevel="0" collapsed="false">
      <c r="A1436" s="30"/>
      <c r="B1436" s="21"/>
      <c r="C1436" s="21" t="str">
        <f aca="false">IF(B1436="","",IFERROR(INDEX(代理店一覧!$B$5:$B$204,MATCH(B1436,代理店一覧!$A$5:$A$204,0)),"※未登録のID"))</f>
        <v/>
      </c>
      <c r="D1436" s="20"/>
      <c r="E1436" s="20"/>
      <c r="F1436" s="20"/>
      <c r="G1436" s="20"/>
      <c r="H1436" s="20"/>
      <c r="I1436" s="21"/>
    </row>
    <row r="1437" customFormat="false" ht="15" hidden="false" customHeight="false" outlineLevel="0" collapsed="false">
      <c r="A1437" s="30"/>
      <c r="B1437" s="21"/>
      <c r="C1437" s="21" t="str">
        <f aca="false">IF(B1437="","",IFERROR(INDEX(代理店一覧!$B$5:$B$204,MATCH(B1437,代理店一覧!$A$5:$A$204,0)),"※未登録のID"))</f>
        <v/>
      </c>
      <c r="D1437" s="20"/>
      <c r="E1437" s="20"/>
      <c r="F1437" s="20"/>
      <c r="G1437" s="20"/>
      <c r="H1437" s="20"/>
      <c r="I1437" s="21"/>
    </row>
    <row r="1438" customFormat="false" ht="15" hidden="false" customHeight="false" outlineLevel="0" collapsed="false">
      <c r="A1438" s="30"/>
      <c r="B1438" s="21"/>
      <c r="C1438" s="21" t="str">
        <f aca="false">IF(B1438="","",IFERROR(INDEX(代理店一覧!$B$5:$B$204,MATCH(B1438,代理店一覧!$A$5:$A$204,0)),"※未登録のID"))</f>
        <v/>
      </c>
      <c r="D1438" s="20"/>
      <c r="E1438" s="20"/>
      <c r="F1438" s="20"/>
      <c r="G1438" s="20"/>
      <c r="H1438" s="20"/>
      <c r="I1438" s="21"/>
    </row>
    <row r="1439" customFormat="false" ht="15" hidden="false" customHeight="false" outlineLevel="0" collapsed="false">
      <c r="A1439" s="30"/>
      <c r="B1439" s="21"/>
      <c r="C1439" s="21" t="str">
        <f aca="false">IF(B1439="","",IFERROR(INDEX(代理店一覧!$B$5:$B$204,MATCH(B1439,代理店一覧!$A$5:$A$204,0)),"※未登録のID"))</f>
        <v/>
      </c>
      <c r="D1439" s="20"/>
      <c r="E1439" s="20"/>
      <c r="F1439" s="20"/>
      <c r="G1439" s="20"/>
      <c r="H1439" s="20"/>
      <c r="I1439" s="21"/>
    </row>
    <row r="1440" customFormat="false" ht="15" hidden="false" customHeight="false" outlineLevel="0" collapsed="false">
      <c r="A1440" s="30"/>
      <c r="B1440" s="21"/>
      <c r="C1440" s="21" t="str">
        <f aca="false">IF(B1440="","",IFERROR(INDEX(代理店一覧!$B$5:$B$204,MATCH(B1440,代理店一覧!$A$5:$A$204,0)),"※未登録のID"))</f>
        <v/>
      </c>
      <c r="D1440" s="20"/>
      <c r="E1440" s="20"/>
      <c r="F1440" s="20"/>
      <c r="G1440" s="20"/>
      <c r="H1440" s="20"/>
      <c r="I1440" s="21"/>
    </row>
    <row r="1441" customFormat="false" ht="15" hidden="false" customHeight="false" outlineLevel="0" collapsed="false">
      <c r="A1441" s="30"/>
      <c r="B1441" s="21"/>
      <c r="C1441" s="21" t="str">
        <f aca="false">IF(B1441="","",IFERROR(INDEX(代理店一覧!$B$5:$B$204,MATCH(B1441,代理店一覧!$A$5:$A$204,0)),"※未登録のID"))</f>
        <v/>
      </c>
      <c r="D1441" s="20"/>
      <c r="E1441" s="20"/>
      <c r="F1441" s="20"/>
      <c r="G1441" s="20"/>
      <c r="H1441" s="20"/>
      <c r="I1441" s="21"/>
    </row>
    <row r="1442" customFormat="false" ht="15" hidden="false" customHeight="false" outlineLevel="0" collapsed="false">
      <c r="A1442" s="30"/>
      <c r="B1442" s="21"/>
      <c r="C1442" s="21" t="str">
        <f aca="false">IF(B1442="","",IFERROR(INDEX(代理店一覧!$B$5:$B$204,MATCH(B1442,代理店一覧!$A$5:$A$204,0)),"※未登録のID"))</f>
        <v/>
      </c>
      <c r="D1442" s="20"/>
      <c r="E1442" s="20"/>
      <c r="F1442" s="20"/>
      <c r="G1442" s="20"/>
      <c r="H1442" s="20"/>
      <c r="I1442" s="21"/>
    </row>
    <row r="1443" customFormat="false" ht="15" hidden="false" customHeight="false" outlineLevel="0" collapsed="false">
      <c r="A1443" s="30"/>
      <c r="B1443" s="21"/>
      <c r="C1443" s="21" t="str">
        <f aca="false">IF(B1443="","",IFERROR(INDEX(代理店一覧!$B$5:$B$204,MATCH(B1443,代理店一覧!$A$5:$A$204,0)),"※未登録のID"))</f>
        <v/>
      </c>
      <c r="D1443" s="20"/>
      <c r="E1443" s="20"/>
      <c r="F1443" s="20"/>
      <c r="G1443" s="20"/>
      <c r="H1443" s="20"/>
      <c r="I1443" s="21"/>
    </row>
    <row r="1444" customFormat="false" ht="15" hidden="false" customHeight="false" outlineLevel="0" collapsed="false">
      <c r="A1444" s="30"/>
      <c r="B1444" s="21"/>
      <c r="C1444" s="21" t="str">
        <f aca="false">IF(B1444="","",IFERROR(INDEX(代理店一覧!$B$5:$B$204,MATCH(B1444,代理店一覧!$A$5:$A$204,0)),"※未登録のID"))</f>
        <v/>
      </c>
      <c r="D1444" s="20"/>
      <c r="E1444" s="20"/>
      <c r="F1444" s="20"/>
      <c r="G1444" s="20"/>
      <c r="H1444" s="20"/>
      <c r="I1444" s="21"/>
    </row>
    <row r="1445" customFormat="false" ht="15" hidden="false" customHeight="false" outlineLevel="0" collapsed="false">
      <c r="A1445" s="30"/>
      <c r="B1445" s="21"/>
      <c r="C1445" s="21" t="str">
        <f aca="false">IF(B1445="","",IFERROR(INDEX(代理店一覧!$B$5:$B$204,MATCH(B1445,代理店一覧!$A$5:$A$204,0)),"※未登録のID"))</f>
        <v/>
      </c>
      <c r="D1445" s="20"/>
      <c r="E1445" s="20"/>
      <c r="F1445" s="20"/>
      <c r="G1445" s="20"/>
      <c r="H1445" s="20"/>
      <c r="I1445" s="21"/>
    </row>
    <row r="1446" customFormat="false" ht="15" hidden="false" customHeight="false" outlineLevel="0" collapsed="false">
      <c r="A1446" s="30"/>
      <c r="B1446" s="21"/>
      <c r="C1446" s="21" t="str">
        <f aca="false">IF(B1446="","",IFERROR(INDEX(代理店一覧!$B$5:$B$204,MATCH(B1446,代理店一覧!$A$5:$A$204,0)),"※未登録のID"))</f>
        <v/>
      </c>
      <c r="D1446" s="20"/>
      <c r="E1446" s="20"/>
      <c r="F1446" s="20"/>
      <c r="G1446" s="20"/>
      <c r="H1446" s="20"/>
      <c r="I1446" s="21"/>
    </row>
    <row r="1447" customFormat="false" ht="15" hidden="false" customHeight="false" outlineLevel="0" collapsed="false">
      <c r="A1447" s="30"/>
      <c r="B1447" s="21"/>
      <c r="C1447" s="21" t="str">
        <f aca="false">IF(B1447="","",IFERROR(INDEX(代理店一覧!$B$5:$B$204,MATCH(B1447,代理店一覧!$A$5:$A$204,0)),"※未登録のID"))</f>
        <v/>
      </c>
      <c r="D1447" s="20"/>
      <c r="E1447" s="20"/>
      <c r="F1447" s="20"/>
      <c r="G1447" s="20"/>
      <c r="H1447" s="20"/>
      <c r="I1447" s="21"/>
    </row>
    <row r="1448" customFormat="false" ht="15" hidden="false" customHeight="false" outlineLevel="0" collapsed="false">
      <c r="A1448" s="30"/>
      <c r="B1448" s="21"/>
      <c r="C1448" s="21" t="str">
        <f aca="false">IF(B1448="","",IFERROR(INDEX(代理店一覧!$B$5:$B$204,MATCH(B1448,代理店一覧!$A$5:$A$204,0)),"※未登録のID"))</f>
        <v/>
      </c>
      <c r="D1448" s="20"/>
      <c r="E1448" s="20"/>
      <c r="F1448" s="20"/>
      <c r="G1448" s="20"/>
      <c r="H1448" s="20"/>
      <c r="I1448" s="21"/>
    </row>
    <row r="1449" customFormat="false" ht="15" hidden="false" customHeight="false" outlineLevel="0" collapsed="false">
      <c r="A1449" s="30"/>
      <c r="B1449" s="21"/>
      <c r="C1449" s="21" t="str">
        <f aca="false">IF(B1449="","",IFERROR(INDEX(代理店一覧!$B$5:$B$204,MATCH(B1449,代理店一覧!$A$5:$A$204,0)),"※未登録のID"))</f>
        <v/>
      </c>
      <c r="D1449" s="20"/>
      <c r="E1449" s="20"/>
      <c r="F1449" s="20"/>
      <c r="G1449" s="20"/>
      <c r="H1449" s="20"/>
      <c r="I1449" s="21"/>
    </row>
    <row r="1450" customFormat="false" ht="15" hidden="false" customHeight="false" outlineLevel="0" collapsed="false">
      <c r="A1450" s="30"/>
      <c r="B1450" s="21"/>
      <c r="C1450" s="21" t="str">
        <f aca="false">IF(B1450="","",IFERROR(INDEX(代理店一覧!$B$5:$B$204,MATCH(B1450,代理店一覧!$A$5:$A$204,0)),"※未登録のID"))</f>
        <v/>
      </c>
      <c r="D1450" s="20"/>
      <c r="E1450" s="20"/>
      <c r="F1450" s="20"/>
      <c r="G1450" s="20"/>
      <c r="H1450" s="20"/>
      <c r="I1450" s="21"/>
    </row>
    <row r="1451" customFormat="false" ht="15" hidden="false" customHeight="false" outlineLevel="0" collapsed="false">
      <c r="A1451" s="30"/>
      <c r="B1451" s="21"/>
      <c r="C1451" s="21" t="str">
        <f aca="false">IF(B1451="","",IFERROR(INDEX(代理店一覧!$B$5:$B$204,MATCH(B1451,代理店一覧!$A$5:$A$204,0)),"※未登録のID"))</f>
        <v/>
      </c>
      <c r="D1451" s="20"/>
      <c r="E1451" s="20"/>
      <c r="F1451" s="20"/>
      <c r="G1451" s="20"/>
      <c r="H1451" s="20"/>
      <c r="I1451" s="21"/>
    </row>
    <row r="1452" customFormat="false" ht="15" hidden="false" customHeight="false" outlineLevel="0" collapsed="false">
      <c r="A1452" s="30"/>
      <c r="B1452" s="21"/>
      <c r="C1452" s="21" t="str">
        <f aca="false">IF(B1452="","",IFERROR(INDEX(代理店一覧!$B$5:$B$204,MATCH(B1452,代理店一覧!$A$5:$A$204,0)),"※未登録のID"))</f>
        <v/>
      </c>
      <c r="D1452" s="20"/>
      <c r="E1452" s="20"/>
      <c r="F1452" s="20"/>
      <c r="G1452" s="20"/>
      <c r="H1452" s="20"/>
      <c r="I1452" s="21"/>
    </row>
    <row r="1453" customFormat="false" ht="15" hidden="false" customHeight="false" outlineLevel="0" collapsed="false">
      <c r="A1453" s="30"/>
      <c r="B1453" s="21"/>
      <c r="C1453" s="21" t="str">
        <f aca="false">IF(B1453="","",IFERROR(INDEX(代理店一覧!$B$5:$B$204,MATCH(B1453,代理店一覧!$A$5:$A$204,0)),"※未登録のID"))</f>
        <v/>
      </c>
      <c r="D1453" s="20"/>
      <c r="E1453" s="20"/>
      <c r="F1453" s="20"/>
      <c r="G1453" s="20"/>
      <c r="H1453" s="20"/>
      <c r="I1453" s="21"/>
    </row>
    <row r="1454" customFormat="false" ht="15" hidden="false" customHeight="false" outlineLevel="0" collapsed="false">
      <c r="A1454" s="30"/>
      <c r="B1454" s="21"/>
      <c r="C1454" s="21" t="str">
        <f aca="false">IF(B1454="","",IFERROR(INDEX(代理店一覧!$B$5:$B$204,MATCH(B1454,代理店一覧!$A$5:$A$204,0)),"※未登録のID"))</f>
        <v/>
      </c>
      <c r="D1454" s="20"/>
      <c r="E1454" s="20"/>
      <c r="F1454" s="20"/>
      <c r="G1454" s="20"/>
      <c r="H1454" s="20"/>
      <c r="I1454" s="21"/>
    </row>
    <row r="1455" customFormat="false" ht="15" hidden="false" customHeight="false" outlineLevel="0" collapsed="false">
      <c r="A1455" s="30"/>
      <c r="B1455" s="21"/>
      <c r="C1455" s="21" t="str">
        <f aca="false">IF(B1455="","",IFERROR(INDEX(代理店一覧!$B$5:$B$204,MATCH(B1455,代理店一覧!$A$5:$A$204,0)),"※未登録のID"))</f>
        <v/>
      </c>
      <c r="D1455" s="20"/>
      <c r="E1455" s="20"/>
      <c r="F1455" s="20"/>
      <c r="G1455" s="20"/>
      <c r="H1455" s="20"/>
      <c r="I1455" s="21"/>
    </row>
    <row r="1456" customFormat="false" ht="15" hidden="false" customHeight="false" outlineLevel="0" collapsed="false">
      <c r="A1456" s="30"/>
      <c r="B1456" s="21"/>
      <c r="C1456" s="21" t="str">
        <f aca="false">IF(B1456="","",IFERROR(INDEX(代理店一覧!$B$5:$B$204,MATCH(B1456,代理店一覧!$A$5:$A$204,0)),"※未登録のID"))</f>
        <v/>
      </c>
      <c r="D1456" s="20"/>
      <c r="E1456" s="20"/>
      <c r="F1456" s="20"/>
      <c r="G1456" s="20"/>
      <c r="H1456" s="20"/>
      <c r="I1456" s="21"/>
    </row>
    <row r="1457" customFormat="false" ht="15" hidden="false" customHeight="false" outlineLevel="0" collapsed="false">
      <c r="A1457" s="30"/>
      <c r="B1457" s="21"/>
      <c r="C1457" s="21" t="str">
        <f aca="false">IF(B1457="","",IFERROR(INDEX(代理店一覧!$B$5:$B$204,MATCH(B1457,代理店一覧!$A$5:$A$204,0)),"※未登録のID"))</f>
        <v/>
      </c>
      <c r="D1457" s="20"/>
      <c r="E1457" s="20"/>
      <c r="F1457" s="20"/>
      <c r="G1457" s="20"/>
      <c r="H1457" s="20"/>
      <c r="I1457" s="21"/>
    </row>
    <row r="1458" customFormat="false" ht="15" hidden="false" customHeight="false" outlineLevel="0" collapsed="false">
      <c r="A1458" s="30"/>
      <c r="B1458" s="21"/>
      <c r="C1458" s="21" t="str">
        <f aca="false">IF(B1458="","",IFERROR(INDEX(代理店一覧!$B$5:$B$204,MATCH(B1458,代理店一覧!$A$5:$A$204,0)),"※未登録のID"))</f>
        <v/>
      </c>
      <c r="D1458" s="20"/>
      <c r="E1458" s="20"/>
      <c r="F1458" s="20"/>
      <c r="G1458" s="20"/>
      <c r="H1458" s="20"/>
      <c r="I1458" s="21"/>
    </row>
    <row r="1459" customFormat="false" ht="15" hidden="false" customHeight="false" outlineLevel="0" collapsed="false">
      <c r="A1459" s="30"/>
      <c r="B1459" s="21"/>
      <c r="C1459" s="21" t="str">
        <f aca="false">IF(B1459="","",IFERROR(INDEX(代理店一覧!$B$5:$B$204,MATCH(B1459,代理店一覧!$A$5:$A$204,0)),"※未登録のID"))</f>
        <v/>
      </c>
      <c r="D1459" s="20"/>
      <c r="E1459" s="20"/>
      <c r="F1459" s="20"/>
      <c r="G1459" s="20"/>
      <c r="H1459" s="20"/>
      <c r="I1459" s="21"/>
    </row>
    <row r="1460" customFormat="false" ht="15" hidden="false" customHeight="false" outlineLevel="0" collapsed="false">
      <c r="A1460" s="30"/>
      <c r="B1460" s="21"/>
      <c r="C1460" s="21" t="str">
        <f aca="false">IF(B1460="","",IFERROR(INDEX(代理店一覧!$B$5:$B$204,MATCH(B1460,代理店一覧!$A$5:$A$204,0)),"※未登録のID"))</f>
        <v/>
      </c>
      <c r="D1460" s="20"/>
      <c r="E1460" s="20"/>
      <c r="F1460" s="20"/>
      <c r="G1460" s="20"/>
      <c r="H1460" s="20"/>
      <c r="I1460" s="21"/>
    </row>
    <row r="1461" customFormat="false" ht="15" hidden="false" customHeight="false" outlineLevel="0" collapsed="false">
      <c r="A1461" s="30"/>
      <c r="B1461" s="21"/>
      <c r="C1461" s="21" t="str">
        <f aca="false">IF(B1461="","",IFERROR(INDEX(代理店一覧!$B$5:$B$204,MATCH(B1461,代理店一覧!$A$5:$A$204,0)),"※未登録のID"))</f>
        <v/>
      </c>
      <c r="D1461" s="20"/>
      <c r="E1461" s="20"/>
      <c r="F1461" s="20"/>
      <c r="G1461" s="20"/>
      <c r="H1461" s="20"/>
      <c r="I1461" s="21"/>
    </row>
    <row r="1462" customFormat="false" ht="15" hidden="false" customHeight="false" outlineLevel="0" collapsed="false">
      <c r="A1462" s="30"/>
      <c r="B1462" s="21"/>
      <c r="C1462" s="21" t="str">
        <f aca="false">IF(B1462="","",IFERROR(INDEX(代理店一覧!$B$5:$B$204,MATCH(B1462,代理店一覧!$A$5:$A$204,0)),"※未登録のID"))</f>
        <v/>
      </c>
      <c r="D1462" s="20"/>
      <c r="E1462" s="20"/>
      <c r="F1462" s="20"/>
      <c r="G1462" s="20"/>
      <c r="H1462" s="20"/>
      <c r="I1462" s="21"/>
    </row>
    <row r="1463" customFormat="false" ht="15" hidden="false" customHeight="false" outlineLevel="0" collapsed="false">
      <c r="A1463" s="30"/>
      <c r="B1463" s="21"/>
      <c r="C1463" s="21" t="str">
        <f aca="false">IF(B1463="","",IFERROR(INDEX(代理店一覧!$B$5:$B$204,MATCH(B1463,代理店一覧!$A$5:$A$204,0)),"※未登録のID"))</f>
        <v/>
      </c>
      <c r="D1463" s="20"/>
      <c r="E1463" s="20"/>
      <c r="F1463" s="20"/>
      <c r="G1463" s="20"/>
      <c r="H1463" s="20"/>
      <c r="I1463" s="21"/>
    </row>
    <row r="1464" customFormat="false" ht="15" hidden="false" customHeight="false" outlineLevel="0" collapsed="false">
      <c r="A1464" s="30"/>
      <c r="B1464" s="21"/>
      <c r="C1464" s="21" t="str">
        <f aca="false">IF(B1464="","",IFERROR(INDEX(代理店一覧!$B$5:$B$204,MATCH(B1464,代理店一覧!$A$5:$A$204,0)),"※未登録のID"))</f>
        <v/>
      </c>
      <c r="D1464" s="20"/>
      <c r="E1464" s="20"/>
      <c r="F1464" s="20"/>
      <c r="G1464" s="20"/>
      <c r="H1464" s="20"/>
      <c r="I1464" s="21"/>
    </row>
    <row r="1465" customFormat="false" ht="15" hidden="false" customHeight="false" outlineLevel="0" collapsed="false">
      <c r="A1465" s="30"/>
      <c r="B1465" s="21"/>
      <c r="C1465" s="21" t="str">
        <f aca="false">IF(B1465="","",IFERROR(INDEX(代理店一覧!$B$5:$B$204,MATCH(B1465,代理店一覧!$A$5:$A$204,0)),"※未登録のID"))</f>
        <v/>
      </c>
      <c r="D1465" s="20"/>
      <c r="E1465" s="20"/>
      <c r="F1465" s="20"/>
      <c r="G1465" s="20"/>
      <c r="H1465" s="20"/>
      <c r="I1465" s="21"/>
    </row>
    <row r="1466" customFormat="false" ht="15" hidden="false" customHeight="false" outlineLevel="0" collapsed="false">
      <c r="A1466" s="30"/>
      <c r="B1466" s="21"/>
      <c r="C1466" s="21" t="str">
        <f aca="false">IF(B1466="","",IFERROR(INDEX(代理店一覧!$B$5:$B$204,MATCH(B1466,代理店一覧!$A$5:$A$204,0)),"※未登録のID"))</f>
        <v/>
      </c>
      <c r="D1466" s="20"/>
      <c r="E1466" s="20"/>
      <c r="F1466" s="20"/>
      <c r="G1466" s="20"/>
      <c r="H1466" s="20"/>
      <c r="I1466" s="21"/>
    </row>
    <row r="1467" customFormat="false" ht="15" hidden="false" customHeight="false" outlineLevel="0" collapsed="false">
      <c r="A1467" s="30"/>
      <c r="B1467" s="21"/>
      <c r="C1467" s="21" t="str">
        <f aca="false">IF(B1467="","",IFERROR(INDEX(代理店一覧!$B$5:$B$204,MATCH(B1467,代理店一覧!$A$5:$A$204,0)),"※未登録のID"))</f>
        <v/>
      </c>
      <c r="D1467" s="20"/>
      <c r="E1467" s="20"/>
      <c r="F1467" s="20"/>
      <c r="G1467" s="20"/>
      <c r="H1467" s="20"/>
      <c r="I1467" s="21"/>
    </row>
    <row r="1468" customFormat="false" ht="15" hidden="false" customHeight="false" outlineLevel="0" collapsed="false">
      <c r="A1468" s="30"/>
      <c r="B1468" s="21"/>
      <c r="C1468" s="21" t="str">
        <f aca="false">IF(B1468="","",IFERROR(INDEX(代理店一覧!$B$5:$B$204,MATCH(B1468,代理店一覧!$A$5:$A$204,0)),"※未登録のID"))</f>
        <v/>
      </c>
      <c r="D1468" s="20"/>
      <c r="E1468" s="20"/>
      <c r="F1468" s="20"/>
      <c r="G1468" s="20"/>
      <c r="H1468" s="20"/>
      <c r="I1468" s="21"/>
    </row>
    <row r="1469" customFormat="false" ht="15" hidden="false" customHeight="false" outlineLevel="0" collapsed="false">
      <c r="A1469" s="30"/>
      <c r="B1469" s="21"/>
      <c r="C1469" s="21" t="str">
        <f aca="false">IF(B1469="","",IFERROR(INDEX(代理店一覧!$B$5:$B$204,MATCH(B1469,代理店一覧!$A$5:$A$204,0)),"※未登録のID"))</f>
        <v/>
      </c>
      <c r="D1469" s="20"/>
      <c r="E1469" s="20"/>
      <c r="F1469" s="20"/>
      <c r="G1469" s="20"/>
      <c r="H1469" s="20"/>
      <c r="I1469" s="21"/>
    </row>
    <row r="1470" customFormat="false" ht="15" hidden="false" customHeight="false" outlineLevel="0" collapsed="false">
      <c r="A1470" s="30"/>
      <c r="B1470" s="21"/>
      <c r="C1470" s="21" t="str">
        <f aca="false">IF(B1470="","",IFERROR(INDEX(代理店一覧!$B$5:$B$204,MATCH(B1470,代理店一覧!$A$5:$A$204,0)),"※未登録のID"))</f>
        <v/>
      </c>
      <c r="D1470" s="20"/>
      <c r="E1470" s="20"/>
      <c r="F1470" s="20"/>
      <c r="G1470" s="20"/>
      <c r="H1470" s="20"/>
      <c r="I1470" s="21"/>
    </row>
    <row r="1471" customFormat="false" ht="15" hidden="false" customHeight="false" outlineLevel="0" collapsed="false">
      <c r="A1471" s="30"/>
      <c r="B1471" s="21"/>
      <c r="C1471" s="21" t="str">
        <f aca="false">IF(B1471="","",IFERROR(INDEX(代理店一覧!$B$5:$B$204,MATCH(B1471,代理店一覧!$A$5:$A$204,0)),"※未登録のID"))</f>
        <v/>
      </c>
      <c r="D1471" s="20"/>
      <c r="E1471" s="20"/>
      <c r="F1471" s="20"/>
      <c r="G1471" s="20"/>
      <c r="H1471" s="20"/>
      <c r="I1471" s="21"/>
    </row>
    <row r="1472" customFormat="false" ht="15" hidden="false" customHeight="false" outlineLevel="0" collapsed="false">
      <c r="A1472" s="30"/>
      <c r="B1472" s="21"/>
      <c r="C1472" s="21" t="str">
        <f aca="false">IF(B1472="","",IFERROR(INDEX(代理店一覧!$B$5:$B$204,MATCH(B1472,代理店一覧!$A$5:$A$204,0)),"※未登録のID"))</f>
        <v/>
      </c>
      <c r="D1472" s="20"/>
      <c r="E1472" s="20"/>
      <c r="F1472" s="20"/>
      <c r="G1472" s="20"/>
      <c r="H1472" s="20"/>
      <c r="I1472" s="21"/>
    </row>
    <row r="1473" customFormat="false" ht="15" hidden="false" customHeight="false" outlineLevel="0" collapsed="false">
      <c r="A1473" s="30"/>
      <c r="B1473" s="21"/>
      <c r="C1473" s="21" t="str">
        <f aca="false">IF(B1473="","",IFERROR(INDEX(代理店一覧!$B$5:$B$204,MATCH(B1473,代理店一覧!$A$5:$A$204,0)),"※未登録のID"))</f>
        <v/>
      </c>
      <c r="D1473" s="20"/>
      <c r="E1473" s="20"/>
      <c r="F1473" s="20"/>
      <c r="G1473" s="20"/>
      <c r="H1473" s="20"/>
      <c r="I1473" s="21"/>
    </row>
    <row r="1474" customFormat="false" ht="15" hidden="false" customHeight="false" outlineLevel="0" collapsed="false">
      <c r="A1474" s="30"/>
      <c r="B1474" s="21"/>
      <c r="C1474" s="21" t="str">
        <f aca="false">IF(B1474="","",IFERROR(INDEX(代理店一覧!$B$5:$B$204,MATCH(B1474,代理店一覧!$A$5:$A$204,0)),"※未登録のID"))</f>
        <v/>
      </c>
      <c r="D1474" s="20"/>
      <c r="E1474" s="20"/>
      <c r="F1474" s="20"/>
      <c r="G1474" s="20"/>
      <c r="H1474" s="20"/>
      <c r="I1474" s="21"/>
    </row>
    <row r="1475" customFormat="false" ht="15" hidden="false" customHeight="false" outlineLevel="0" collapsed="false">
      <c r="A1475" s="30"/>
      <c r="B1475" s="21"/>
      <c r="C1475" s="21" t="str">
        <f aca="false">IF(B1475="","",IFERROR(INDEX(代理店一覧!$B$5:$B$204,MATCH(B1475,代理店一覧!$A$5:$A$204,0)),"※未登録のID"))</f>
        <v/>
      </c>
      <c r="D1475" s="20"/>
      <c r="E1475" s="20"/>
      <c r="F1475" s="20"/>
      <c r="G1475" s="20"/>
      <c r="H1475" s="20"/>
      <c r="I1475" s="21"/>
    </row>
    <row r="1476" customFormat="false" ht="15" hidden="false" customHeight="false" outlineLevel="0" collapsed="false">
      <c r="A1476" s="30"/>
      <c r="B1476" s="21"/>
      <c r="C1476" s="21" t="str">
        <f aca="false">IF(B1476="","",IFERROR(INDEX(代理店一覧!$B$5:$B$204,MATCH(B1476,代理店一覧!$A$5:$A$204,0)),"※未登録のID"))</f>
        <v/>
      </c>
      <c r="D1476" s="20"/>
      <c r="E1476" s="20"/>
      <c r="F1476" s="20"/>
      <c r="G1476" s="20"/>
      <c r="H1476" s="20"/>
      <c r="I1476" s="21"/>
    </row>
    <row r="1477" customFormat="false" ht="15" hidden="false" customHeight="false" outlineLevel="0" collapsed="false">
      <c r="A1477" s="30"/>
      <c r="B1477" s="21"/>
      <c r="C1477" s="21" t="str">
        <f aca="false">IF(B1477="","",IFERROR(INDEX(代理店一覧!$B$5:$B$204,MATCH(B1477,代理店一覧!$A$5:$A$204,0)),"※未登録のID"))</f>
        <v/>
      </c>
      <c r="D1477" s="20"/>
      <c r="E1477" s="20"/>
      <c r="F1477" s="20"/>
      <c r="G1477" s="20"/>
      <c r="H1477" s="20"/>
      <c r="I1477" s="21"/>
    </row>
    <row r="1478" customFormat="false" ht="15" hidden="false" customHeight="false" outlineLevel="0" collapsed="false">
      <c r="A1478" s="30"/>
      <c r="B1478" s="21"/>
      <c r="C1478" s="21" t="str">
        <f aca="false">IF(B1478="","",IFERROR(INDEX(代理店一覧!$B$5:$B$204,MATCH(B1478,代理店一覧!$A$5:$A$204,0)),"※未登録のID"))</f>
        <v/>
      </c>
      <c r="D1478" s="20"/>
      <c r="E1478" s="20"/>
      <c r="F1478" s="20"/>
      <c r="G1478" s="20"/>
      <c r="H1478" s="20"/>
      <c r="I1478" s="21"/>
    </row>
    <row r="1479" customFormat="false" ht="15" hidden="false" customHeight="false" outlineLevel="0" collapsed="false">
      <c r="A1479" s="30"/>
      <c r="B1479" s="21"/>
      <c r="C1479" s="21" t="str">
        <f aca="false">IF(B1479="","",IFERROR(INDEX(代理店一覧!$B$5:$B$204,MATCH(B1479,代理店一覧!$A$5:$A$204,0)),"※未登録のID"))</f>
        <v/>
      </c>
      <c r="D1479" s="20"/>
      <c r="E1479" s="20"/>
      <c r="F1479" s="20"/>
      <c r="G1479" s="20"/>
      <c r="H1479" s="20"/>
      <c r="I1479" s="21"/>
    </row>
    <row r="1480" customFormat="false" ht="15" hidden="false" customHeight="false" outlineLevel="0" collapsed="false">
      <c r="A1480" s="30"/>
      <c r="B1480" s="21"/>
      <c r="C1480" s="21" t="str">
        <f aca="false">IF(B1480="","",IFERROR(INDEX(代理店一覧!$B$5:$B$204,MATCH(B1480,代理店一覧!$A$5:$A$204,0)),"※未登録のID"))</f>
        <v/>
      </c>
      <c r="D1480" s="20"/>
      <c r="E1480" s="20"/>
      <c r="F1480" s="20"/>
      <c r="G1480" s="20"/>
      <c r="H1480" s="20"/>
      <c r="I1480" s="21"/>
    </row>
    <row r="1481" customFormat="false" ht="15" hidden="false" customHeight="false" outlineLevel="0" collapsed="false">
      <c r="A1481" s="30"/>
      <c r="B1481" s="21"/>
      <c r="C1481" s="21" t="str">
        <f aca="false">IF(B1481="","",IFERROR(INDEX(代理店一覧!$B$5:$B$204,MATCH(B1481,代理店一覧!$A$5:$A$204,0)),"※未登録のID"))</f>
        <v/>
      </c>
      <c r="D1481" s="20"/>
      <c r="E1481" s="20"/>
      <c r="F1481" s="20"/>
      <c r="G1481" s="20"/>
      <c r="H1481" s="20"/>
      <c r="I1481" s="21"/>
    </row>
    <row r="1482" customFormat="false" ht="15" hidden="false" customHeight="false" outlineLevel="0" collapsed="false">
      <c r="A1482" s="30"/>
      <c r="B1482" s="21"/>
      <c r="C1482" s="21" t="str">
        <f aca="false">IF(B1482="","",IFERROR(INDEX(代理店一覧!$B$5:$B$204,MATCH(B1482,代理店一覧!$A$5:$A$204,0)),"※未登録のID"))</f>
        <v/>
      </c>
      <c r="D1482" s="20"/>
      <c r="E1482" s="20"/>
      <c r="F1482" s="20"/>
      <c r="G1482" s="20"/>
      <c r="H1482" s="20"/>
      <c r="I1482" s="21"/>
    </row>
    <row r="1483" customFormat="false" ht="15" hidden="false" customHeight="false" outlineLevel="0" collapsed="false">
      <c r="A1483" s="30"/>
      <c r="B1483" s="21"/>
      <c r="C1483" s="21" t="str">
        <f aca="false">IF(B1483="","",IFERROR(INDEX(代理店一覧!$B$5:$B$204,MATCH(B1483,代理店一覧!$A$5:$A$204,0)),"※未登録のID"))</f>
        <v/>
      </c>
      <c r="D1483" s="20"/>
      <c r="E1483" s="20"/>
      <c r="F1483" s="20"/>
      <c r="G1483" s="20"/>
      <c r="H1483" s="20"/>
      <c r="I1483" s="21"/>
    </row>
    <row r="1484" customFormat="false" ht="15" hidden="false" customHeight="false" outlineLevel="0" collapsed="false">
      <c r="A1484" s="30"/>
      <c r="B1484" s="21"/>
      <c r="C1484" s="21" t="str">
        <f aca="false">IF(B1484="","",IFERROR(INDEX(代理店一覧!$B$5:$B$204,MATCH(B1484,代理店一覧!$A$5:$A$204,0)),"※未登録のID"))</f>
        <v/>
      </c>
      <c r="D1484" s="20"/>
      <c r="E1484" s="20"/>
      <c r="F1484" s="20"/>
      <c r="G1484" s="20"/>
      <c r="H1484" s="20"/>
      <c r="I1484" s="21"/>
    </row>
    <row r="1485" customFormat="false" ht="15" hidden="false" customHeight="false" outlineLevel="0" collapsed="false">
      <c r="A1485" s="30"/>
      <c r="B1485" s="21"/>
      <c r="C1485" s="21" t="str">
        <f aca="false">IF(B1485="","",IFERROR(INDEX(代理店一覧!$B$5:$B$204,MATCH(B1485,代理店一覧!$A$5:$A$204,0)),"※未登録のID"))</f>
        <v/>
      </c>
      <c r="D1485" s="20"/>
      <c r="E1485" s="20"/>
      <c r="F1485" s="20"/>
      <c r="G1485" s="20"/>
      <c r="H1485" s="20"/>
      <c r="I1485" s="21"/>
    </row>
    <row r="1486" customFormat="false" ht="15" hidden="false" customHeight="false" outlineLevel="0" collapsed="false">
      <c r="A1486" s="30"/>
      <c r="B1486" s="21"/>
      <c r="C1486" s="21" t="str">
        <f aca="false">IF(B1486="","",IFERROR(INDEX(代理店一覧!$B$5:$B$204,MATCH(B1486,代理店一覧!$A$5:$A$204,0)),"※未登録のID"))</f>
        <v/>
      </c>
      <c r="D1486" s="20"/>
      <c r="E1486" s="20"/>
      <c r="F1486" s="20"/>
      <c r="G1486" s="20"/>
      <c r="H1486" s="20"/>
      <c r="I1486" s="21"/>
    </row>
    <row r="1487" customFormat="false" ht="15" hidden="false" customHeight="false" outlineLevel="0" collapsed="false">
      <c r="A1487" s="30"/>
      <c r="B1487" s="21"/>
      <c r="C1487" s="21" t="str">
        <f aca="false">IF(B1487="","",IFERROR(INDEX(代理店一覧!$B$5:$B$204,MATCH(B1487,代理店一覧!$A$5:$A$204,0)),"※未登録のID"))</f>
        <v/>
      </c>
      <c r="D1487" s="20"/>
      <c r="E1487" s="20"/>
      <c r="F1487" s="20"/>
      <c r="G1487" s="20"/>
      <c r="H1487" s="20"/>
      <c r="I1487" s="21"/>
    </row>
    <row r="1488" customFormat="false" ht="15" hidden="false" customHeight="false" outlineLevel="0" collapsed="false">
      <c r="A1488" s="30"/>
      <c r="B1488" s="21"/>
      <c r="C1488" s="21" t="str">
        <f aca="false">IF(B1488="","",IFERROR(INDEX(代理店一覧!$B$5:$B$204,MATCH(B1488,代理店一覧!$A$5:$A$204,0)),"※未登録のID"))</f>
        <v/>
      </c>
      <c r="D1488" s="20"/>
      <c r="E1488" s="20"/>
      <c r="F1488" s="20"/>
      <c r="G1488" s="20"/>
      <c r="H1488" s="20"/>
      <c r="I1488" s="21"/>
    </row>
    <row r="1489" customFormat="false" ht="15" hidden="false" customHeight="false" outlineLevel="0" collapsed="false">
      <c r="A1489" s="30"/>
      <c r="B1489" s="21"/>
      <c r="C1489" s="21" t="str">
        <f aca="false">IF(B1489="","",IFERROR(INDEX(代理店一覧!$B$5:$B$204,MATCH(B1489,代理店一覧!$A$5:$A$204,0)),"※未登録のID"))</f>
        <v/>
      </c>
      <c r="D1489" s="20"/>
      <c r="E1489" s="20"/>
      <c r="F1489" s="20"/>
      <c r="G1489" s="20"/>
      <c r="H1489" s="20"/>
      <c r="I1489" s="21"/>
    </row>
    <row r="1490" customFormat="false" ht="15" hidden="false" customHeight="false" outlineLevel="0" collapsed="false">
      <c r="A1490" s="30"/>
      <c r="B1490" s="21"/>
      <c r="C1490" s="21" t="str">
        <f aca="false">IF(B1490="","",IFERROR(INDEX(代理店一覧!$B$5:$B$204,MATCH(B1490,代理店一覧!$A$5:$A$204,0)),"※未登録のID"))</f>
        <v/>
      </c>
      <c r="D1490" s="20"/>
      <c r="E1490" s="20"/>
      <c r="F1490" s="20"/>
      <c r="G1490" s="20"/>
      <c r="H1490" s="20"/>
      <c r="I1490" s="21"/>
    </row>
    <row r="1491" customFormat="false" ht="15" hidden="false" customHeight="false" outlineLevel="0" collapsed="false">
      <c r="A1491" s="30"/>
      <c r="B1491" s="21"/>
      <c r="C1491" s="21" t="str">
        <f aca="false">IF(B1491="","",IFERROR(INDEX(代理店一覧!$B$5:$B$204,MATCH(B1491,代理店一覧!$A$5:$A$204,0)),"※未登録のID"))</f>
        <v/>
      </c>
      <c r="D1491" s="20"/>
      <c r="E1491" s="20"/>
      <c r="F1491" s="20"/>
      <c r="G1491" s="20"/>
      <c r="H1491" s="20"/>
      <c r="I1491" s="21"/>
    </row>
    <row r="1492" customFormat="false" ht="15" hidden="false" customHeight="false" outlineLevel="0" collapsed="false">
      <c r="A1492" s="30"/>
      <c r="B1492" s="21"/>
      <c r="C1492" s="21" t="str">
        <f aca="false">IF(B1492="","",IFERROR(INDEX(代理店一覧!$B$5:$B$204,MATCH(B1492,代理店一覧!$A$5:$A$204,0)),"※未登録のID"))</f>
        <v/>
      </c>
      <c r="D1492" s="20"/>
      <c r="E1492" s="20"/>
      <c r="F1492" s="20"/>
      <c r="G1492" s="20"/>
      <c r="H1492" s="20"/>
      <c r="I1492" s="21"/>
    </row>
    <row r="1493" customFormat="false" ht="15" hidden="false" customHeight="false" outlineLevel="0" collapsed="false">
      <c r="A1493" s="30"/>
      <c r="B1493" s="21"/>
      <c r="C1493" s="21" t="str">
        <f aca="false">IF(B1493="","",IFERROR(INDEX(代理店一覧!$B$5:$B$204,MATCH(B1493,代理店一覧!$A$5:$A$204,0)),"※未登録のID"))</f>
        <v/>
      </c>
      <c r="D1493" s="20"/>
      <c r="E1493" s="20"/>
      <c r="F1493" s="20"/>
      <c r="G1493" s="20"/>
      <c r="H1493" s="20"/>
      <c r="I1493" s="21"/>
    </row>
    <row r="1494" customFormat="false" ht="15" hidden="false" customHeight="false" outlineLevel="0" collapsed="false">
      <c r="A1494" s="30"/>
      <c r="B1494" s="21"/>
      <c r="C1494" s="21" t="str">
        <f aca="false">IF(B1494="","",IFERROR(INDEX(代理店一覧!$B$5:$B$204,MATCH(B1494,代理店一覧!$A$5:$A$204,0)),"※未登録のID"))</f>
        <v/>
      </c>
      <c r="D1494" s="20"/>
      <c r="E1494" s="20"/>
      <c r="F1494" s="20"/>
      <c r="G1494" s="20"/>
      <c r="H1494" s="20"/>
      <c r="I1494" s="21"/>
    </row>
    <row r="1495" customFormat="false" ht="15" hidden="false" customHeight="false" outlineLevel="0" collapsed="false">
      <c r="A1495" s="30"/>
      <c r="B1495" s="21"/>
      <c r="C1495" s="21" t="str">
        <f aca="false">IF(B1495="","",IFERROR(INDEX(代理店一覧!$B$5:$B$204,MATCH(B1495,代理店一覧!$A$5:$A$204,0)),"※未登録のID"))</f>
        <v/>
      </c>
      <c r="D1495" s="20"/>
      <c r="E1495" s="20"/>
      <c r="F1495" s="20"/>
      <c r="G1495" s="20"/>
      <c r="H1495" s="20"/>
      <c r="I1495" s="21"/>
    </row>
    <row r="1496" customFormat="false" ht="15" hidden="false" customHeight="false" outlineLevel="0" collapsed="false">
      <c r="A1496" s="30"/>
      <c r="B1496" s="21"/>
      <c r="C1496" s="21" t="str">
        <f aca="false">IF(B1496="","",IFERROR(INDEX(代理店一覧!$B$5:$B$204,MATCH(B1496,代理店一覧!$A$5:$A$204,0)),"※未登録のID"))</f>
        <v/>
      </c>
      <c r="D1496" s="20"/>
      <c r="E1496" s="20"/>
      <c r="F1496" s="20"/>
      <c r="G1496" s="20"/>
      <c r="H1496" s="20"/>
      <c r="I1496" s="21"/>
    </row>
    <row r="1497" customFormat="false" ht="15" hidden="false" customHeight="false" outlineLevel="0" collapsed="false">
      <c r="A1497" s="30"/>
      <c r="B1497" s="21"/>
      <c r="C1497" s="21" t="str">
        <f aca="false">IF(B1497="","",IFERROR(INDEX(代理店一覧!$B$5:$B$204,MATCH(B1497,代理店一覧!$A$5:$A$204,0)),"※未登録のID"))</f>
        <v/>
      </c>
      <c r="D1497" s="20"/>
      <c r="E1497" s="20"/>
      <c r="F1497" s="20"/>
      <c r="G1497" s="20"/>
      <c r="H1497" s="20"/>
      <c r="I1497" s="21"/>
    </row>
    <row r="1498" customFormat="false" ht="15" hidden="false" customHeight="false" outlineLevel="0" collapsed="false">
      <c r="A1498" s="30"/>
      <c r="B1498" s="21"/>
      <c r="C1498" s="21" t="str">
        <f aca="false">IF(B1498="","",IFERROR(INDEX(代理店一覧!$B$5:$B$204,MATCH(B1498,代理店一覧!$A$5:$A$204,0)),"※未登録のID"))</f>
        <v/>
      </c>
      <c r="D1498" s="20"/>
      <c r="E1498" s="20"/>
      <c r="F1498" s="20"/>
      <c r="G1498" s="20"/>
      <c r="H1498" s="20"/>
      <c r="I1498" s="21"/>
    </row>
    <row r="1499" customFormat="false" ht="15" hidden="false" customHeight="false" outlineLevel="0" collapsed="false">
      <c r="A1499" s="30"/>
      <c r="B1499" s="21"/>
      <c r="C1499" s="21" t="str">
        <f aca="false">IF(B1499="","",IFERROR(INDEX(代理店一覧!$B$5:$B$204,MATCH(B1499,代理店一覧!$A$5:$A$204,0)),"※未登録のID"))</f>
        <v/>
      </c>
      <c r="D1499" s="20"/>
      <c r="E1499" s="20"/>
      <c r="F1499" s="20"/>
      <c r="G1499" s="20"/>
      <c r="H1499" s="20"/>
      <c r="I1499" s="21"/>
    </row>
    <row r="1500" customFormat="false" ht="15" hidden="false" customHeight="false" outlineLevel="0" collapsed="false">
      <c r="A1500" s="30"/>
      <c r="B1500" s="21"/>
      <c r="C1500" s="21" t="str">
        <f aca="false">IF(B1500="","",IFERROR(INDEX(代理店一覧!$B$5:$B$204,MATCH(B1500,代理店一覧!$A$5:$A$204,0)),"※未登録のID"))</f>
        <v/>
      </c>
      <c r="D1500" s="20"/>
      <c r="E1500" s="20"/>
      <c r="F1500" s="20"/>
      <c r="G1500" s="20"/>
      <c r="H1500" s="20"/>
      <c r="I1500" s="21"/>
    </row>
    <row r="1501" customFormat="false" ht="15" hidden="false" customHeight="false" outlineLevel="0" collapsed="false">
      <c r="A1501" s="30"/>
      <c r="B1501" s="21"/>
      <c r="C1501" s="21" t="str">
        <f aca="false">IF(B1501="","",IFERROR(INDEX(代理店一覧!$B$5:$B$204,MATCH(B1501,代理店一覧!$A$5:$A$204,0)),"※未登録のID"))</f>
        <v/>
      </c>
      <c r="D1501" s="20"/>
      <c r="E1501" s="20"/>
      <c r="F1501" s="20"/>
      <c r="G1501" s="20"/>
      <c r="H1501" s="20"/>
      <c r="I1501" s="21"/>
    </row>
    <row r="1502" customFormat="false" ht="15" hidden="false" customHeight="false" outlineLevel="0" collapsed="false">
      <c r="A1502" s="30"/>
      <c r="B1502" s="21"/>
      <c r="C1502" s="21" t="str">
        <f aca="false">IF(B1502="","",IFERROR(INDEX(代理店一覧!$B$5:$B$204,MATCH(B1502,代理店一覧!$A$5:$A$204,0)),"※未登録のID"))</f>
        <v/>
      </c>
      <c r="D1502" s="20"/>
      <c r="E1502" s="20"/>
      <c r="F1502" s="20"/>
      <c r="G1502" s="20"/>
      <c r="H1502" s="20"/>
      <c r="I1502" s="21"/>
    </row>
    <row r="1503" customFormat="false" ht="15" hidden="false" customHeight="false" outlineLevel="0" collapsed="false">
      <c r="A1503" s="30"/>
      <c r="B1503" s="21"/>
      <c r="C1503" s="21" t="str">
        <f aca="false">IF(B1503="","",IFERROR(INDEX(代理店一覧!$B$5:$B$204,MATCH(B1503,代理店一覧!$A$5:$A$204,0)),"※未登録のID"))</f>
        <v/>
      </c>
      <c r="D1503" s="20"/>
      <c r="E1503" s="20"/>
      <c r="F1503" s="20"/>
      <c r="G1503" s="20"/>
      <c r="H1503" s="20"/>
      <c r="I1503" s="21"/>
    </row>
    <row r="1504" customFormat="false" ht="15" hidden="false" customHeight="false" outlineLevel="0" collapsed="false">
      <c r="A1504" s="30"/>
      <c r="B1504" s="21"/>
      <c r="C1504" s="21" t="str">
        <f aca="false">IF(B1504="","",IFERROR(INDEX(代理店一覧!$B$5:$B$204,MATCH(B1504,代理店一覧!$A$5:$A$204,0)),"※未登録のID"))</f>
        <v/>
      </c>
      <c r="D1504" s="20"/>
      <c r="E1504" s="20"/>
      <c r="F1504" s="20"/>
      <c r="G1504" s="20"/>
      <c r="H1504" s="20"/>
      <c r="I1504" s="21"/>
    </row>
    <row r="1505" customFormat="false" ht="15" hidden="false" customHeight="false" outlineLevel="0" collapsed="false">
      <c r="A1505" s="30"/>
      <c r="B1505" s="21"/>
      <c r="C1505" s="21" t="str">
        <f aca="false">IF(B1505="","",IFERROR(INDEX(代理店一覧!$B$5:$B$204,MATCH(B1505,代理店一覧!$A$5:$A$204,0)),"※未登録のID"))</f>
        <v/>
      </c>
      <c r="D1505" s="20"/>
      <c r="E1505" s="20"/>
      <c r="F1505" s="20"/>
      <c r="G1505" s="20"/>
      <c r="H1505" s="20"/>
      <c r="I1505" s="21"/>
    </row>
    <row r="1506" customFormat="false" ht="15" hidden="false" customHeight="false" outlineLevel="0" collapsed="false">
      <c r="A1506" s="30"/>
      <c r="B1506" s="21"/>
      <c r="C1506" s="21" t="str">
        <f aca="false">IF(B1506="","",IFERROR(INDEX(代理店一覧!$B$5:$B$204,MATCH(B1506,代理店一覧!$A$5:$A$204,0)),"※未登録のID"))</f>
        <v/>
      </c>
      <c r="D1506" s="20"/>
      <c r="E1506" s="20"/>
      <c r="F1506" s="20"/>
      <c r="G1506" s="20"/>
      <c r="H1506" s="20"/>
      <c r="I1506" s="21"/>
    </row>
    <row r="1507" customFormat="false" ht="15" hidden="false" customHeight="false" outlineLevel="0" collapsed="false">
      <c r="A1507" s="30"/>
      <c r="B1507" s="21"/>
      <c r="C1507" s="21" t="str">
        <f aca="false">IF(B1507="","",IFERROR(INDEX(代理店一覧!$B$5:$B$204,MATCH(B1507,代理店一覧!$A$5:$A$204,0)),"※未登録のID"))</f>
        <v/>
      </c>
      <c r="D1507" s="20"/>
      <c r="E1507" s="20"/>
      <c r="F1507" s="20"/>
      <c r="G1507" s="20"/>
      <c r="H1507" s="20"/>
      <c r="I1507" s="21"/>
    </row>
    <row r="1508" customFormat="false" ht="15" hidden="false" customHeight="false" outlineLevel="0" collapsed="false">
      <c r="A1508" s="30"/>
      <c r="B1508" s="21"/>
      <c r="C1508" s="21" t="str">
        <f aca="false">IF(B1508="","",IFERROR(INDEX(代理店一覧!$B$5:$B$204,MATCH(B1508,代理店一覧!$A$5:$A$204,0)),"※未登録のID"))</f>
        <v/>
      </c>
      <c r="D1508" s="20"/>
      <c r="E1508" s="20"/>
      <c r="F1508" s="20"/>
      <c r="G1508" s="20"/>
      <c r="H1508" s="20"/>
      <c r="I1508" s="21"/>
    </row>
    <row r="1509" customFormat="false" ht="15" hidden="false" customHeight="false" outlineLevel="0" collapsed="false">
      <c r="A1509" s="30"/>
      <c r="B1509" s="21"/>
      <c r="C1509" s="21" t="str">
        <f aca="false">IF(B1509="","",IFERROR(INDEX(代理店一覧!$B$5:$B$204,MATCH(B1509,代理店一覧!$A$5:$A$204,0)),"※未登録のID"))</f>
        <v/>
      </c>
      <c r="D1509" s="20"/>
      <c r="E1509" s="20"/>
      <c r="F1509" s="20"/>
      <c r="G1509" s="20"/>
      <c r="H1509" s="20"/>
      <c r="I1509" s="21"/>
    </row>
    <row r="1510" customFormat="false" ht="15" hidden="false" customHeight="false" outlineLevel="0" collapsed="false">
      <c r="A1510" s="30"/>
      <c r="B1510" s="21"/>
      <c r="C1510" s="21" t="str">
        <f aca="false">IF(B1510="","",IFERROR(INDEX(代理店一覧!$B$5:$B$204,MATCH(B1510,代理店一覧!$A$5:$A$204,0)),"※未登録のID"))</f>
        <v/>
      </c>
      <c r="D1510" s="20"/>
      <c r="E1510" s="20"/>
      <c r="F1510" s="20"/>
      <c r="G1510" s="20"/>
      <c r="H1510" s="20"/>
      <c r="I1510" s="21"/>
    </row>
    <row r="1511" customFormat="false" ht="15" hidden="false" customHeight="false" outlineLevel="0" collapsed="false">
      <c r="A1511" s="30"/>
      <c r="B1511" s="21"/>
      <c r="C1511" s="21" t="str">
        <f aca="false">IF(B1511="","",IFERROR(INDEX(代理店一覧!$B$5:$B$204,MATCH(B1511,代理店一覧!$A$5:$A$204,0)),"※未登録のID"))</f>
        <v/>
      </c>
      <c r="D1511" s="20"/>
      <c r="E1511" s="20"/>
      <c r="F1511" s="20"/>
      <c r="G1511" s="20"/>
      <c r="H1511" s="20"/>
      <c r="I1511" s="21"/>
    </row>
    <row r="1512" customFormat="false" ht="15" hidden="false" customHeight="false" outlineLevel="0" collapsed="false">
      <c r="A1512" s="30"/>
      <c r="B1512" s="21"/>
      <c r="C1512" s="21" t="str">
        <f aca="false">IF(B1512="","",IFERROR(INDEX(代理店一覧!$B$5:$B$204,MATCH(B1512,代理店一覧!$A$5:$A$204,0)),"※未登録のID"))</f>
        <v/>
      </c>
      <c r="D1512" s="20"/>
      <c r="E1512" s="20"/>
      <c r="F1512" s="20"/>
      <c r="G1512" s="20"/>
      <c r="H1512" s="20"/>
      <c r="I1512" s="21"/>
    </row>
    <row r="1513" customFormat="false" ht="15" hidden="false" customHeight="false" outlineLevel="0" collapsed="false">
      <c r="A1513" s="30"/>
      <c r="B1513" s="21"/>
      <c r="C1513" s="21" t="str">
        <f aca="false">IF(B1513="","",IFERROR(INDEX(代理店一覧!$B$5:$B$204,MATCH(B1513,代理店一覧!$A$5:$A$204,0)),"※未登録のID"))</f>
        <v/>
      </c>
      <c r="D1513" s="20"/>
      <c r="E1513" s="20"/>
      <c r="F1513" s="20"/>
      <c r="G1513" s="20"/>
      <c r="H1513" s="20"/>
      <c r="I1513" s="21"/>
    </row>
    <row r="1514" customFormat="false" ht="15" hidden="false" customHeight="false" outlineLevel="0" collapsed="false">
      <c r="A1514" s="30"/>
      <c r="B1514" s="21"/>
      <c r="C1514" s="21" t="str">
        <f aca="false">IF(B1514="","",IFERROR(INDEX(代理店一覧!$B$5:$B$204,MATCH(B1514,代理店一覧!$A$5:$A$204,0)),"※未登録のID"))</f>
        <v/>
      </c>
      <c r="D1514" s="20"/>
      <c r="E1514" s="20"/>
      <c r="F1514" s="20"/>
      <c r="G1514" s="20"/>
      <c r="H1514" s="20"/>
      <c r="I1514" s="21"/>
    </row>
    <row r="1515" customFormat="false" ht="15" hidden="false" customHeight="false" outlineLevel="0" collapsed="false">
      <c r="A1515" s="30"/>
      <c r="B1515" s="21"/>
      <c r="C1515" s="21" t="str">
        <f aca="false">IF(B1515="","",IFERROR(INDEX(代理店一覧!$B$5:$B$204,MATCH(B1515,代理店一覧!$A$5:$A$204,0)),"※未登録のID"))</f>
        <v/>
      </c>
      <c r="D1515" s="20"/>
      <c r="E1515" s="20"/>
      <c r="F1515" s="20"/>
      <c r="G1515" s="20"/>
      <c r="H1515" s="20"/>
      <c r="I1515" s="21"/>
    </row>
    <row r="1516" customFormat="false" ht="15" hidden="false" customHeight="false" outlineLevel="0" collapsed="false">
      <c r="A1516" s="30"/>
      <c r="B1516" s="21"/>
      <c r="C1516" s="21" t="str">
        <f aca="false">IF(B1516="","",IFERROR(INDEX(代理店一覧!$B$5:$B$204,MATCH(B1516,代理店一覧!$A$5:$A$204,0)),"※未登録のID"))</f>
        <v/>
      </c>
      <c r="D1516" s="20"/>
      <c r="E1516" s="20"/>
      <c r="F1516" s="20"/>
      <c r="G1516" s="20"/>
      <c r="H1516" s="20"/>
      <c r="I1516" s="21"/>
    </row>
    <row r="1517" customFormat="false" ht="15" hidden="false" customHeight="false" outlineLevel="0" collapsed="false">
      <c r="A1517" s="30"/>
      <c r="B1517" s="21"/>
      <c r="C1517" s="21" t="str">
        <f aca="false">IF(B1517="","",IFERROR(INDEX(代理店一覧!$B$5:$B$204,MATCH(B1517,代理店一覧!$A$5:$A$204,0)),"※未登録のID"))</f>
        <v/>
      </c>
      <c r="D1517" s="20"/>
      <c r="E1517" s="20"/>
      <c r="F1517" s="20"/>
      <c r="G1517" s="20"/>
      <c r="H1517" s="20"/>
      <c r="I1517" s="21"/>
    </row>
    <row r="1518" customFormat="false" ht="15" hidden="false" customHeight="false" outlineLevel="0" collapsed="false">
      <c r="A1518" s="30"/>
      <c r="B1518" s="21"/>
      <c r="C1518" s="21" t="str">
        <f aca="false">IF(B1518="","",IFERROR(INDEX(代理店一覧!$B$5:$B$204,MATCH(B1518,代理店一覧!$A$5:$A$204,0)),"※未登録のID"))</f>
        <v/>
      </c>
      <c r="D1518" s="20"/>
      <c r="E1518" s="20"/>
      <c r="F1518" s="20"/>
      <c r="G1518" s="20"/>
      <c r="H1518" s="20"/>
      <c r="I1518" s="21"/>
    </row>
    <row r="1519" customFormat="false" ht="15" hidden="false" customHeight="false" outlineLevel="0" collapsed="false">
      <c r="A1519" s="30"/>
      <c r="B1519" s="21"/>
      <c r="C1519" s="21" t="str">
        <f aca="false">IF(B1519="","",IFERROR(INDEX(代理店一覧!$B$5:$B$204,MATCH(B1519,代理店一覧!$A$5:$A$204,0)),"※未登録のID"))</f>
        <v/>
      </c>
      <c r="D1519" s="20"/>
      <c r="E1519" s="20"/>
      <c r="F1519" s="20"/>
      <c r="G1519" s="20"/>
      <c r="H1519" s="20"/>
      <c r="I1519" s="21"/>
    </row>
    <row r="1520" customFormat="false" ht="15" hidden="false" customHeight="false" outlineLevel="0" collapsed="false">
      <c r="A1520" s="30"/>
      <c r="B1520" s="21"/>
      <c r="C1520" s="21" t="str">
        <f aca="false">IF(B1520="","",IFERROR(INDEX(代理店一覧!$B$5:$B$204,MATCH(B1520,代理店一覧!$A$5:$A$204,0)),"※未登録のID"))</f>
        <v/>
      </c>
      <c r="D1520" s="20"/>
      <c r="E1520" s="20"/>
      <c r="F1520" s="20"/>
      <c r="G1520" s="20"/>
      <c r="H1520" s="20"/>
      <c r="I1520" s="21"/>
    </row>
    <row r="1521" customFormat="false" ht="15" hidden="false" customHeight="false" outlineLevel="0" collapsed="false">
      <c r="A1521" s="30"/>
      <c r="B1521" s="21"/>
      <c r="C1521" s="21" t="str">
        <f aca="false">IF(B1521="","",IFERROR(INDEX(代理店一覧!$B$5:$B$204,MATCH(B1521,代理店一覧!$A$5:$A$204,0)),"※未登録のID"))</f>
        <v/>
      </c>
      <c r="D1521" s="20"/>
      <c r="E1521" s="20"/>
      <c r="F1521" s="20"/>
      <c r="G1521" s="20"/>
      <c r="H1521" s="20"/>
      <c r="I1521" s="21"/>
    </row>
    <row r="1522" customFormat="false" ht="15" hidden="false" customHeight="false" outlineLevel="0" collapsed="false">
      <c r="A1522" s="30"/>
      <c r="B1522" s="21"/>
      <c r="C1522" s="21" t="str">
        <f aca="false">IF(B1522="","",IFERROR(INDEX(代理店一覧!$B$5:$B$204,MATCH(B1522,代理店一覧!$A$5:$A$204,0)),"※未登録のID"))</f>
        <v/>
      </c>
      <c r="D1522" s="20"/>
      <c r="E1522" s="20"/>
      <c r="F1522" s="20"/>
      <c r="G1522" s="20"/>
      <c r="H1522" s="20"/>
      <c r="I1522" s="21"/>
    </row>
    <row r="1523" customFormat="false" ht="15" hidden="false" customHeight="false" outlineLevel="0" collapsed="false">
      <c r="A1523" s="30"/>
      <c r="B1523" s="21"/>
      <c r="C1523" s="21" t="str">
        <f aca="false">IF(B1523="","",IFERROR(INDEX(代理店一覧!$B$5:$B$204,MATCH(B1523,代理店一覧!$A$5:$A$204,0)),"※未登録のID"))</f>
        <v/>
      </c>
      <c r="D1523" s="20"/>
      <c r="E1523" s="20"/>
      <c r="F1523" s="20"/>
      <c r="G1523" s="20"/>
      <c r="H1523" s="20"/>
      <c r="I1523" s="21"/>
    </row>
    <row r="1524" customFormat="false" ht="15" hidden="false" customHeight="false" outlineLevel="0" collapsed="false">
      <c r="A1524" s="30"/>
      <c r="B1524" s="21"/>
      <c r="C1524" s="21" t="str">
        <f aca="false">IF(B1524="","",IFERROR(INDEX(代理店一覧!$B$5:$B$204,MATCH(B1524,代理店一覧!$A$5:$A$204,0)),"※未登録のID"))</f>
        <v/>
      </c>
      <c r="D1524" s="20"/>
      <c r="E1524" s="20"/>
      <c r="F1524" s="20"/>
      <c r="G1524" s="20"/>
      <c r="H1524" s="20"/>
      <c r="I1524" s="21"/>
    </row>
    <row r="1525" customFormat="false" ht="15" hidden="false" customHeight="false" outlineLevel="0" collapsed="false">
      <c r="A1525" s="30"/>
      <c r="B1525" s="21"/>
      <c r="C1525" s="21" t="str">
        <f aca="false">IF(B1525="","",IFERROR(INDEX(代理店一覧!$B$5:$B$204,MATCH(B1525,代理店一覧!$A$5:$A$204,0)),"※未登録のID"))</f>
        <v/>
      </c>
      <c r="D1525" s="20"/>
      <c r="E1525" s="20"/>
      <c r="F1525" s="20"/>
      <c r="G1525" s="20"/>
      <c r="H1525" s="20"/>
      <c r="I1525" s="21"/>
    </row>
    <row r="1526" customFormat="false" ht="15" hidden="false" customHeight="false" outlineLevel="0" collapsed="false">
      <c r="A1526" s="30"/>
      <c r="B1526" s="21"/>
      <c r="C1526" s="21" t="str">
        <f aca="false">IF(B1526="","",IFERROR(INDEX(代理店一覧!$B$5:$B$204,MATCH(B1526,代理店一覧!$A$5:$A$204,0)),"※未登録のID"))</f>
        <v/>
      </c>
      <c r="D1526" s="20"/>
      <c r="E1526" s="20"/>
      <c r="F1526" s="20"/>
      <c r="G1526" s="20"/>
      <c r="H1526" s="20"/>
      <c r="I1526" s="21"/>
    </row>
    <row r="1527" customFormat="false" ht="15" hidden="false" customHeight="false" outlineLevel="0" collapsed="false">
      <c r="A1527" s="30"/>
      <c r="B1527" s="21"/>
      <c r="C1527" s="21" t="str">
        <f aca="false">IF(B1527="","",IFERROR(INDEX(代理店一覧!$B$5:$B$204,MATCH(B1527,代理店一覧!$A$5:$A$204,0)),"※未登録のID"))</f>
        <v/>
      </c>
      <c r="D1527" s="20"/>
      <c r="E1527" s="20"/>
      <c r="F1527" s="20"/>
      <c r="G1527" s="20"/>
      <c r="H1527" s="20"/>
      <c r="I1527" s="21"/>
    </row>
    <row r="1528" customFormat="false" ht="15" hidden="false" customHeight="false" outlineLevel="0" collapsed="false">
      <c r="A1528" s="30"/>
      <c r="B1528" s="21"/>
      <c r="C1528" s="21" t="str">
        <f aca="false">IF(B1528="","",IFERROR(INDEX(代理店一覧!$B$5:$B$204,MATCH(B1528,代理店一覧!$A$5:$A$204,0)),"※未登録のID"))</f>
        <v/>
      </c>
      <c r="D1528" s="20"/>
      <c r="E1528" s="20"/>
      <c r="F1528" s="20"/>
      <c r="G1528" s="20"/>
      <c r="H1528" s="20"/>
      <c r="I1528" s="21"/>
    </row>
    <row r="1529" customFormat="false" ht="15" hidden="false" customHeight="false" outlineLevel="0" collapsed="false">
      <c r="A1529" s="30"/>
      <c r="B1529" s="21"/>
      <c r="C1529" s="21" t="str">
        <f aca="false">IF(B1529="","",IFERROR(INDEX(代理店一覧!$B$5:$B$204,MATCH(B1529,代理店一覧!$A$5:$A$204,0)),"※未登録のID"))</f>
        <v/>
      </c>
      <c r="D1529" s="20"/>
      <c r="E1529" s="20"/>
      <c r="F1529" s="20"/>
      <c r="G1529" s="20"/>
      <c r="H1529" s="20"/>
      <c r="I1529" s="21"/>
    </row>
    <row r="1530" customFormat="false" ht="15" hidden="false" customHeight="false" outlineLevel="0" collapsed="false">
      <c r="A1530" s="30"/>
      <c r="B1530" s="21"/>
      <c r="C1530" s="21" t="str">
        <f aca="false">IF(B1530="","",IFERROR(INDEX(代理店一覧!$B$5:$B$204,MATCH(B1530,代理店一覧!$A$5:$A$204,0)),"※未登録のID"))</f>
        <v/>
      </c>
      <c r="D1530" s="20"/>
      <c r="E1530" s="20"/>
      <c r="F1530" s="20"/>
      <c r="G1530" s="20"/>
      <c r="H1530" s="20"/>
      <c r="I1530" s="21"/>
    </row>
    <row r="1531" customFormat="false" ht="15" hidden="false" customHeight="false" outlineLevel="0" collapsed="false">
      <c r="A1531" s="30"/>
      <c r="B1531" s="21"/>
      <c r="C1531" s="21" t="str">
        <f aca="false">IF(B1531="","",IFERROR(INDEX(代理店一覧!$B$5:$B$204,MATCH(B1531,代理店一覧!$A$5:$A$204,0)),"※未登録のID"))</f>
        <v/>
      </c>
      <c r="D1531" s="20"/>
      <c r="E1531" s="20"/>
      <c r="F1531" s="20"/>
      <c r="G1531" s="20"/>
      <c r="H1531" s="20"/>
      <c r="I1531" s="21"/>
    </row>
    <row r="1532" customFormat="false" ht="15" hidden="false" customHeight="false" outlineLevel="0" collapsed="false">
      <c r="A1532" s="30"/>
      <c r="B1532" s="21"/>
      <c r="C1532" s="21" t="str">
        <f aca="false">IF(B1532="","",IFERROR(INDEX(代理店一覧!$B$5:$B$204,MATCH(B1532,代理店一覧!$A$5:$A$204,0)),"※未登録のID"))</f>
        <v/>
      </c>
      <c r="D1532" s="20"/>
      <c r="E1532" s="20"/>
      <c r="F1532" s="20"/>
      <c r="G1532" s="20"/>
      <c r="H1532" s="20"/>
      <c r="I1532" s="21"/>
    </row>
    <row r="1533" customFormat="false" ht="15" hidden="false" customHeight="false" outlineLevel="0" collapsed="false">
      <c r="A1533" s="30"/>
      <c r="B1533" s="21"/>
      <c r="C1533" s="21" t="str">
        <f aca="false">IF(B1533="","",IFERROR(INDEX(代理店一覧!$B$5:$B$204,MATCH(B1533,代理店一覧!$A$5:$A$204,0)),"※未登録のID"))</f>
        <v/>
      </c>
      <c r="D1533" s="20"/>
      <c r="E1533" s="20"/>
      <c r="F1533" s="20"/>
      <c r="G1533" s="20"/>
      <c r="H1533" s="20"/>
      <c r="I1533" s="21"/>
    </row>
    <row r="1534" customFormat="false" ht="15" hidden="false" customHeight="false" outlineLevel="0" collapsed="false">
      <c r="A1534" s="30"/>
      <c r="B1534" s="21"/>
      <c r="C1534" s="21" t="str">
        <f aca="false">IF(B1534="","",IFERROR(INDEX(代理店一覧!$B$5:$B$204,MATCH(B1534,代理店一覧!$A$5:$A$204,0)),"※未登録のID"))</f>
        <v/>
      </c>
      <c r="D1534" s="20"/>
      <c r="E1534" s="20"/>
      <c r="F1534" s="20"/>
      <c r="G1534" s="20"/>
      <c r="H1534" s="20"/>
      <c r="I1534" s="21"/>
    </row>
    <row r="1535" customFormat="false" ht="15" hidden="false" customHeight="false" outlineLevel="0" collapsed="false">
      <c r="A1535" s="30"/>
      <c r="B1535" s="21"/>
      <c r="C1535" s="21" t="str">
        <f aca="false">IF(B1535="","",IFERROR(INDEX(代理店一覧!$B$5:$B$204,MATCH(B1535,代理店一覧!$A$5:$A$204,0)),"※未登録のID"))</f>
        <v/>
      </c>
      <c r="D1535" s="20"/>
      <c r="E1535" s="20"/>
      <c r="F1535" s="20"/>
      <c r="G1535" s="20"/>
      <c r="H1535" s="20"/>
      <c r="I1535" s="21"/>
    </row>
    <row r="1536" customFormat="false" ht="15" hidden="false" customHeight="false" outlineLevel="0" collapsed="false">
      <c r="A1536" s="30"/>
      <c r="B1536" s="21"/>
      <c r="C1536" s="21" t="str">
        <f aca="false">IF(B1536="","",IFERROR(INDEX(代理店一覧!$B$5:$B$204,MATCH(B1536,代理店一覧!$A$5:$A$204,0)),"※未登録のID"))</f>
        <v/>
      </c>
      <c r="D1536" s="20"/>
      <c r="E1536" s="20"/>
      <c r="F1536" s="20"/>
      <c r="G1536" s="20"/>
      <c r="H1536" s="20"/>
      <c r="I1536" s="21"/>
    </row>
    <row r="1537" customFormat="false" ht="15" hidden="false" customHeight="false" outlineLevel="0" collapsed="false">
      <c r="A1537" s="30"/>
      <c r="B1537" s="21"/>
      <c r="C1537" s="21" t="str">
        <f aca="false">IF(B1537="","",IFERROR(INDEX(代理店一覧!$B$5:$B$204,MATCH(B1537,代理店一覧!$A$5:$A$204,0)),"※未登録のID"))</f>
        <v/>
      </c>
      <c r="D1537" s="20"/>
      <c r="E1537" s="20"/>
      <c r="F1537" s="20"/>
      <c r="G1537" s="20"/>
      <c r="H1537" s="20"/>
      <c r="I1537" s="21"/>
    </row>
    <row r="1538" customFormat="false" ht="15" hidden="false" customHeight="false" outlineLevel="0" collapsed="false">
      <c r="A1538" s="30"/>
      <c r="B1538" s="21"/>
      <c r="C1538" s="21" t="str">
        <f aca="false">IF(B1538="","",IFERROR(INDEX(代理店一覧!$B$5:$B$204,MATCH(B1538,代理店一覧!$A$5:$A$204,0)),"※未登録のID"))</f>
        <v/>
      </c>
      <c r="D1538" s="20"/>
      <c r="E1538" s="20"/>
      <c r="F1538" s="20"/>
      <c r="G1538" s="20"/>
      <c r="H1538" s="20"/>
      <c r="I1538" s="21"/>
    </row>
    <row r="1539" customFormat="false" ht="15" hidden="false" customHeight="false" outlineLevel="0" collapsed="false">
      <c r="A1539" s="30"/>
      <c r="B1539" s="21"/>
      <c r="C1539" s="21" t="str">
        <f aca="false">IF(B1539="","",IFERROR(INDEX(代理店一覧!$B$5:$B$204,MATCH(B1539,代理店一覧!$A$5:$A$204,0)),"※未登録のID"))</f>
        <v/>
      </c>
      <c r="D1539" s="20"/>
      <c r="E1539" s="20"/>
      <c r="F1539" s="20"/>
      <c r="G1539" s="20"/>
      <c r="H1539" s="20"/>
      <c r="I1539" s="21"/>
    </row>
    <row r="1540" customFormat="false" ht="15" hidden="false" customHeight="false" outlineLevel="0" collapsed="false">
      <c r="A1540" s="30"/>
      <c r="B1540" s="21"/>
      <c r="C1540" s="21" t="str">
        <f aca="false">IF(B1540="","",IFERROR(INDEX(代理店一覧!$B$5:$B$204,MATCH(B1540,代理店一覧!$A$5:$A$204,0)),"※未登録のID"))</f>
        <v/>
      </c>
      <c r="D1540" s="20"/>
      <c r="E1540" s="20"/>
      <c r="F1540" s="20"/>
      <c r="G1540" s="20"/>
      <c r="H1540" s="20"/>
      <c r="I1540" s="21"/>
    </row>
    <row r="1541" customFormat="false" ht="15" hidden="false" customHeight="false" outlineLevel="0" collapsed="false">
      <c r="A1541" s="30"/>
      <c r="B1541" s="21"/>
      <c r="C1541" s="21" t="str">
        <f aca="false">IF(B1541="","",IFERROR(INDEX(代理店一覧!$B$5:$B$204,MATCH(B1541,代理店一覧!$A$5:$A$204,0)),"※未登録のID"))</f>
        <v/>
      </c>
      <c r="D1541" s="20"/>
      <c r="E1541" s="20"/>
      <c r="F1541" s="20"/>
      <c r="G1541" s="20"/>
      <c r="H1541" s="20"/>
      <c r="I1541" s="21"/>
    </row>
    <row r="1542" customFormat="false" ht="15" hidden="false" customHeight="false" outlineLevel="0" collapsed="false">
      <c r="A1542" s="30"/>
      <c r="B1542" s="21"/>
      <c r="C1542" s="21" t="str">
        <f aca="false">IF(B1542="","",IFERROR(INDEX(代理店一覧!$B$5:$B$204,MATCH(B1542,代理店一覧!$A$5:$A$204,0)),"※未登録のID"))</f>
        <v/>
      </c>
      <c r="D1542" s="20"/>
      <c r="E1542" s="20"/>
      <c r="F1542" s="20"/>
      <c r="G1542" s="20"/>
      <c r="H1542" s="20"/>
      <c r="I1542" s="21"/>
    </row>
    <row r="1543" customFormat="false" ht="15" hidden="false" customHeight="false" outlineLevel="0" collapsed="false">
      <c r="A1543" s="30"/>
      <c r="B1543" s="21"/>
      <c r="C1543" s="21" t="str">
        <f aca="false">IF(B1543="","",IFERROR(INDEX(代理店一覧!$B$5:$B$204,MATCH(B1543,代理店一覧!$A$5:$A$204,0)),"※未登録のID"))</f>
        <v/>
      </c>
      <c r="D1543" s="20"/>
      <c r="E1543" s="20"/>
      <c r="F1543" s="20"/>
      <c r="G1543" s="20"/>
      <c r="H1543" s="20"/>
      <c r="I1543" s="21"/>
    </row>
    <row r="1544" customFormat="false" ht="15" hidden="false" customHeight="false" outlineLevel="0" collapsed="false">
      <c r="A1544" s="30"/>
      <c r="B1544" s="21"/>
      <c r="C1544" s="21" t="str">
        <f aca="false">IF(B1544="","",IFERROR(INDEX(代理店一覧!$B$5:$B$204,MATCH(B1544,代理店一覧!$A$5:$A$204,0)),"※未登録のID"))</f>
        <v/>
      </c>
      <c r="D1544" s="20"/>
      <c r="E1544" s="20"/>
      <c r="F1544" s="20"/>
      <c r="G1544" s="20"/>
      <c r="H1544" s="20"/>
      <c r="I1544" s="21"/>
    </row>
    <row r="1545" customFormat="false" ht="15" hidden="false" customHeight="false" outlineLevel="0" collapsed="false">
      <c r="A1545" s="30"/>
      <c r="B1545" s="21"/>
      <c r="C1545" s="21" t="str">
        <f aca="false">IF(B1545="","",IFERROR(INDEX(代理店一覧!$B$5:$B$204,MATCH(B1545,代理店一覧!$A$5:$A$204,0)),"※未登録のID"))</f>
        <v/>
      </c>
      <c r="D1545" s="20"/>
      <c r="E1545" s="20"/>
      <c r="F1545" s="20"/>
      <c r="G1545" s="20"/>
      <c r="H1545" s="20"/>
      <c r="I1545" s="21"/>
    </row>
    <row r="1546" customFormat="false" ht="15" hidden="false" customHeight="false" outlineLevel="0" collapsed="false">
      <c r="A1546" s="30"/>
      <c r="B1546" s="21"/>
      <c r="C1546" s="21" t="str">
        <f aca="false">IF(B1546="","",IFERROR(INDEX(代理店一覧!$B$5:$B$204,MATCH(B1546,代理店一覧!$A$5:$A$204,0)),"※未登録のID"))</f>
        <v/>
      </c>
      <c r="D1546" s="20"/>
      <c r="E1546" s="20"/>
      <c r="F1546" s="20"/>
      <c r="G1546" s="20"/>
      <c r="H1546" s="20"/>
      <c r="I1546" s="21"/>
    </row>
    <row r="1547" customFormat="false" ht="15" hidden="false" customHeight="false" outlineLevel="0" collapsed="false">
      <c r="A1547" s="30"/>
      <c r="B1547" s="21"/>
      <c r="C1547" s="21" t="str">
        <f aca="false">IF(B1547="","",IFERROR(INDEX(代理店一覧!$B$5:$B$204,MATCH(B1547,代理店一覧!$A$5:$A$204,0)),"※未登録のID"))</f>
        <v/>
      </c>
      <c r="D1547" s="20"/>
      <c r="E1547" s="20"/>
      <c r="F1547" s="20"/>
      <c r="G1547" s="20"/>
      <c r="H1547" s="20"/>
      <c r="I1547" s="21"/>
    </row>
    <row r="1548" customFormat="false" ht="15" hidden="false" customHeight="false" outlineLevel="0" collapsed="false">
      <c r="A1548" s="30"/>
      <c r="B1548" s="21"/>
      <c r="C1548" s="21" t="str">
        <f aca="false">IF(B1548="","",IFERROR(INDEX(代理店一覧!$B$5:$B$204,MATCH(B1548,代理店一覧!$A$5:$A$204,0)),"※未登録のID"))</f>
        <v/>
      </c>
      <c r="D1548" s="20"/>
      <c r="E1548" s="20"/>
      <c r="F1548" s="20"/>
      <c r="G1548" s="20"/>
      <c r="H1548" s="20"/>
      <c r="I1548" s="21"/>
    </row>
    <row r="1549" customFormat="false" ht="15" hidden="false" customHeight="false" outlineLevel="0" collapsed="false">
      <c r="A1549" s="30"/>
      <c r="B1549" s="21"/>
      <c r="C1549" s="21" t="str">
        <f aca="false">IF(B1549="","",IFERROR(INDEX(代理店一覧!$B$5:$B$204,MATCH(B1549,代理店一覧!$A$5:$A$204,0)),"※未登録のID"))</f>
        <v/>
      </c>
      <c r="D1549" s="20"/>
      <c r="E1549" s="20"/>
      <c r="F1549" s="20"/>
      <c r="G1549" s="20"/>
      <c r="H1549" s="20"/>
      <c r="I1549" s="21"/>
    </row>
    <row r="1550" customFormat="false" ht="15" hidden="false" customHeight="false" outlineLevel="0" collapsed="false">
      <c r="A1550" s="30"/>
      <c r="B1550" s="21"/>
      <c r="C1550" s="21" t="str">
        <f aca="false">IF(B1550="","",IFERROR(INDEX(代理店一覧!$B$5:$B$204,MATCH(B1550,代理店一覧!$A$5:$A$204,0)),"※未登録のID"))</f>
        <v/>
      </c>
      <c r="D1550" s="20"/>
      <c r="E1550" s="20"/>
      <c r="F1550" s="20"/>
      <c r="G1550" s="20"/>
      <c r="H1550" s="20"/>
      <c r="I1550" s="21"/>
    </row>
    <row r="1551" customFormat="false" ht="15" hidden="false" customHeight="false" outlineLevel="0" collapsed="false">
      <c r="A1551" s="30"/>
      <c r="B1551" s="21"/>
      <c r="C1551" s="21" t="str">
        <f aca="false">IF(B1551="","",IFERROR(INDEX(代理店一覧!$B$5:$B$204,MATCH(B1551,代理店一覧!$A$5:$A$204,0)),"※未登録のID"))</f>
        <v/>
      </c>
      <c r="D1551" s="20"/>
      <c r="E1551" s="20"/>
      <c r="F1551" s="20"/>
      <c r="G1551" s="20"/>
      <c r="H1551" s="20"/>
      <c r="I1551" s="21"/>
    </row>
    <row r="1552" customFormat="false" ht="15" hidden="false" customHeight="false" outlineLevel="0" collapsed="false">
      <c r="A1552" s="30"/>
      <c r="B1552" s="21"/>
      <c r="C1552" s="21" t="str">
        <f aca="false">IF(B1552="","",IFERROR(INDEX(代理店一覧!$B$5:$B$204,MATCH(B1552,代理店一覧!$A$5:$A$204,0)),"※未登録のID"))</f>
        <v/>
      </c>
      <c r="D1552" s="20"/>
      <c r="E1552" s="20"/>
      <c r="F1552" s="20"/>
      <c r="G1552" s="20"/>
      <c r="H1552" s="20"/>
      <c r="I1552" s="21"/>
    </row>
    <row r="1553" customFormat="false" ht="15" hidden="false" customHeight="false" outlineLevel="0" collapsed="false">
      <c r="A1553" s="30"/>
      <c r="B1553" s="21"/>
      <c r="C1553" s="21" t="str">
        <f aca="false">IF(B1553="","",IFERROR(INDEX(代理店一覧!$B$5:$B$204,MATCH(B1553,代理店一覧!$A$5:$A$204,0)),"※未登録のID"))</f>
        <v/>
      </c>
      <c r="D1553" s="20"/>
      <c r="E1553" s="20"/>
      <c r="F1553" s="20"/>
      <c r="G1553" s="20"/>
      <c r="H1553" s="20"/>
      <c r="I1553" s="21"/>
    </row>
    <row r="1554" customFormat="false" ht="15" hidden="false" customHeight="false" outlineLevel="0" collapsed="false">
      <c r="A1554" s="30"/>
      <c r="B1554" s="21"/>
      <c r="C1554" s="21" t="str">
        <f aca="false">IF(B1554="","",IFERROR(INDEX(代理店一覧!$B$5:$B$204,MATCH(B1554,代理店一覧!$A$5:$A$204,0)),"※未登録のID"))</f>
        <v/>
      </c>
      <c r="D1554" s="20"/>
      <c r="E1554" s="20"/>
      <c r="F1554" s="20"/>
      <c r="G1554" s="20"/>
      <c r="H1554" s="20"/>
      <c r="I1554" s="21"/>
    </row>
    <row r="1555" customFormat="false" ht="15" hidden="false" customHeight="false" outlineLevel="0" collapsed="false">
      <c r="A1555" s="30"/>
      <c r="B1555" s="21"/>
      <c r="C1555" s="21" t="str">
        <f aca="false">IF(B1555="","",IFERROR(INDEX(代理店一覧!$B$5:$B$204,MATCH(B1555,代理店一覧!$A$5:$A$204,0)),"※未登録のID"))</f>
        <v/>
      </c>
      <c r="D1555" s="20"/>
      <c r="E1555" s="20"/>
      <c r="F1555" s="20"/>
      <c r="G1555" s="20"/>
      <c r="H1555" s="20"/>
      <c r="I1555" s="21"/>
    </row>
    <row r="1556" customFormat="false" ht="15" hidden="false" customHeight="false" outlineLevel="0" collapsed="false">
      <c r="A1556" s="30"/>
      <c r="B1556" s="21"/>
      <c r="C1556" s="21" t="str">
        <f aca="false">IF(B1556="","",IFERROR(INDEX(代理店一覧!$B$5:$B$204,MATCH(B1556,代理店一覧!$A$5:$A$204,0)),"※未登録のID"))</f>
        <v/>
      </c>
      <c r="D1556" s="20"/>
      <c r="E1556" s="20"/>
      <c r="F1556" s="20"/>
      <c r="G1556" s="20"/>
      <c r="H1556" s="20"/>
      <c r="I1556" s="21"/>
    </row>
    <row r="1557" customFormat="false" ht="15" hidden="false" customHeight="false" outlineLevel="0" collapsed="false">
      <c r="A1557" s="30"/>
      <c r="B1557" s="21"/>
      <c r="C1557" s="21" t="str">
        <f aca="false">IF(B1557="","",IFERROR(INDEX(代理店一覧!$B$5:$B$204,MATCH(B1557,代理店一覧!$A$5:$A$204,0)),"※未登録のID"))</f>
        <v/>
      </c>
      <c r="D1557" s="20"/>
      <c r="E1557" s="20"/>
      <c r="F1557" s="20"/>
      <c r="G1557" s="20"/>
      <c r="H1557" s="20"/>
      <c r="I1557" s="21"/>
    </row>
    <row r="1558" customFormat="false" ht="15" hidden="false" customHeight="false" outlineLevel="0" collapsed="false">
      <c r="A1558" s="30"/>
      <c r="B1558" s="21"/>
      <c r="C1558" s="21" t="str">
        <f aca="false">IF(B1558="","",IFERROR(INDEX(代理店一覧!$B$5:$B$204,MATCH(B1558,代理店一覧!$A$5:$A$204,0)),"※未登録のID"))</f>
        <v/>
      </c>
      <c r="D1558" s="20"/>
      <c r="E1558" s="20"/>
      <c r="F1558" s="20"/>
      <c r="G1558" s="20"/>
      <c r="H1558" s="20"/>
      <c r="I1558" s="21"/>
    </row>
    <row r="1559" customFormat="false" ht="15" hidden="false" customHeight="false" outlineLevel="0" collapsed="false">
      <c r="A1559" s="30"/>
      <c r="B1559" s="21"/>
      <c r="C1559" s="21" t="str">
        <f aca="false">IF(B1559="","",IFERROR(INDEX(代理店一覧!$B$5:$B$204,MATCH(B1559,代理店一覧!$A$5:$A$204,0)),"※未登録のID"))</f>
        <v/>
      </c>
      <c r="D1559" s="20"/>
      <c r="E1559" s="20"/>
      <c r="F1559" s="20"/>
      <c r="G1559" s="20"/>
      <c r="H1559" s="20"/>
      <c r="I1559" s="21"/>
    </row>
    <row r="1560" customFormat="false" ht="15" hidden="false" customHeight="false" outlineLevel="0" collapsed="false">
      <c r="A1560" s="30"/>
      <c r="B1560" s="21"/>
      <c r="C1560" s="21" t="str">
        <f aca="false">IF(B1560="","",IFERROR(INDEX(代理店一覧!$B$5:$B$204,MATCH(B1560,代理店一覧!$A$5:$A$204,0)),"※未登録のID"))</f>
        <v/>
      </c>
      <c r="D1560" s="20"/>
      <c r="E1560" s="20"/>
      <c r="F1560" s="20"/>
      <c r="G1560" s="20"/>
      <c r="H1560" s="20"/>
      <c r="I1560" s="21"/>
    </row>
    <row r="1561" customFormat="false" ht="15" hidden="false" customHeight="false" outlineLevel="0" collapsed="false">
      <c r="A1561" s="30"/>
      <c r="B1561" s="21"/>
      <c r="C1561" s="21" t="str">
        <f aca="false">IF(B1561="","",IFERROR(INDEX(代理店一覧!$B$5:$B$204,MATCH(B1561,代理店一覧!$A$5:$A$204,0)),"※未登録のID"))</f>
        <v/>
      </c>
      <c r="D1561" s="20"/>
      <c r="E1561" s="20"/>
      <c r="F1561" s="20"/>
      <c r="G1561" s="20"/>
      <c r="H1561" s="20"/>
      <c r="I1561" s="21"/>
    </row>
    <row r="1562" customFormat="false" ht="15" hidden="false" customHeight="false" outlineLevel="0" collapsed="false">
      <c r="A1562" s="30"/>
      <c r="B1562" s="21"/>
      <c r="C1562" s="21" t="str">
        <f aca="false">IF(B1562="","",IFERROR(INDEX(代理店一覧!$B$5:$B$204,MATCH(B1562,代理店一覧!$A$5:$A$204,0)),"※未登録のID"))</f>
        <v/>
      </c>
      <c r="D1562" s="20"/>
      <c r="E1562" s="20"/>
      <c r="F1562" s="20"/>
      <c r="G1562" s="20"/>
      <c r="H1562" s="20"/>
      <c r="I1562" s="21"/>
    </row>
    <row r="1563" customFormat="false" ht="15" hidden="false" customHeight="false" outlineLevel="0" collapsed="false">
      <c r="A1563" s="30"/>
      <c r="B1563" s="21"/>
      <c r="C1563" s="21" t="str">
        <f aca="false">IF(B1563="","",IFERROR(INDEX(代理店一覧!$B$5:$B$204,MATCH(B1563,代理店一覧!$A$5:$A$204,0)),"※未登録のID"))</f>
        <v/>
      </c>
      <c r="D1563" s="20"/>
      <c r="E1563" s="20"/>
      <c r="F1563" s="20"/>
      <c r="G1563" s="20"/>
      <c r="H1563" s="20"/>
      <c r="I1563" s="21"/>
    </row>
    <row r="1564" customFormat="false" ht="15" hidden="false" customHeight="false" outlineLevel="0" collapsed="false">
      <c r="A1564" s="30"/>
      <c r="B1564" s="21"/>
      <c r="C1564" s="21" t="str">
        <f aca="false">IF(B1564="","",IFERROR(INDEX(代理店一覧!$B$5:$B$204,MATCH(B1564,代理店一覧!$A$5:$A$204,0)),"※未登録のID"))</f>
        <v/>
      </c>
      <c r="D1564" s="20"/>
      <c r="E1564" s="20"/>
      <c r="F1564" s="20"/>
      <c r="G1564" s="20"/>
      <c r="H1564" s="20"/>
      <c r="I1564" s="21"/>
    </row>
    <row r="1565" customFormat="false" ht="15" hidden="false" customHeight="false" outlineLevel="0" collapsed="false">
      <c r="A1565" s="30"/>
      <c r="B1565" s="21"/>
      <c r="C1565" s="21" t="str">
        <f aca="false">IF(B1565="","",IFERROR(INDEX(代理店一覧!$B$5:$B$204,MATCH(B1565,代理店一覧!$A$5:$A$204,0)),"※未登録のID"))</f>
        <v/>
      </c>
      <c r="D1565" s="20"/>
      <c r="E1565" s="20"/>
      <c r="F1565" s="20"/>
      <c r="G1565" s="20"/>
      <c r="H1565" s="20"/>
      <c r="I1565" s="21"/>
    </row>
    <row r="1566" customFormat="false" ht="15" hidden="false" customHeight="false" outlineLevel="0" collapsed="false">
      <c r="A1566" s="30"/>
      <c r="B1566" s="21"/>
      <c r="C1566" s="21" t="str">
        <f aca="false">IF(B1566="","",IFERROR(INDEX(代理店一覧!$B$5:$B$204,MATCH(B1566,代理店一覧!$A$5:$A$204,0)),"※未登録のID"))</f>
        <v/>
      </c>
      <c r="D1566" s="20"/>
      <c r="E1566" s="20"/>
      <c r="F1566" s="20"/>
      <c r="G1566" s="20"/>
      <c r="H1566" s="20"/>
      <c r="I1566" s="21"/>
    </row>
    <row r="1567" customFormat="false" ht="15" hidden="false" customHeight="false" outlineLevel="0" collapsed="false">
      <c r="A1567" s="30"/>
      <c r="B1567" s="21"/>
      <c r="C1567" s="21" t="str">
        <f aca="false">IF(B1567="","",IFERROR(INDEX(代理店一覧!$B$5:$B$204,MATCH(B1567,代理店一覧!$A$5:$A$204,0)),"※未登録のID"))</f>
        <v/>
      </c>
      <c r="D1567" s="20"/>
      <c r="E1567" s="20"/>
      <c r="F1567" s="20"/>
      <c r="G1567" s="20"/>
      <c r="H1567" s="20"/>
      <c r="I1567" s="21"/>
    </row>
    <row r="1568" customFormat="false" ht="15" hidden="false" customHeight="false" outlineLevel="0" collapsed="false">
      <c r="A1568" s="30"/>
      <c r="B1568" s="21"/>
      <c r="C1568" s="21" t="str">
        <f aca="false">IF(B1568="","",IFERROR(INDEX(代理店一覧!$B$5:$B$204,MATCH(B1568,代理店一覧!$A$5:$A$204,0)),"※未登録のID"))</f>
        <v/>
      </c>
      <c r="D1568" s="20"/>
      <c r="E1568" s="20"/>
      <c r="F1568" s="20"/>
      <c r="G1568" s="20"/>
      <c r="H1568" s="20"/>
      <c r="I1568" s="21"/>
    </row>
    <row r="1569" customFormat="false" ht="15" hidden="false" customHeight="false" outlineLevel="0" collapsed="false">
      <c r="A1569" s="30"/>
      <c r="B1569" s="21"/>
      <c r="C1569" s="21" t="str">
        <f aca="false">IF(B1569="","",IFERROR(INDEX(代理店一覧!$B$5:$B$204,MATCH(B1569,代理店一覧!$A$5:$A$204,0)),"※未登録のID"))</f>
        <v/>
      </c>
      <c r="D1569" s="20"/>
      <c r="E1569" s="20"/>
      <c r="F1569" s="20"/>
      <c r="G1569" s="20"/>
      <c r="H1569" s="20"/>
      <c r="I1569" s="21"/>
    </row>
    <row r="1570" customFormat="false" ht="15" hidden="false" customHeight="false" outlineLevel="0" collapsed="false">
      <c r="A1570" s="30"/>
      <c r="B1570" s="21"/>
      <c r="C1570" s="21" t="str">
        <f aca="false">IF(B1570="","",IFERROR(INDEX(代理店一覧!$B$5:$B$204,MATCH(B1570,代理店一覧!$A$5:$A$204,0)),"※未登録のID"))</f>
        <v/>
      </c>
      <c r="D1570" s="20"/>
      <c r="E1570" s="20"/>
      <c r="F1570" s="20"/>
      <c r="G1570" s="20"/>
      <c r="H1570" s="20"/>
      <c r="I1570" s="21"/>
    </row>
    <row r="1571" customFormat="false" ht="15" hidden="false" customHeight="false" outlineLevel="0" collapsed="false">
      <c r="A1571" s="30"/>
      <c r="B1571" s="21"/>
      <c r="C1571" s="21" t="str">
        <f aca="false">IF(B1571="","",IFERROR(INDEX(代理店一覧!$B$5:$B$204,MATCH(B1571,代理店一覧!$A$5:$A$204,0)),"※未登録のID"))</f>
        <v/>
      </c>
      <c r="D1571" s="20"/>
      <c r="E1571" s="20"/>
      <c r="F1571" s="20"/>
      <c r="G1571" s="20"/>
      <c r="H1571" s="20"/>
      <c r="I1571" s="21"/>
    </row>
    <row r="1572" customFormat="false" ht="15" hidden="false" customHeight="false" outlineLevel="0" collapsed="false">
      <c r="A1572" s="30"/>
      <c r="B1572" s="21"/>
      <c r="C1572" s="21" t="str">
        <f aca="false">IF(B1572="","",IFERROR(INDEX(代理店一覧!$B$5:$B$204,MATCH(B1572,代理店一覧!$A$5:$A$204,0)),"※未登録のID"))</f>
        <v/>
      </c>
      <c r="D1572" s="20"/>
      <c r="E1572" s="20"/>
      <c r="F1572" s="20"/>
      <c r="G1572" s="20"/>
      <c r="H1572" s="20"/>
      <c r="I1572" s="21"/>
    </row>
    <row r="1573" customFormat="false" ht="15" hidden="false" customHeight="false" outlineLevel="0" collapsed="false">
      <c r="A1573" s="30"/>
      <c r="B1573" s="21"/>
      <c r="C1573" s="21" t="str">
        <f aca="false">IF(B1573="","",IFERROR(INDEX(代理店一覧!$B$5:$B$204,MATCH(B1573,代理店一覧!$A$5:$A$204,0)),"※未登録のID"))</f>
        <v/>
      </c>
      <c r="D1573" s="20"/>
      <c r="E1573" s="20"/>
      <c r="F1573" s="20"/>
      <c r="G1573" s="20"/>
      <c r="H1573" s="20"/>
      <c r="I1573" s="21"/>
    </row>
    <row r="1574" customFormat="false" ht="15" hidden="false" customHeight="false" outlineLevel="0" collapsed="false">
      <c r="A1574" s="30"/>
      <c r="B1574" s="21"/>
      <c r="C1574" s="21" t="str">
        <f aca="false">IF(B1574="","",IFERROR(INDEX(代理店一覧!$B$5:$B$204,MATCH(B1574,代理店一覧!$A$5:$A$204,0)),"※未登録のID"))</f>
        <v/>
      </c>
      <c r="D1574" s="20"/>
      <c r="E1574" s="20"/>
      <c r="F1574" s="20"/>
      <c r="G1574" s="20"/>
      <c r="H1574" s="20"/>
      <c r="I1574" s="21"/>
    </row>
    <row r="1575" customFormat="false" ht="15" hidden="false" customHeight="false" outlineLevel="0" collapsed="false">
      <c r="A1575" s="30"/>
      <c r="B1575" s="21"/>
      <c r="C1575" s="21" t="str">
        <f aca="false">IF(B1575="","",IFERROR(INDEX(代理店一覧!$B$5:$B$204,MATCH(B1575,代理店一覧!$A$5:$A$204,0)),"※未登録のID"))</f>
        <v/>
      </c>
      <c r="D1575" s="20"/>
      <c r="E1575" s="20"/>
      <c r="F1575" s="20"/>
      <c r="G1575" s="20"/>
      <c r="H1575" s="20"/>
      <c r="I1575" s="21"/>
    </row>
    <row r="1576" customFormat="false" ht="15" hidden="false" customHeight="false" outlineLevel="0" collapsed="false">
      <c r="A1576" s="30"/>
      <c r="B1576" s="21"/>
      <c r="C1576" s="21" t="str">
        <f aca="false">IF(B1576="","",IFERROR(INDEX(代理店一覧!$B$5:$B$204,MATCH(B1576,代理店一覧!$A$5:$A$204,0)),"※未登録のID"))</f>
        <v/>
      </c>
      <c r="D1576" s="20"/>
      <c r="E1576" s="20"/>
      <c r="F1576" s="20"/>
      <c r="G1576" s="20"/>
      <c r="H1576" s="20"/>
      <c r="I1576" s="21"/>
    </row>
    <row r="1577" customFormat="false" ht="15" hidden="false" customHeight="false" outlineLevel="0" collapsed="false">
      <c r="A1577" s="30"/>
      <c r="B1577" s="21"/>
      <c r="C1577" s="21" t="str">
        <f aca="false">IF(B1577="","",IFERROR(INDEX(代理店一覧!$B$5:$B$204,MATCH(B1577,代理店一覧!$A$5:$A$204,0)),"※未登録のID"))</f>
        <v/>
      </c>
      <c r="D1577" s="20"/>
      <c r="E1577" s="20"/>
      <c r="F1577" s="20"/>
      <c r="G1577" s="20"/>
      <c r="H1577" s="20"/>
      <c r="I1577" s="21"/>
    </row>
    <row r="1578" customFormat="false" ht="15" hidden="false" customHeight="false" outlineLevel="0" collapsed="false">
      <c r="A1578" s="30"/>
      <c r="B1578" s="21"/>
      <c r="C1578" s="21" t="str">
        <f aca="false">IF(B1578="","",IFERROR(INDEX(代理店一覧!$B$5:$B$204,MATCH(B1578,代理店一覧!$A$5:$A$204,0)),"※未登録のID"))</f>
        <v/>
      </c>
      <c r="D1578" s="20"/>
      <c r="E1578" s="20"/>
      <c r="F1578" s="20"/>
      <c r="G1578" s="20"/>
      <c r="H1578" s="20"/>
      <c r="I1578" s="21"/>
    </row>
    <row r="1579" customFormat="false" ht="15" hidden="false" customHeight="false" outlineLevel="0" collapsed="false">
      <c r="A1579" s="30"/>
      <c r="B1579" s="21"/>
      <c r="C1579" s="21" t="str">
        <f aca="false">IF(B1579="","",IFERROR(INDEX(代理店一覧!$B$5:$B$204,MATCH(B1579,代理店一覧!$A$5:$A$204,0)),"※未登録のID"))</f>
        <v/>
      </c>
      <c r="D1579" s="20"/>
      <c r="E1579" s="20"/>
      <c r="F1579" s="20"/>
      <c r="G1579" s="20"/>
      <c r="H1579" s="20"/>
      <c r="I1579" s="21"/>
    </row>
    <row r="1580" customFormat="false" ht="15" hidden="false" customHeight="false" outlineLevel="0" collapsed="false">
      <c r="A1580" s="30"/>
      <c r="B1580" s="21"/>
      <c r="C1580" s="21" t="str">
        <f aca="false">IF(B1580="","",IFERROR(INDEX(代理店一覧!$B$5:$B$204,MATCH(B1580,代理店一覧!$A$5:$A$204,0)),"※未登録のID"))</f>
        <v/>
      </c>
      <c r="D1580" s="20"/>
      <c r="E1580" s="20"/>
      <c r="F1580" s="20"/>
      <c r="G1580" s="20"/>
      <c r="H1580" s="20"/>
      <c r="I1580" s="21"/>
    </row>
    <row r="1581" customFormat="false" ht="15" hidden="false" customHeight="false" outlineLevel="0" collapsed="false">
      <c r="A1581" s="30"/>
      <c r="B1581" s="21"/>
      <c r="C1581" s="21" t="str">
        <f aca="false">IF(B1581="","",IFERROR(INDEX(代理店一覧!$B$5:$B$204,MATCH(B1581,代理店一覧!$A$5:$A$204,0)),"※未登録のID"))</f>
        <v/>
      </c>
      <c r="D1581" s="20"/>
      <c r="E1581" s="20"/>
      <c r="F1581" s="20"/>
      <c r="G1581" s="20"/>
      <c r="H1581" s="20"/>
      <c r="I1581" s="21"/>
    </row>
    <row r="1582" customFormat="false" ht="15" hidden="false" customHeight="false" outlineLevel="0" collapsed="false">
      <c r="A1582" s="30"/>
      <c r="B1582" s="21"/>
      <c r="C1582" s="21" t="str">
        <f aca="false">IF(B1582="","",IFERROR(INDEX(代理店一覧!$B$5:$B$204,MATCH(B1582,代理店一覧!$A$5:$A$204,0)),"※未登録のID"))</f>
        <v/>
      </c>
      <c r="D1582" s="20"/>
      <c r="E1582" s="20"/>
      <c r="F1582" s="20"/>
      <c r="G1582" s="20"/>
      <c r="H1582" s="20"/>
      <c r="I1582" s="21"/>
    </row>
    <row r="1583" customFormat="false" ht="15" hidden="false" customHeight="false" outlineLevel="0" collapsed="false">
      <c r="A1583" s="30"/>
      <c r="B1583" s="21"/>
      <c r="C1583" s="21" t="str">
        <f aca="false">IF(B1583="","",IFERROR(INDEX(代理店一覧!$B$5:$B$204,MATCH(B1583,代理店一覧!$A$5:$A$204,0)),"※未登録のID"))</f>
        <v/>
      </c>
      <c r="D1583" s="20"/>
      <c r="E1583" s="20"/>
      <c r="F1583" s="20"/>
      <c r="G1583" s="20"/>
      <c r="H1583" s="20"/>
      <c r="I1583" s="21"/>
    </row>
    <row r="1584" customFormat="false" ht="15" hidden="false" customHeight="false" outlineLevel="0" collapsed="false">
      <c r="A1584" s="30"/>
      <c r="B1584" s="21"/>
      <c r="C1584" s="21" t="str">
        <f aca="false">IF(B1584="","",IFERROR(INDEX(代理店一覧!$B$5:$B$204,MATCH(B1584,代理店一覧!$A$5:$A$204,0)),"※未登録のID"))</f>
        <v/>
      </c>
      <c r="D1584" s="20"/>
      <c r="E1584" s="20"/>
      <c r="F1584" s="20"/>
      <c r="G1584" s="20"/>
      <c r="H1584" s="20"/>
      <c r="I1584" s="21"/>
    </row>
    <row r="1585" customFormat="false" ht="15" hidden="false" customHeight="false" outlineLevel="0" collapsed="false">
      <c r="A1585" s="30"/>
      <c r="B1585" s="21"/>
      <c r="C1585" s="21" t="str">
        <f aca="false">IF(B1585="","",IFERROR(INDEX(代理店一覧!$B$5:$B$204,MATCH(B1585,代理店一覧!$A$5:$A$204,0)),"※未登録のID"))</f>
        <v/>
      </c>
      <c r="D1585" s="20"/>
      <c r="E1585" s="20"/>
      <c r="F1585" s="20"/>
      <c r="G1585" s="20"/>
      <c r="H1585" s="20"/>
      <c r="I1585" s="21"/>
    </row>
    <row r="1586" customFormat="false" ht="15" hidden="false" customHeight="false" outlineLevel="0" collapsed="false">
      <c r="A1586" s="30"/>
      <c r="B1586" s="21"/>
      <c r="C1586" s="21" t="str">
        <f aca="false">IF(B1586="","",IFERROR(INDEX(代理店一覧!$B$5:$B$204,MATCH(B1586,代理店一覧!$A$5:$A$204,0)),"※未登録のID"))</f>
        <v/>
      </c>
      <c r="D1586" s="20"/>
      <c r="E1586" s="20"/>
      <c r="F1586" s="20"/>
      <c r="G1586" s="20"/>
      <c r="H1586" s="20"/>
      <c r="I1586" s="21"/>
    </row>
    <row r="1587" customFormat="false" ht="15" hidden="false" customHeight="false" outlineLevel="0" collapsed="false">
      <c r="A1587" s="30"/>
      <c r="B1587" s="21"/>
      <c r="C1587" s="21" t="str">
        <f aca="false">IF(B1587="","",IFERROR(INDEX(代理店一覧!$B$5:$B$204,MATCH(B1587,代理店一覧!$A$5:$A$204,0)),"※未登録のID"))</f>
        <v/>
      </c>
      <c r="D1587" s="20"/>
      <c r="E1587" s="20"/>
      <c r="F1587" s="20"/>
      <c r="G1587" s="20"/>
      <c r="H1587" s="20"/>
      <c r="I1587" s="21"/>
    </row>
    <row r="1588" customFormat="false" ht="15" hidden="false" customHeight="false" outlineLevel="0" collapsed="false">
      <c r="A1588" s="30"/>
      <c r="B1588" s="21"/>
      <c r="C1588" s="21" t="str">
        <f aca="false">IF(B1588="","",IFERROR(INDEX(代理店一覧!$B$5:$B$204,MATCH(B1588,代理店一覧!$A$5:$A$204,0)),"※未登録のID"))</f>
        <v/>
      </c>
      <c r="D1588" s="20"/>
      <c r="E1588" s="20"/>
      <c r="F1588" s="20"/>
      <c r="G1588" s="20"/>
      <c r="H1588" s="20"/>
      <c r="I1588" s="21"/>
    </row>
    <row r="1589" customFormat="false" ht="15" hidden="false" customHeight="false" outlineLevel="0" collapsed="false">
      <c r="A1589" s="30"/>
      <c r="B1589" s="21"/>
      <c r="C1589" s="21" t="str">
        <f aca="false">IF(B1589="","",IFERROR(INDEX(代理店一覧!$B$5:$B$204,MATCH(B1589,代理店一覧!$A$5:$A$204,0)),"※未登録のID"))</f>
        <v/>
      </c>
      <c r="D1589" s="20"/>
      <c r="E1589" s="20"/>
      <c r="F1589" s="20"/>
      <c r="G1589" s="20"/>
      <c r="H1589" s="20"/>
      <c r="I1589" s="21"/>
    </row>
    <row r="1590" customFormat="false" ht="15" hidden="false" customHeight="false" outlineLevel="0" collapsed="false">
      <c r="A1590" s="30"/>
      <c r="B1590" s="21"/>
      <c r="C1590" s="21" t="str">
        <f aca="false">IF(B1590="","",IFERROR(INDEX(代理店一覧!$B$5:$B$204,MATCH(B1590,代理店一覧!$A$5:$A$204,0)),"※未登録のID"))</f>
        <v/>
      </c>
      <c r="D1590" s="20"/>
      <c r="E1590" s="20"/>
      <c r="F1590" s="20"/>
      <c r="G1590" s="20"/>
      <c r="H1590" s="20"/>
      <c r="I1590" s="21"/>
    </row>
    <row r="1591" customFormat="false" ht="15" hidden="false" customHeight="false" outlineLevel="0" collapsed="false">
      <c r="A1591" s="30"/>
      <c r="B1591" s="21"/>
      <c r="C1591" s="21" t="str">
        <f aca="false">IF(B1591="","",IFERROR(INDEX(代理店一覧!$B$5:$B$204,MATCH(B1591,代理店一覧!$A$5:$A$204,0)),"※未登録のID"))</f>
        <v/>
      </c>
      <c r="D1591" s="20"/>
      <c r="E1591" s="20"/>
      <c r="F1591" s="20"/>
      <c r="G1591" s="20"/>
      <c r="H1591" s="20"/>
      <c r="I1591" s="21"/>
    </row>
    <row r="1592" customFormat="false" ht="15" hidden="false" customHeight="false" outlineLevel="0" collapsed="false">
      <c r="A1592" s="30"/>
      <c r="B1592" s="21"/>
      <c r="C1592" s="21" t="str">
        <f aca="false">IF(B1592="","",IFERROR(INDEX(代理店一覧!$B$5:$B$204,MATCH(B1592,代理店一覧!$A$5:$A$204,0)),"※未登録のID"))</f>
        <v/>
      </c>
      <c r="D1592" s="20"/>
      <c r="E1592" s="20"/>
      <c r="F1592" s="20"/>
      <c r="G1592" s="20"/>
      <c r="H1592" s="20"/>
      <c r="I1592" s="21"/>
    </row>
    <row r="1593" customFormat="false" ht="15" hidden="false" customHeight="false" outlineLevel="0" collapsed="false">
      <c r="A1593" s="30"/>
      <c r="B1593" s="21"/>
      <c r="C1593" s="21" t="str">
        <f aca="false">IF(B1593="","",IFERROR(INDEX(代理店一覧!$B$5:$B$204,MATCH(B1593,代理店一覧!$A$5:$A$204,0)),"※未登録のID"))</f>
        <v/>
      </c>
      <c r="D1593" s="20"/>
      <c r="E1593" s="20"/>
      <c r="F1593" s="20"/>
      <c r="G1593" s="20"/>
      <c r="H1593" s="20"/>
      <c r="I1593" s="21"/>
    </row>
    <row r="1594" customFormat="false" ht="15" hidden="false" customHeight="false" outlineLevel="0" collapsed="false">
      <c r="A1594" s="30"/>
      <c r="B1594" s="21"/>
      <c r="C1594" s="21" t="str">
        <f aca="false">IF(B1594="","",IFERROR(INDEX(代理店一覧!$B$5:$B$204,MATCH(B1594,代理店一覧!$A$5:$A$204,0)),"※未登録のID"))</f>
        <v/>
      </c>
      <c r="D1594" s="20"/>
      <c r="E1594" s="20"/>
      <c r="F1594" s="20"/>
      <c r="G1594" s="20"/>
      <c r="H1594" s="20"/>
      <c r="I1594" s="21"/>
    </row>
    <row r="1595" customFormat="false" ht="15" hidden="false" customHeight="false" outlineLevel="0" collapsed="false">
      <c r="A1595" s="30"/>
      <c r="B1595" s="21"/>
      <c r="C1595" s="21" t="str">
        <f aca="false">IF(B1595="","",IFERROR(INDEX(代理店一覧!$B$5:$B$204,MATCH(B1595,代理店一覧!$A$5:$A$204,0)),"※未登録のID"))</f>
        <v/>
      </c>
      <c r="D1595" s="20"/>
      <c r="E1595" s="20"/>
      <c r="F1595" s="20"/>
      <c r="G1595" s="20"/>
      <c r="H1595" s="20"/>
      <c r="I1595" s="21"/>
    </row>
    <row r="1596" customFormat="false" ht="15" hidden="false" customHeight="false" outlineLevel="0" collapsed="false">
      <c r="A1596" s="30"/>
      <c r="B1596" s="21"/>
      <c r="C1596" s="21" t="str">
        <f aca="false">IF(B1596="","",IFERROR(INDEX(代理店一覧!$B$5:$B$204,MATCH(B1596,代理店一覧!$A$5:$A$204,0)),"※未登録のID"))</f>
        <v/>
      </c>
      <c r="D1596" s="20"/>
      <c r="E1596" s="20"/>
      <c r="F1596" s="20"/>
      <c r="G1596" s="20"/>
      <c r="H1596" s="20"/>
      <c r="I1596" s="21"/>
    </row>
    <row r="1597" customFormat="false" ht="15" hidden="false" customHeight="false" outlineLevel="0" collapsed="false">
      <c r="A1597" s="30"/>
      <c r="B1597" s="21"/>
      <c r="C1597" s="21" t="str">
        <f aca="false">IF(B1597="","",IFERROR(INDEX(代理店一覧!$B$5:$B$204,MATCH(B1597,代理店一覧!$A$5:$A$204,0)),"※未登録のID"))</f>
        <v/>
      </c>
      <c r="D1597" s="20"/>
      <c r="E1597" s="20"/>
      <c r="F1597" s="20"/>
      <c r="G1597" s="20"/>
      <c r="H1597" s="20"/>
      <c r="I1597" s="21"/>
    </row>
    <row r="1598" customFormat="false" ht="15" hidden="false" customHeight="false" outlineLevel="0" collapsed="false">
      <c r="A1598" s="30"/>
      <c r="B1598" s="21"/>
      <c r="C1598" s="21" t="str">
        <f aca="false">IF(B1598="","",IFERROR(INDEX(代理店一覧!$B$5:$B$204,MATCH(B1598,代理店一覧!$A$5:$A$204,0)),"※未登録のID"))</f>
        <v/>
      </c>
      <c r="D1598" s="20"/>
      <c r="E1598" s="20"/>
      <c r="F1598" s="20"/>
      <c r="G1598" s="20"/>
      <c r="H1598" s="20"/>
      <c r="I1598" s="21"/>
    </row>
    <row r="1599" customFormat="false" ht="15" hidden="false" customHeight="false" outlineLevel="0" collapsed="false">
      <c r="A1599" s="30"/>
      <c r="B1599" s="21"/>
      <c r="C1599" s="21" t="str">
        <f aca="false">IF(B1599="","",IFERROR(INDEX(代理店一覧!$B$5:$B$204,MATCH(B1599,代理店一覧!$A$5:$A$204,0)),"※未登録のID"))</f>
        <v/>
      </c>
      <c r="D1599" s="20"/>
      <c r="E1599" s="20"/>
      <c r="F1599" s="20"/>
      <c r="G1599" s="20"/>
      <c r="H1599" s="20"/>
      <c r="I1599" s="21"/>
    </row>
    <row r="1600" customFormat="false" ht="15" hidden="false" customHeight="false" outlineLevel="0" collapsed="false">
      <c r="A1600" s="30"/>
      <c r="B1600" s="21"/>
      <c r="C1600" s="21" t="str">
        <f aca="false">IF(B1600="","",IFERROR(INDEX(代理店一覧!$B$5:$B$204,MATCH(B1600,代理店一覧!$A$5:$A$204,0)),"※未登録のID"))</f>
        <v/>
      </c>
      <c r="D1600" s="20"/>
      <c r="E1600" s="20"/>
      <c r="F1600" s="20"/>
      <c r="G1600" s="20"/>
      <c r="H1600" s="20"/>
      <c r="I1600" s="21"/>
    </row>
    <row r="1601" customFormat="false" ht="15" hidden="false" customHeight="false" outlineLevel="0" collapsed="false">
      <c r="A1601" s="30"/>
      <c r="B1601" s="21"/>
      <c r="C1601" s="21" t="str">
        <f aca="false">IF(B1601="","",IFERROR(INDEX(代理店一覧!$B$5:$B$204,MATCH(B1601,代理店一覧!$A$5:$A$204,0)),"※未登録のID"))</f>
        <v/>
      </c>
      <c r="D1601" s="20"/>
      <c r="E1601" s="20"/>
      <c r="F1601" s="20"/>
      <c r="G1601" s="20"/>
      <c r="H1601" s="20"/>
      <c r="I1601" s="21"/>
    </row>
    <row r="1602" customFormat="false" ht="15" hidden="false" customHeight="false" outlineLevel="0" collapsed="false">
      <c r="A1602" s="30"/>
      <c r="B1602" s="21"/>
      <c r="C1602" s="21" t="str">
        <f aca="false">IF(B1602="","",IFERROR(INDEX(代理店一覧!$B$5:$B$204,MATCH(B1602,代理店一覧!$A$5:$A$204,0)),"※未登録のID"))</f>
        <v/>
      </c>
      <c r="D1602" s="20"/>
      <c r="E1602" s="20"/>
      <c r="F1602" s="20"/>
      <c r="G1602" s="20"/>
      <c r="H1602" s="20"/>
      <c r="I1602" s="21"/>
    </row>
    <row r="1603" customFormat="false" ht="15" hidden="false" customHeight="false" outlineLevel="0" collapsed="false">
      <c r="A1603" s="30"/>
      <c r="B1603" s="21"/>
      <c r="C1603" s="21" t="str">
        <f aca="false">IF(B1603="","",IFERROR(INDEX(代理店一覧!$B$5:$B$204,MATCH(B1603,代理店一覧!$A$5:$A$204,0)),"※未登録のID"))</f>
        <v/>
      </c>
      <c r="D1603" s="20"/>
      <c r="E1603" s="20"/>
      <c r="F1603" s="20"/>
      <c r="G1603" s="20"/>
      <c r="H1603" s="20"/>
      <c r="I1603" s="21"/>
    </row>
    <row r="1604" customFormat="false" ht="15" hidden="false" customHeight="false" outlineLevel="0" collapsed="false">
      <c r="A1604" s="30"/>
      <c r="B1604" s="21"/>
      <c r="C1604" s="21" t="str">
        <f aca="false">IF(B1604="","",IFERROR(INDEX(代理店一覧!$B$5:$B$204,MATCH(B1604,代理店一覧!$A$5:$A$204,0)),"※未登録のID"))</f>
        <v/>
      </c>
      <c r="D1604" s="20"/>
      <c r="E1604" s="20"/>
      <c r="F1604" s="20"/>
      <c r="G1604" s="20"/>
      <c r="H1604" s="20"/>
      <c r="I1604" s="21"/>
    </row>
    <row r="1605" customFormat="false" ht="15" hidden="false" customHeight="false" outlineLevel="0" collapsed="false">
      <c r="A1605" s="30"/>
      <c r="B1605" s="21"/>
      <c r="C1605" s="21" t="str">
        <f aca="false">IF(B1605="","",IFERROR(INDEX(代理店一覧!$B$5:$B$204,MATCH(B1605,代理店一覧!$A$5:$A$204,0)),"※未登録のID"))</f>
        <v/>
      </c>
      <c r="D1605" s="20"/>
      <c r="E1605" s="20"/>
      <c r="F1605" s="20"/>
      <c r="G1605" s="20"/>
      <c r="H1605" s="20"/>
      <c r="I1605" s="21"/>
    </row>
    <row r="1606" customFormat="false" ht="15" hidden="false" customHeight="false" outlineLevel="0" collapsed="false">
      <c r="A1606" s="30"/>
      <c r="B1606" s="21"/>
      <c r="C1606" s="21" t="str">
        <f aca="false">IF(B1606="","",IFERROR(INDEX(代理店一覧!$B$5:$B$204,MATCH(B1606,代理店一覧!$A$5:$A$204,0)),"※未登録のID"))</f>
        <v/>
      </c>
      <c r="D1606" s="20"/>
      <c r="E1606" s="20"/>
      <c r="F1606" s="20"/>
      <c r="G1606" s="20"/>
      <c r="H1606" s="20"/>
      <c r="I1606" s="21"/>
    </row>
    <row r="1607" customFormat="false" ht="15" hidden="false" customHeight="false" outlineLevel="0" collapsed="false">
      <c r="A1607" s="30"/>
      <c r="B1607" s="21"/>
      <c r="C1607" s="21" t="str">
        <f aca="false">IF(B1607="","",IFERROR(INDEX(代理店一覧!$B$5:$B$204,MATCH(B1607,代理店一覧!$A$5:$A$204,0)),"※未登録のID"))</f>
        <v/>
      </c>
      <c r="D1607" s="20"/>
      <c r="E1607" s="20"/>
      <c r="F1607" s="20"/>
      <c r="G1607" s="20"/>
      <c r="H1607" s="20"/>
      <c r="I1607" s="21"/>
    </row>
    <row r="1608" customFormat="false" ht="15" hidden="false" customHeight="false" outlineLevel="0" collapsed="false">
      <c r="A1608" s="30"/>
      <c r="B1608" s="21"/>
      <c r="C1608" s="21" t="str">
        <f aca="false">IF(B1608="","",IFERROR(INDEX(代理店一覧!$B$5:$B$204,MATCH(B1608,代理店一覧!$A$5:$A$204,0)),"※未登録のID"))</f>
        <v/>
      </c>
      <c r="D1608" s="20"/>
      <c r="E1608" s="20"/>
      <c r="F1608" s="20"/>
      <c r="G1608" s="20"/>
      <c r="H1608" s="20"/>
      <c r="I1608" s="21"/>
    </row>
    <row r="1609" customFormat="false" ht="15" hidden="false" customHeight="false" outlineLevel="0" collapsed="false">
      <c r="A1609" s="30"/>
      <c r="B1609" s="21"/>
      <c r="C1609" s="21" t="str">
        <f aca="false">IF(B1609="","",IFERROR(INDEX(代理店一覧!$B$5:$B$204,MATCH(B1609,代理店一覧!$A$5:$A$204,0)),"※未登録のID"))</f>
        <v/>
      </c>
      <c r="D1609" s="20"/>
      <c r="E1609" s="20"/>
      <c r="F1609" s="20"/>
      <c r="G1609" s="20"/>
      <c r="H1609" s="20"/>
      <c r="I1609" s="21"/>
    </row>
    <row r="1610" customFormat="false" ht="15" hidden="false" customHeight="false" outlineLevel="0" collapsed="false">
      <c r="A1610" s="30"/>
      <c r="B1610" s="21"/>
      <c r="C1610" s="21" t="str">
        <f aca="false">IF(B1610="","",IFERROR(INDEX(代理店一覧!$B$5:$B$204,MATCH(B1610,代理店一覧!$A$5:$A$204,0)),"※未登録のID"))</f>
        <v/>
      </c>
      <c r="D1610" s="20"/>
      <c r="E1610" s="20"/>
      <c r="F1610" s="20"/>
      <c r="G1610" s="20"/>
      <c r="H1610" s="20"/>
      <c r="I1610" s="21"/>
    </row>
    <row r="1611" customFormat="false" ht="15" hidden="false" customHeight="false" outlineLevel="0" collapsed="false">
      <c r="A1611" s="30"/>
      <c r="B1611" s="21"/>
      <c r="C1611" s="21" t="str">
        <f aca="false">IF(B1611="","",IFERROR(INDEX(代理店一覧!$B$5:$B$204,MATCH(B1611,代理店一覧!$A$5:$A$204,0)),"※未登録のID"))</f>
        <v/>
      </c>
      <c r="D1611" s="20"/>
      <c r="E1611" s="20"/>
      <c r="F1611" s="20"/>
      <c r="G1611" s="20"/>
      <c r="H1611" s="20"/>
      <c r="I1611" s="21"/>
    </row>
    <row r="1612" customFormat="false" ht="15" hidden="false" customHeight="false" outlineLevel="0" collapsed="false">
      <c r="A1612" s="30"/>
      <c r="B1612" s="21"/>
      <c r="C1612" s="21" t="str">
        <f aca="false">IF(B1612="","",IFERROR(INDEX(代理店一覧!$B$5:$B$204,MATCH(B1612,代理店一覧!$A$5:$A$204,0)),"※未登録のID"))</f>
        <v/>
      </c>
      <c r="D1612" s="20"/>
      <c r="E1612" s="20"/>
      <c r="F1612" s="20"/>
      <c r="G1612" s="20"/>
      <c r="H1612" s="20"/>
      <c r="I1612" s="21"/>
    </row>
    <row r="1613" customFormat="false" ht="15" hidden="false" customHeight="false" outlineLevel="0" collapsed="false">
      <c r="A1613" s="30"/>
      <c r="B1613" s="21"/>
      <c r="C1613" s="21" t="str">
        <f aca="false">IF(B1613="","",IFERROR(INDEX(代理店一覧!$B$5:$B$204,MATCH(B1613,代理店一覧!$A$5:$A$204,0)),"※未登録のID"))</f>
        <v/>
      </c>
      <c r="D1613" s="20"/>
      <c r="E1613" s="20"/>
      <c r="F1613" s="20"/>
      <c r="G1613" s="20"/>
      <c r="H1613" s="20"/>
      <c r="I1613" s="21"/>
    </row>
    <row r="1614" customFormat="false" ht="15" hidden="false" customHeight="false" outlineLevel="0" collapsed="false">
      <c r="A1614" s="30"/>
      <c r="B1614" s="21"/>
      <c r="C1614" s="21" t="str">
        <f aca="false">IF(B1614="","",IFERROR(INDEX(代理店一覧!$B$5:$B$204,MATCH(B1614,代理店一覧!$A$5:$A$204,0)),"※未登録のID"))</f>
        <v/>
      </c>
      <c r="D1614" s="20"/>
      <c r="E1614" s="20"/>
      <c r="F1614" s="20"/>
      <c r="G1614" s="20"/>
      <c r="H1614" s="20"/>
      <c r="I1614" s="21"/>
    </row>
    <row r="1615" customFormat="false" ht="15" hidden="false" customHeight="false" outlineLevel="0" collapsed="false">
      <c r="A1615" s="30"/>
      <c r="B1615" s="21"/>
      <c r="C1615" s="21" t="str">
        <f aca="false">IF(B1615="","",IFERROR(INDEX(代理店一覧!$B$5:$B$204,MATCH(B1615,代理店一覧!$A$5:$A$204,0)),"※未登録のID"))</f>
        <v/>
      </c>
      <c r="D1615" s="20"/>
      <c r="E1615" s="20"/>
      <c r="F1615" s="20"/>
      <c r="G1615" s="20"/>
      <c r="H1615" s="20"/>
      <c r="I1615" s="21"/>
    </row>
    <row r="1616" customFormat="false" ht="15" hidden="false" customHeight="false" outlineLevel="0" collapsed="false">
      <c r="A1616" s="30"/>
      <c r="B1616" s="21"/>
      <c r="C1616" s="21" t="str">
        <f aca="false">IF(B1616="","",IFERROR(INDEX(代理店一覧!$B$5:$B$204,MATCH(B1616,代理店一覧!$A$5:$A$204,0)),"※未登録のID"))</f>
        <v/>
      </c>
      <c r="D1616" s="20"/>
      <c r="E1616" s="20"/>
      <c r="F1616" s="20"/>
      <c r="G1616" s="20"/>
      <c r="H1616" s="20"/>
      <c r="I1616" s="21"/>
    </row>
    <row r="1617" customFormat="false" ht="15" hidden="false" customHeight="false" outlineLevel="0" collapsed="false">
      <c r="A1617" s="30"/>
      <c r="B1617" s="21"/>
      <c r="C1617" s="21" t="str">
        <f aca="false">IF(B1617="","",IFERROR(INDEX(代理店一覧!$B$5:$B$204,MATCH(B1617,代理店一覧!$A$5:$A$204,0)),"※未登録のID"))</f>
        <v/>
      </c>
      <c r="D1617" s="20"/>
      <c r="E1617" s="20"/>
      <c r="F1617" s="20"/>
      <c r="G1617" s="20"/>
      <c r="H1617" s="20"/>
      <c r="I1617" s="21"/>
    </row>
    <row r="1618" customFormat="false" ht="15" hidden="false" customHeight="false" outlineLevel="0" collapsed="false">
      <c r="A1618" s="30"/>
      <c r="B1618" s="21"/>
      <c r="C1618" s="21" t="str">
        <f aca="false">IF(B1618="","",IFERROR(INDEX(代理店一覧!$B$5:$B$204,MATCH(B1618,代理店一覧!$A$5:$A$204,0)),"※未登録のID"))</f>
        <v/>
      </c>
      <c r="D1618" s="20"/>
      <c r="E1618" s="20"/>
      <c r="F1618" s="20"/>
      <c r="G1618" s="20"/>
      <c r="H1618" s="20"/>
      <c r="I1618" s="21"/>
    </row>
    <row r="1619" customFormat="false" ht="15" hidden="false" customHeight="false" outlineLevel="0" collapsed="false">
      <c r="A1619" s="30"/>
      <c r="B1619" s="21"/>
      <c r="C1619" s="21" t="str">
        <f aca="false">IF(B1619="","",IFERROR(INDEX(代理店一覧!$B$5:$B$204,MATCH(B1619,代理店一覧!$A$5:$A$204,0)),"※未登録のID"))</f>
        <v/>
      </c>
      <c r="D1619" s="20"/>
      <c r="E1619" s="20"/>
      <c r="F1619" s="20"/>
      <c r="G1619" s="20"/>
      <c r="H1619" s="20"/>
      <c r="I1619" s="21"/>
    </row>
    <row r="1620" customFormat="false" ht="15" hidden="false" customHeight="false" outlineLevel="0" collapsed="false">
      <c r="A1620" s="30"/>
      <c r="B1620" s="21"/>
      <c r="C1620" s="21" t="str">
        <f aca="false">IF(B1620="","",IFERROR(INDEX(代理店一覧!$B$5:$B$204,MATCH(B1620,代理店一覧!$A$5:$A$204,0)),"※未登録のID"))</f>
        <v/>
      </c>
      <c r="D1620" s="20"/>
      <c r="E1620" s="20"/>
      <c r="F1620" s="20"/>
      <c r="G1620" s="20"/>
      <c r="H1620" s="20"/>
      <c r="I1620" s="21"/>
    </row>
    <row r="1621" customFormat="false" ht="15" hidden="false" customHeight="false" outlineLevel="0" collapsed="false">
      <c r="A1621" s="30"/>
      <c r="B1621" s="21"/>
      <c r="C1621" s="21" t="str">
        <f aca="false">IF(B1621="","",IFERROR(INDEX(代理店一覧!$B$5:$B$204,MATCH(B1621,代理店一覧!$A$5:$A$204,0)),"※未登録のID"))</f>
        <v/>
      </c>
      <c r="D1621" s="20"/>
      <c r="E1621" s="20"/>
      <c r="F1621" s="20"/>
      <c r="G1621" s="20"/>
      <c r="H1621" s="20"/>
      <c r="I1621" s="21"/>
    </row>
    <row r="1622" customFormat="false" ht="15" hidden="false" customHeight="false" outlineLevel="0" collapsed="false">
      <c r="A1622" s="30"/>
      <c r="B1622" s="21"/>
      <c r="C1622" s="21" t="str">
        <f aca="false">IF(B1622="","",IFERROR(INDEX(代理店一覧!$B$5:$B$204,MATCH(B1622,代理店一覧!$A$5:$A$204,0)),"※未登録のID"))</f>
        <v/>
      </c>
      <c r="D1622" s="20"/>
      <c r="E1622" s="20"/>
      <c r="F1622" s="20"/>
      <c r="G1622" s="20"/>
      <c r="H1622" s="20"/>
      <c r="I1622" s="21"/>
    </row>
    <row r="1623" customFormat="false" ht="15" hidden="false" customHeight="false" outlineLevel="0" collapsed="false">
      <c r="A1623" s="30"/>
      <c r="B1623" s="21"/>
      <c r="C1623" s="21" t="str">
        <f aca="false">IF(B1623="","",IFERROR(INDEX(代理店一覧!$B$5:$B$204,MATCH(B1623,代理店一覧!$A$5:$A$204,0)),"※未登録のID"))</f>
        <v/>
      </c>
      <c r="D1623" s="20"/>
      <c r="E1623" s="20"/>
      <c r="F1623" s="20"/>
      <c r="G1623" s="20"/>
      <c r="H1623" s="20"/>
      <c r="I1623" s="21"/>
    </row>
    <row r="1624" customFormat="false" ht="15" hidden="false" customHeight="false" outlineLevel="0" collapsed="false">
      <c r="A1624" s="30"/>
      <c r="B1624" s="21"/>
      <c r="C1624" s="21" t="str">
        <f aca="false">IF(B1624="","",IFERROR(INDEX(代理店一覧!$B$5:$B$204,MATCH(B1624,代理店一覧!$A$5:$A$204,0)),"※未登録のID"))</f>
        <v/>
      </c>
      <c r="D1624" s="20"/>
      <c r="E1624" s="20"/>
      <c r="F1624" s="20"/>
      <c r="G1624" s="20"/>
      <c r="H1624" s="20"/>
      <c r="I1624" s="21"/>
    </row>
    <row r="1625" customFormat="false" ht="15" hidden="false" customHeight="false" outlineLevel="0" collapsed="false">
      <c r="A1625" s="30"/>
      <c r="B1625" s="21"/>
      <c r="C1625" s="21" t="str">
        <f aca="false">IF(B1625="","",IFERROR(INDEX(代理店一覧!$B$5:$B$204,MATCH(B1625,代理店一覧!$A$5:$A$204,0)),"※未登録のID"))</f>
        <v/>
      </c>
      <c r="D1625" s="20"/>
      <c r="E1625" s="20"/>
      <c r="F1625" s="20"/>
      <c r="G1625" s="20"/>
      <c r="H1625" s="20"/>
      <c r="I1625" s="21"/>
    </row>
    <row r="1626" customFormat="false" ht="15" hidden="false" customHeight="false" outlineLevel="0" collapsed="false">
      <c r="A1626" s="30"/>
      <c r="B1626" s="21"/>
      <c r="C1626" s="21" t="str">
        <f aca="false">IF(B1626="","",IFERROR(INDEX(代理店一覧!$B$5:$B$204,MATCH(B1626,代理店一覧!$A$5:$A$204,0)),"※未登録のID"))</f>
        <v/>
      </c>
      <c r="D1626" s="20"/>
      <c r="E1626" s="20"/>
      <c r="F1626" s="20"/>
      <c r="G1626" s="20"/>
      <c r="H1626" s="20"/>
      <c r="I1626" s="21"/>
    </row>
    <row r="1627" customFormat="false" ht="15" hidden="false" customHeight="false" outlineLevel="0" collapsed="false">
      <c r="A1627" s="30"/>
      <c r="B1627" s="21"/>
      <c r="C1627" s="21" t="str">
        <f aca="false">IF(B1627="","",IFERROR(INDEX(代理店一覧!$B$5:$B$204,MATCH(B1627,代理店一覧!$A$5:$A$204,0)),"※未登録のID"))</f>
        <v/>
      </c>
      <c r="D1627" s="20"/>
      <c r="E1627" s="20"/>
      <c r="F1627" s="20"/>
      <c r="G1627" s="20"/>
      <c r="H1627" s="20"/>
      <c r="I1627" s="21"/>
    </row>
    <row r="1628" customFormat="false" ht="15" hidden="false" customHeight="false" outlineLevel="0" collapsed="false">
      <c r="A1628" s="30"/>
      <c r="B1628" s="21"/>
      <c r="C1628" s="21" t="str">
        <f aca="false">IF(B1628="","",IFERROR(INDEX(代理店一覧!$B$5:$B$204,MATCH(B1628,代理店一覧!$A$5:$A$204,0)),"※未登録のID"))</f>
        <v/>
      </c>
      <c r="D1628" s="20"/>
      <c r="E1628" s="20"/>
      <c r="F1628" s="20"/>
      <c r="G1628" s="20"/>
      <c r="H1628" s="20"/>
      <c r="I1628" s="21"/>
    </row>
    <row r="1629" customFormat="false" ht="15" hidden="false" customHeight="false" outlineLevel="0" collapsed="false">
      <c r="A1629" s="30"/>
      <c r="B1629" s="21"/>
      <c r="C1629" s="21" t="str">
        <f aca="false">IF(B1629="","",IFERROR(INDEX(代理店一覧!$B$5:$B$204,MATCH(B1629,代理店一覧!$A$5:$A$204,0)),"※未登録のID"))</f>
        <v/>
      </c>
      <c r="D1629" s="20"/>
      <c r="E1629" s="20"/>
      <c r="F1629" s="20"/>
      <c r="G1629" s="20"/>
      <c r="H1629" s="20"/>
      <c r="I1629" s="21"/>
    </row>
    <row r="1630" customFormat="false" ht="15" hidden="false" customHeight="false" outlineLevel="0" collapsed="false">
      <c r="A1630" s="30"/>
      <c r="B1630" s="21"/>
      <c r="C1630" s="21" t="str">
        <f aca="false">IF(B1630="","",IFERROR(INDEX(代理店一覧!$B$5:$B$204,MATCH(B1630,代理店一覧!$A$5:$A$204,0)),"※未登録のID"))</f>
        <v/>
      </c>
      <c r="D1630" s="20"/>
      <c r="E1630" s="20"/>
      <c r="F1630" s="20"/>
      <c r="G1630" s="20"/>
      <c r="H1630" s="20"/>
      <c r="I1630" s="21"/>
    </row>
    <row r="1631" customFormat="false" ht="15" hidden="false" customHeight="false" outlineLevel="0" collapsed="false">
      <c r="A1631" s="30"/>
      <c r="B1631" s="21"/>
      <c r="C1631" s="21" t="str">
        <f aca="false">IF(B1631="","",IFERROR(INDEX(代理店一覧!$B$5:$B$204,MATCH(B1631,代理店一覧!$A$5:$A$204,0)),"※未登録のID"))</f>
        <v/>
      </c>
      <c r="D1631" s="20"/>
      <c r="E1631" s="20"/>
      <c r="F1631" s="20"/>
      <c r="G1631" s="20"/>
      <c r="H1631" s="20"/>
      <c r="I1631" s="21"/>
    </row>
    <row r="1632" customFormat="false" ht="15" hidden="false" customHeight="false" outlineLevel="0" collapsed="false">
      <c r="A1632" s="30"/>
      <c r="B1632" s="21"/>
      <c r="C1632" s="21" t="str">
        <f aca="false">IF(B1632="","",IFERROR(INDEX(代理店一覧!$B$5:$B$204,MATCH(B1632,代理店一覧!$A$5:$A$204,0)),"※未登録のID"))</f>
        <v/>
      </c>
      <c r="D1632" s="20"/>
      <c r="E1632" s="20"/>
      <c r="F1632" s="20"/>
      <c r="G1632" s="20"/>
      <c r="H1632" s="20"/>
      <c r="I1632" s="21"/>
    </row>
    <row r="1633" customFormat="false" ht="15" hidden="false" customHeight="false" outlineLevel="0" collapsed="false">
      <c r="A1633" s="30"/>
      <c r="B1633" s="21"/>
      <c r="C1633" s="21" t="str">
        <f aca="false">IF(B1633="","",IFERROR(INDEX(代理店一覧!$B$5:$B$204,MATCH(B1633,代理店一覧!$A$5:$A$204,0)),"※未登録のID"))</f>
        <v/>
      </c>
      <c r="D1633" s="20"/>
      <c r="E1633" s="20"/>
      <c r="F1633" s="20"/>
      <c r="G1633" s="20"/>
      <c r="H1633" s="20"/>
      <c r="I1633" s="21"/>
    </row>
    <row r="1634" customFormat="false" ht="15" hidden="false" customHeight="false" outlineLevel="0" collapsed="false">
      <c r="A1634" s="30"/>
      <c r="B1634" s="21"/>
      <c r="C1634" s="21" t="str">
        <f aca="false">IF(B1634="","",IFERROR(INDEX(代理店一覧!$B$5:$B$204,MATCH(B1634,代理店一覧!$A$5:$A$204,0)),"※未登録のID"))</f>
        <v/>
      </c>
      <c r="D1634" s="20"/>
      <c r="E1634" s="20"/>
      <c r="F1634" s="20"/>
      <c r="G1634" s="20"/>
      <c r="H1634" s="20"/>
      <c r="I1634" s="21"/>
    </row>
    <row r="1635" customFormat="false" ht="15" hidden="false" customHeight="false" outlineLevel="0" collapsed="false">
      <c r="A1635" s="30"/>
      <c r="B1635" s="21"/>
      <c r="C1635" s="21" t="str">
        <f aca="false">IF(B1635="","",IFERROR(INDEX(代理店一覧!$B$5:$B$204,MATCH(B1635,代理店一覧!$A$5:$A$204,0)),"※未登録のID"))</f>
        <v/>
      </c>
      <c r="D1635" s="20"/>
      <c r="E1635" s="20"/>
      <c r="F1635" s="20"/>
      <c r="G1635" s="20"/>
      <c r="H1635" s="20"/>
      <c r="I1635" s="21"/>
    </row>
    <row r="1636" customFormat="false" ht="15" hidden="false" customHeight="false" outlineLevel="0" collapsed="false">
      <c r="A1636" s="30"/>
      <c r="B1636" s="21"/>
      <c r="C1636" s="21" t="str">
        <f aca="false">IF(B1636="","",IFERROR(INDEX(代理店一覧!$B$5:$B$204,MATCH(B1636,代理店一覧!$A$5:$A$204,0)),"※未登録のID"))</f>
        <v/>
      </c>
      <c r="D1636" s="20"/>
      <c r="E1636" s="20"/>
      <c r="F1636" s="20"/>
      <c r="G1636" s="20"/>
      <c r="H1636" s="20"/>
      <c r="I1636" s="21"/>
    </row>
    <row r="1637" customFormat="false" ht="15" hidden="false" customHeight="false" outlineLevel="0" collapsed="false">
      <c r="A1637" s="30"/>
      <c r="B1637" s="21"/>
      <c r="C1637" s="21" t="str">
        <f aca="false">IF(B1637="","",IFERROR(INDEX(代理店一覧!$B$5:$B$204,MATCH(B1637,代理店一覧!$A$5:$A$204,0)),"※未登録のID"))</f>
        <v/>
      </c>
      <c r="D1637" s="20"/>
      <c r="E1637" s="20"/>
      <c r="F1637" s="20"/>
      <c r="G1637" s="20"/>
      <c r="H1637" s="20"/>
      <c r="I1637" s="21"/>
    </row>
    <row r="1638" customFormat="false" ht="15" hidden="false" customHeight="false" outlineLevel="0" collapsed="false">
      <c r="A1638" s="30"/>
      <c r="B1638" s="21"/>
      <c r="C1638" s="21" t="str">
        <f aca="false">IF(B1638="","",IFERROR(INDEX(代理店一覧!$B$5:$B$204,MATCH(B1638,代理店一覧!$A$5:$A$204,0)),"※未登録のID"))</f>
        <v/>
      </c>
      <c r="D1638" s="20"/>
      <c r="E1638" s="20"/>
      <c r="F1638" s="20"/>
      <c r="G1638" s="20"/>
      <c r="H1638" s="20"/>
      <c r="I1638" s="21"/>
    </row>
    <row r="1639" customFormat="false" ht="15" hidden="false" customHeight="false" outlineLevel="0" collapsed="false">
      <c r="A1639" s="30"/>
      <c r="B1639" s="21"/>
      <c r="C1639" s="21" t="str">
        <f aca="false">IF(B1639="","",IFERROR(INDEX(代理店一覧!$B$5:$B$204,MATCH(B1639,代理店一覧!$A$5:$A$204,0)),"※未登録のID"))</f>
        <v/>
      </c>
      <c r="D1639" s="20"/>
      <c r="E1639" s="20"/>
      <c r="F1639" s="20"/>
      <c r="G1639" s="20"/>
      <c r="H1639" s="20"/>
      <c r="I1639" s="21"/>
    </row>
    <row r="1640" customFormat="false" ht="15" hidden="false" customHeight="false" outlineLevel="0" collapsed="false">
      <c r="A1640" s="30"/>
      <c r="B1640" s="21"/>
      <c r="C1640" s="21" t="str">
        <f aca="false">IF(B1640="","",IFERROR(INDEX(代理店一覧!$B$5:$B$204,MATCH(B1640,代理店一覧!$A$5:$A$204,0)),"※未登録のID"))</f>
        <v/>
      </c>
      <c r="D1640" s="20"/>
      <c r="E1640" s="20"/>
      <c r="F1640" s="20"/>
      <c r="G1640" s="20"/>
      <c r="H1640" s="20"/>
      <c r="I1640" s="21"/>
    </row>
    <row r="1641" customFormat="false" ht="15" hidden="false" customHeight="false" outlineLevel="0" collapsed="false">
      <c r="A1641" s="30"/>
      <c r="B1641" s="21"/>
      <c r="C1641" s="21" t="str">
        <f aca="false">IF(B1641="","",IFERROR(INDEX(代理店一覧!$B$5:$B$204,MATCH(B1641,代理店一覧!$A$5:$A$204,0)),"※未登録のID"))</f>
        <v/>
      </c>
      <c r="D1641" s="20"/>
      <c r="E1641" s="20"/>
      <c r="F1641" s="20"/>
      <c r="G1641" s="20"/>
      <c r="H1641" s="20"/>
      <c r="I1641" s="21"/>
    </row>
    <row r="1642" customFormat="false" ht="15" hidden="false" customHeight="false" outlineLevel="0" collapsed="false">
      <c r="A1642" s="30"/>
      <c r="B1642" s="21"/>
      <c r="C1642" s="21" t="str">
        <f aca="false">IF(B1642="","",IFERROR(INDEX(代理店一覧!$B$5:$B$204,MATCH(B1642,代理店一覧!$A$5:$A$204,0)),"※未登録のID"))</f>
        <v/>
      </c>
      <c r="D1642" s="20"/>
      <c r="E1642" s="20"/>
      <c r="F1642" s="20"/>
      <c r="G1642" s="20"/>
      <c r="H1642" s="20"/>
      <c r="I1642" s="21"/>
    </row>
    <row r="1643" customFormat="false" ht="15" hidden="false" customHeight="false" outlineLevel="0" collapsed="false">
      <c r="A1643" s="30"/>
      <c r="B1643" s="21"/>
      <c r="C1643" s="21" t="str">
        <f aca="false">IF(B1643="","",IFERROR(INDEX(代理店一覧!$B$5:$B$204,MATCH(B1643,代理店一覧!$A$5:$A$204,0)),"※未登録のID"))</f>
        <v/>
      </c>
      <c r="D1643" s="20"/>
      <c r="E1643" s="20"/>
      <c r="F1643" s="20"/>
      <c r="G1643" s="20"/>
      <c r="H1643" s="20"/>
      <c r="I1643" s="21"/>
    </row>
    <row r="1644" customFormat="false" ht="15" hidden="false" customHeight="false" outlineLevel="0" collapsed="false">
      <c r="A1644" s="30"/>
      <c r="B1644" s="21"/>
      <c r="C1644" s="21" t="str">
        <f aca="false">IF(B1644="","",IFERROR(INDEX(代理店一覧!$B$5:$B$204,MATCH(B1644,代理店一覧!$A$5:$A$204,0)),"※未登録のID"))</f>
        <v/>
      </c>
      <c r="D1644" s="20"/>
      <c r="E1644" s="20"/>
      <c r="F1644" s="20"/>
      <c r="G1644" s="20"/>
      <c r="H1644" s="20"/>
      <c r="I1644" s="21"/>
    </row>
    <row r="1645" customFormat="false" ht="15" hidden="false" customHeight="false" outlineLevel="0" collapsed="false">
      <c r="A1645" s="30"/>
      <c r="B1645" s="21"/>
      <c r="C1645" s="21" t="str">
        <f aca="false">IF(B1645="","",IFERROR(INDEX(代理店一覧!$B$5:$B$204,MATCH(B1645,代理店一覧!$A$5:$A$204,0)),"※未登録のID"))</f>
        <v/>
      </c>
      <c r="D1645" s="20"/>
      <c r="E1645" s="20"/>
      <c r="F1645" s="20"/>
      <c r="G1645" s="20"/>
      <c r="H1645" s="20"/>
      <c r="I1645" s="21"/>
    </row>
    <row r="1646" customFormat="false" ht="15" hidden="false" customHeight="false" outlineLevel="0" collapsed="false">
      <c r="A1646" s="30"/>
      <c r="B1646" s="21"/>
      <c r="C1646" s="21" t="str">
        <f aca="false">IF(B1646="","",IFERROR(INDEX(代理店一覧!$B$5:$B$204,MATCH(B1646,代理店一覧!$A$5:$A$204,0)),"※未登録のID"))</f>
        <v/>
      </c>
      <c r="D1646" s="20"/>
      <c r="E1646" s="20"/>
      <c r="F1646" s="20"/>
      <c r="G1646" s="20"/>
      <c r="H1646" s="20"/>
      <c r="I1646" s="21"/>
    </row>
    <row r="1647" customFormat="false" ht="15" hidden="false" customHeight="false" outlineLevel="0" collapsed="false">
      <c r="A1647" s="30"/>
      <c r="B1647" s="21"/>
      <c r="C1647" s="21" t="str">
        <f aca="false">IF(B1647="","",IFERROR(INDEX(代理店一覧!$B$5:$B$204,MATCH(B1647,代理店一覧!$A$5:$A$204,0)),"※未登録のID"))</f>
        <v/>
      </c>
      <c r="D1647" s="20"/>
      <c r="E1647" s="20"/>
      <c r="F1647" s="20"/>
      <c r="G1647" s="20"/>
      <c r="H1647" s="20"/>
      <c r="I1647" s="21"/>
    </row>
    <row r="1648" customFormat="false" ht="15" hidden="false" customHeight="false" outlineLevel="0" collapsed="false">
      <c r="A1648" s="30"/>
      <c r="B1648" s="21"/>
      <c r="C1648" s="21" t="str">
        <f aca="false">IF(B1648="","",IFERROR(INDEX(代理店一覧!$B$5:$B$204,MATCH(B1648,代理店一覧!$A$5:$A$204,0)),"※未登録のID"))</f>
        <v/>
      </c>
      <c r="D1648" s="20"/>
      <c r="E1648" s="20"/>
      <c r="F1648" s="20"/>
      <c r="G1648" s="20"/>
      <c r="H1648" s="20"/>
      <c r="I1648" s="21"/>
    </row>
    <row r="1649" customFormat="false" ht="15" hidden="false" customHeight="false" outlineLevel="0" collapsed="false">
      <c r="A1649" s="30"/>
      <c r="B1649" s="21"/>
      <c r="C1649" s="21" t="str">
        <f aca="false">IF(B1649="","",IFERROR(INDEX(代理店一覧!$B$5:$B$204,MATCH(B1649,代理店一覧!$A$5:$A$204,0)),"※未登録のID"))</f>
        <v/>
      </c>
      <c r="D1649" s="20"/>
      <c r="E1649" s="20"/>
      <c r="F1649" s="20"/>
      <c r="G1649" s="20"/>
      <c r="H1649" s="20"/>
      <c r="I1649" s="21"/>
    </row>
    <row r="1650" customFormat="false" ht="15" hidden="false" customHeight="false" outlineLevel="0" collapsed="false">
      <c r="A1650" s="30"/>
      <c r="B1650" s="21"/>
      <c r="C1650" s="21" t="str">
        <f aca="false">IF(B1650="","",IFERROR(INDEX(代理店一覧!$B$5:$B$204,MATCH(B1650,代理店一覧!$A$5:$A$204,0)),"※未登録のID"))</f>
        <v/>
      </c>
      <c r="D1650" s="20"/>
      <c r="E1650" s="20"/>
      <c r="F1650" s="20"/>
      <c r="G1650" s="20"/>
      <c r="H1650" s="20"/>
      <c r="I1650" s="21"/>
    </row>
    <row r="1651" customFormat="false" ht="15" hidden="false" customHeight="false" outlineLevel="0" collapsed="false">
      <c r="A1651" s="30"/>
      <c r="B1651" s="21"/>
      <c r="C1651" s="21" t="str">
        <f aca="false">IF(B1651="","",IFERROR(INDEX(代理店一覧!$B$5:$B$204,MATCH(B1651,代理店一覧!$A$5:$A$204,0)),"※未登録のID"))</f>
        <v/>
      </c>
      <c r="D1651" s="20"/>
      <c r="E1651" s="20"/>
      <c r="F1651" s="20"/>
      <c r="G1651" s="20"/>
      <c r="H1651" s="20"/>
      <c r="I1651" s="21"/>
    </row>
    <row r="1652" customFormat="false" ht="15" hidden="false" customHeight="false" outlineLevel="0" collapsed="false">
      <c r="A1652" s="30"/>
      <c r="B1652" s="21"/>
      <c r="C1652" s="21" t="str">
        <f aca="false">IF(B1652="","",IFERROR(INDEX(代理店一覧!$B$5:$B$204,MATCH(B1652,代理店一覧!$A$5:$A$204,0)),"※未登録のID"))</f>
        <v/>
      </c>
      <c r="D1652" s="20"/>
      <c r="E1652" s="20"/>
      <c r="F1652" s="20"/>
      <c r="G1652" s="20"/>
      <c r="H1652" s="20"/>
      <c r="I1652" s="21"/>
    </row>
    <row r="1653" customFormat="false" ht="15" hidden="false" customHeight="false" outlineLevel="0" collapsed="false">
      <c r="A1653" s="30"/>
      <c r="B1653" s="21"/>
      <c r="C1653" s="21" t="str">
        <f aca="false">IF(B1653="","",IFERROR(INDEX(代理店一覧!$B$5:$B$204,MATCH(B1653,代理店一覧!$A$5:$A$204,0)),"※未登録のID"))</f>
        <v/>
      </c>
      <c r="D1653" s="20"/>
      <c r="E1653" s="20"/>
      <c r="F1653" s="20"/>
      <c r="G1653" s="20"/>
      <c r="H1653" s="20"/>
      <c r="I1653" s="21"/>
    </row>
    <row r="1654" customFormat="false" ht="15" hidden="false" customHeight="false" outlineLevel="0" collapsed="false">
      <c r="A1654" s="30"/>
      <c r="B1654" s="21"/>
      <c r="C1654" s="21" t="str">
        <f aca="false">IF(B1654="","",IFERROR(INDEX(代理店一覧!$B$5:$B$204,MATCH(B1654,代理店一覧!$A$5:$A$204,0)),"※未登録のID"))</f>
        <v/>
      </c>
      <c r="D1654" s="20"/>
      <c r="E1654" s="20"/>
      <c r="F1654" s="20"/>
      <c r="G1654" s="20"/>
      <c r="H1654" s="20"/>
      <c r="I1654" s="21"/>
    </row>
    <row r="1655" customFormat="false" ht="15" hidden="false" customHeight="false" outlineLevel="0" collapsed="false">
      <c r="A1655" s="30"/>
      <c r="B1655" s="21"/>
      <c r="C1655" s="21" t="str">
        <f aca="false">IF(B1655="","",IFERROR(INDEX(代理店一覧!$B$5:$B$204,MATCH(B1655,代理店一覧!$A$5:$A$204,0)),"※未登録のID"))</f>
        <v/>
      </c>
      <c r="D1655" s="20"/>
      <c r="E1655" s="20"/>
      <c r="F1655" s="20"/>
      <c r="G1655" s="20"/>
      <c r="H1655" s="20"/>
      <c r="I1655" s="21"/>
    </row>
    <row r="1656" customFormat="false" ht="15" hidden="false" customHeight="false" outlineLevel="0" collapsed="false">
      <c r="A1656" s="30"/>
      <c r="B1656" s="21"/>
      <c r="C1656" s="21" t="str">
        <f aca="false">IF(B1656="","",IFERROR(INDEX(代理店一覧!$B$5:$B$204,MATCH(B1656,代理店一覧!$A$5:$A$204,0)),"※未登録のID"))</f>
        <v/>
      </c>
      <c r="D1656" s="20"/>
      <c r="E1656" s="20"/>
      <c r="F1656" s="20"/>
      <c r="G1656" s="20"/>
      <c r="H1656" s="20"/>
      <c r="I1656" s="21"/>
    </row>
    <row r="1657" customFormat="false" ht="15" hidden="false" customHeight="false" outlineLevel="0" collapsed="false">
      <c r="A1657" s="30"/>
      <c r="B1657" s="21"/>
      <c r="C1657" s="21" t="str">
        <f aca="false">IF(B1657="","",IFERROR(INDEX(代理店一覧!$B$5:$B$204,MATCH(B1657,代理店一覧!$A$5:$A$204,0)),"※未登録のID"))</f>
        <v/>
      </c>
      <c r="D1657" s="20"/>
      <c r="E1657" s="20"/>
      <c r="F1657" s="20"/>
      <c r="G1657" s="20"/>
      <c r="H1657" s="20"/>
      <c r="I1657" s="21"/>
    </row>
    <row r="1658" customFormat="false" ht="15" hidden="false" customHeight="false" outlineLevel="0" collapsed="false">
      <c r="A1658" s="30"/>
      <c r="B1658" s="21"/>
      <c r="C1658" s="21" t="str">
        <f aca="false">IF(B1658="","",IFERROR(INDEX(代理店一覧!$B$5:$B$204,MATCH(B1658,代理店一覧!$A$5:$A$204,0)),"※未登録のID"))</f>
        <v/>
      </c>
      <c r="D1658" s="20"/>
      <c r="E1658" s="20"/>
      <c r="F1658" s="20"/>
      <c r="G1658" s="20"/>
      <c r="H1658" s="20"/>
      <c r="I1658" s="21"/>
    </row>
    <row r="1659" customFormat="false" ht="15" hidden="false" customHeight="false" outlineLevel="0" collapsed="false">
      <c r="A1659" s="30"/>
      <c r="B1659" s="21"/>
      <c r="C1659" s="21" t="str">
        <f aca="false">IF(B1659="","",IFERROR(INDEX(代理店一覧!$B$5:$B$204,MATCH(B1659,代理店一覧!$A$5:$A$204,0)),"※未登録のID"))</f>
        <v/>
      </c>
      <c r="D1659" s="20"/>
      <c r="E1659" s="20"/>
      <c r="F1659" s="20"/>
      <c r="G1659" s="20"/>
      <c r="H1659" s="20"/>
      <c r="I1659" s="21"/>
    </row>
    <row r="1660" customFormat="false" ht="15" hidden="false" customHeight="false" outlineLevel="0" collapsed="false">
      <c r="A1660" s="30"/>
      <c r="B1660" s="21"/>
      <c r="C1660" s="21" t="str">
        <f aca="false">IF(B1660="","",IFERROR(INDEX(代理店一覧!$B$5:$B$204,MATCH(B1660,代理店一覧!$A$5:$A$204,0)),"※未登録のID"))</f>
        <v/>
      </c>
      <c r="D1660" s="20"/>
      <c r="E1660" s="20"/>
      <c r="F1660" s="20"/>
      <c r="G1660" s="20"/>
      <c r="H1660" s="20"/>
      <c r="I1660" s="21"/>
    </row>
    <row r="1661" customFormat="false" ht="15" hidden="false" customHeight="false" outlineLevel="0" collapsed="false">
      <c r="A1661" s="30"/>
      <c r="B1661" s="21"/>
      <c r="C1661" s="21" t="str">
        <f aca="false">IF(B1661="","",IFERROR(INDEX(代理店一覧!$B$5:$B$204,MATCH(B1661,代理店一覧!$A$5:$A$204,0)),"※未登録のID"))</f>
        <v/>
      </c>
      <c r="D1661" s="20"/>
      <c r="E1661" s="20"/>
      <c r="F1661" s="20"/>
      <c r="G1661" s="20"/>
      <c r="H1661" s="20"/>
      <c r="I1661" s="21"/>
    </row>
    <row r="1662" customFormat="false" ht="15" hidden="false" customHeight="false" outlineLevel="0" collapsed="false">
      <c r="A1662" s="30"/>
      <c r="B1662" s="21"/>
      <c r="C1662" s="21" t="str">
        <f aca="false">IF(B1662="","",IFERROR(INDEX(代理店一覧!$B$5:$B$204,MATCH(B1662,代理店一覧!$A$5:$A$204,0)),"※未登録のID"))</f>
        <v/>
      </c>
      <c r="D1662" s="20"/>
      <c r="E1662" s="20"/>
      <c r="F1662" s="20"/>
      <c r="G1662" s="20"/>
      <c r="H1662" s="20"/>
      <c r="I1662" s="21"/>
    </row>
    <row r="1663" customFormat="false" ht="15" hidden="false" customHeight="false" outlineLevel="0" collapsed="false">
      <c r="A1663" s="30"/>
      <c r="B1663" s="21"/>
      <c r="C1663" s="21" t="str">
        <f aca="false">IF(B1663="","",IFERROR(INDEX(代理店一覧!$B$5:$B$204,MATCH(B1663,代理店一覧!$A$5:$A$204,0)),"※未登録のID"))</f>
        <v/>
      </c>
      <c r="D1663" s="20"/>
      <c r="E1663" s="20"/>
      <c r="F1663" s="20"/>
      <c r="G1663" s="20"/>
      <c r="H1663" s="20"/>
      <c r="I1663" s="21"/>
    </row>
    <row r="1664" customFormat="false" ht="15" hidden="false" customHeight="false" outlineLevel="0" collapsed="false">
      <c r="A1664" s="30"/>
      <c r="B1664" s="21"/>
      <c r="C1664" s="21" t="str">
        <f aca="false">IF(B1664="","",IFERROR(INDEX(代理店一覧!$B$5:$B$204,MATCH(B1664,代理店一覧!$A$5:$A$204,0)),"※未登録のID"))</f>
        <v/>
      </c>
      <c r="D1664" s="20"/>
      <c r="E1664" s="20"/>
      <c r="F1664" s="20"/>
      <c r="G1664" s="20"/>
      <c r="H1664" s="20"/>
      <c r="I1664" s="21"/>
    </row>
    <row r="1665" customFormat="false" ht="15" hidden="false" customHeight="false" outlineLevel="0" collapsed="false">
      <c r="A1665" s="30"/>
      <c r="B1665" s="21"/>
      <c r="C1665" s="21" t="str">
        <f aca="false">IF(B1665="","",IFERROR(INDEX(代理店一覧!$B$5:$B$204,MATCH(B1665,代理店一覧!$A$5:$A$204,0)),"※未登録のID"))</f>
        <v/>
      </c>
      <c r="D1665" s="20"/>
      <c r="E1665" s="20"/>
      <c r="F1665" s="20"/>
      <c r="G1665" s="20"/>
      <c r="H1665" s="20"/>
      <c r="I1665" s="21"/>
    </row>
    <row r="1666" customFormat="false" ht="15" hidden="false" customHeight="false" outlineLevel="0" collapsed="false">
      <c r="A1666" s="30"/>
      <c r="B1666" s="21"/>
      <c r="C1666" s="21" t="str">
        <f aca="false">IF(B1666="","",IFERROR(INDEX(代理店一覧!$B$5:$B$204,MATCH(B1666,代理店一覧!$A$5:$A$204,0)),"※未登録のID"))</f>
        <v/>
      </c>
      <c r="D1666" s="20"/>
      <c r="E1666" s="20"/>
      <c r="F1666" s="20"/>
      <c r="G1666" s="20"/>
      <c r="H1666" s="20"/>
      <c r="I1666" s="21"/>
    </row>
    <row r="1667" customFormat="false" ht="15" hidden="false" customHeight="false" outlineLevel="0" collapsed="false">
      <c r="A1667" s="30"/>
      <c r="B1667" s="21"/>
      <c r="C1667" s="21" t="str">
        <f aca="false">IF(B1667="","",IFERROR(INDEX(代理店一覧!$B$5:$B$204,MATCH(B1667,代理店一覧!$A$5:$A$204,0)),"※未登録のID"))</f>
        <v/>
      </c>
      <c r="D1667" s="20"/>
      <c r="E1667" s="20"/>
      <c r="F1667" s="20"/>
      <c r="G1667" s="20"/>
      <c r="H1667" s="20"/>
      <c r="I1667" s="21"/>
    </row>
    <row r="1668" customFormat="false" ht="15" hidden="false" customHeight="false" outlineLevel="0" collapsed="false">
      <c r="A1668" s="30"/>
      <c r="B1668" s="21"/>
      <c r="C1668" s="21" t="str">
        <f aca="false">IF(B1668="","",IFERROR(INDEX(代理店一覧!$B$5:$B$204,MATCH(B1668,代理店一覧!$A$5:$A$204,0)),"※未登録のID"))</f>
        <v/>
      </c>
      <c r="D1668" s="20"/>
      <c r="E1668" s="20"/>
      <c r="F1668" s="20"/>
      <c r="G1668" s="20"/>
      <c r="H1668" s="20"/>
      <c r="I1668" s="21"/>
    </row>
    <row r="1669" customFormat="false" ht="15" hidden="false" customHeight="false" outlineLevel="0" collapsed="false">
      <c r="A1669" s="30"/>
      <c r="B1669" s="21"/>
      <c r="C1669" s="21" t="str">
        <f aca="false">IF(B1669="","",IFERROR(INDEX(代理店一覧!$B$5:$B$204,MATCH(B1669,代理店一覧!$A$5:$A$204,0)),"※未登録のID"))</f>
        <v/>
      </c>
      <c r="D1669" s="20"/>
      <c r="E1669" s="20"/>
      <c r="F1669" s="20"/>
      <c r="G1669" s="20"/>
      <c r="H1669" s="20"/>
      <c r="I1669" s="21"/>
    </row>
    <row r="1670" customFormat="false" ht="15" hidden="false" customHeight="false" outlineLevel="0" collapsed="false">
      <c r="A1670" s="30"/>
      <c r="B1670" s="21"/>
      <c r="C1670" s="21" t="str">
        <f aca="false">IF(B1670="","",IFERROR(INDEX(代理店一覧!$B$5:$B$204,MATCH(B1670,代理店一覧!$A$5:$A$204,0)),"※未登録のID"))</f>
        <v/>
      </c>
      <c r="D1670" s="20"/>
      <c r="E1670" s="20"/>
      <c r="F1670" s="20"/>
      <c r="G1670" s="20"/>
      <c r="H1670" s="20"/>
      <c r="I1670" s="21"/>
    </row>
    <row r="1671" customFormat="false" ht="15" hidden="false" customHeight="false" outlineLevel="0" collapsed="false">
      <c r="A1671" s="30"/>
      <c r="B1671" s="21"/>
      <c r="C1671" s="21" t="str">
        <f aca="false">IF(B1671="","",IFERROR(INDEX(代理店一覧!$B$5:$B$204,MATCH(B1671,代理店一覧!$A$5:$A$204,0)),"※未登録のID"))</f>
        <v/>
      </c>
      <c r="D1671" s="20"/>
      <c r="E1671" s="20"/>
      <c r="F1671" s="20"/>
      <c r="G1671" s="20"/>
      <c r="H1671" s="20"/>
      <c r="I1671" s="21"/>
    </row>
    <row r="1672" customFormat="false" ht="15" hidden="false" customHeight="false" outlineLevel="0" collapsed="false">
      <c r="A1672" s="30"/>
      <c r="B1672" s="21"/>
      <c r="C1672" s="21" t="str">
        <f aca="false">IF(B1672="","",IFERROR(INDEX(代理店一覧!$B$5:$B$204,MATCH(B1672,代理店一覧!$A$5:$A$204,0)),"※未登録のID"))</f>
        <v/>
      </c>
      <c r="D1672" s="20"/>
      <c r="E1672" s="20"/>
      <c r="F1672" s="20"/>
      <c r="G1672" s="20"/>
      <c r="H1672" s="20"/>
      <c r="I1672" s="21"/>
    </row>
    <row r="1673" customFormat="false" ht="15" hidden="false" customHeight="false" outlineLevel="0" collapsed="false">
      <c r="A1673" s="30"/>
      <c r="B1673" s="21"/>
      <c r="C1673" s="21" t="str">
        <f aca="false">IF(B1673="","",IFERROR(INDEX(代理店一覧!$B$5:$B$204,MATCH(B1673,代理店一覧!$A$5:$A$204,0)),"※未登録のID"))</f>
        <v/>
      </c>
      <c r="D1673" s="20"/>
      <c r="E1673" s="20"/>
      <c r="F1673" s="20"/>
      <c r="G1673" s="20"/>
      <c r="H1673" s="20"/>
      <c r="I1673" s="21"/>
    </row>
    <row r="1674" customFormat="false" ht="15" hidden="false" customHeight="false" outlineLevel="0" collapsed="false">
      <c r="A1674" s="30"/>
      <c r="B1674" s="21"/>
      <c r="C1674" s="21" t="str">
        <f aca="false">IF(B1674="","",IFERROR(INDEX(代理店一覧!$B$5:$B$204,MATCH(B1674,代理店一覧!$A$5:$A$204,0)),"※未登録のID"))</f>
        <v/>
      </c>
      <c r="D1674" s="20"/>
      <c r="E1674" s="20"/>
      <c r="F1674" s="20"/>
      <c r="G1674" s="20"/>
      <c r="H1674" s="20"/>
      <c r="I1674" s="21"/>
    </row>
    <row r="1675" customFormat="false" ht="15" hidden="false" customHeight="false" outlineLevel="0" collapsed="false">
      <c r="A1675" s="30"/>
      <c r="B1675" s="21"/>
      <c r="C1675" s="21" t="str">
        <f aca="false">IF(B1675="","",IFERROR(INDEX(代理店一覧!$B$5:$B$204,MATCH(B1675,代理店一覧!$A$5:$A$204,0)),"※未登録のID"))</f>
        <v/>
      </c>
      <c r="D1675" s="20"/>
      <c r="E1675" s="20"/>
      <c r="F1675" s="20"/>
      <c r="G1675" s="20"/>
      <c r="H1675" s="20"/>
      <c r="I1675" s="21"/>
    </row>
    <row r="1676" customFormat="false" ht="15" hidden="false" customHeight="false" outlineLevel="0" collapsed="false">
      <c r="A1676" s="30"/>
      <c r="B1676" s="21"/>
      <c r="C1676" s="21" t="str">
        <f aca="false">IF(B1676="","",IFERROR(INDEX(代理店一覧!$B$5:$B$204,MATCH(B1676,代理店一覧!$A$5:$A$204,0)),"※未登録のID"))</f>
        <v/>
      </c>
      <c r="D1676" s="20"/>
      <c r="E1676" s="20"/>
      <c r="F1676" s="20"/>
      <c r="G1676" s="20"/>
      <c r="H1676" s="20"/>
      <c r="I1676" s="21"/>
    </row>
    <row r="1677" customFormat="false" ht="15" hidden="false" customHeight="false" outlineLevel="0" collapsed="false">
      <c r="A1677" s="30"/>
      <c r="B1677" s="21"/>
      <c r="C1677" s="21" t="str">
        <f aca="false">IF(B1677="","",IFERROR(INDEX(代理店一覧!$B$5:$B$204,MATCH(B1677,代理店一覧!$A$5:$A$204,0)),"※未登録のID"))</f>
        <v/>
      </c>
      <c r="D1677" s="20"/>
      <c r="E1677" s="20"/>
      <c r="F1677" s="20"/>
      <c r="G1677" s="20"/>
      <c r="H1677" s="20"/>
      <c r="I1677" s="21"/>
    </row>
    <row r="1678" customFormat="false" ht="15" hidden="false" customHeight="false" outlineLevel="0" collapsed="false">
      <c r="A1678" s="30"/>
      <c r="B1678" s="21"/>
      <c r="C1678" s="21" t="str">
        <f aca="false">IF(B1678="","",IFERROR(INDEX(代理店一覧!$B$5:$B$204,MATCH(B1678,代理店一覧!$A$5:$A$204,0)),"※未登録のID"))</f>
        <v/>
      </c>
      <c r="D1678" s="20"/>
      <c r="E1678" s="20"/>
      <c r="F1678" s="20"/>
      <c r="G1678" s="20"/>
      <c r="H1678" s="20"/>
      <c r="I1678" s="21"/>
    </row>
    <row r="1679" customFormat="false" ht="15" hidden="false" customHeight="false" outlineLevel="0" collapsed="false">
      <c r="A1679" s="30"/>
      <c r="B1679" s="21"/>
      <c r="C1679" s="21" t="str">
        <f aca="false">IF(B1679="","",IFERROR(INDEX(代理店一覧!$B$5:$B$204,MATCH(B1679,代理店一覧!$A$5:$A$204,0)),"※未登録のID"))</f>
        <v/>
      </c>
      <c r="D1679" s="20"/>
      <c r="E1679" s="20"/>
      <c r="F1679" s="20"/>
      <c r="G1679" s="20"/>
      <c r="H1679" s="20"/>
      <c r="I1679" s="21"/>
    </row>
    <row r="1680" customFormat="false" ht="15" hidden="false" customHeight="false" outlineLevel="0" collapsed="false">
      <c r="A1680" s="30"/>
      <c r="B1680" s="21"/>
      <c r="C1680" s="21" t="str">
        <f aca="false">IF(B1680="","",IFERROR(INDEX(代理店一覧!$B$5:$B$204,MATCH(B1680,代理店一覧!$A$5:$A$204,0)),"※未登録のID"))</f>
        <v/>
      </c>
      <c r="D1680" s="20"/>
      <c r="E1680" s="20"/>
      <c r="F1680" s="20"/>
      <c r="G1680" s="20"/>
      <c r="H1680" s="20"/>
      <c r="I1680" s="21"/>
    </row>
    <row r="1681" customFormat="false" ht="15" hidden="false" customHeight="false" outlineLevel="0" collapsed="false">
      <c r="A1681" s="30"/>
      <c r="B1681" s="21"/>
      <c r="C1681" s="21" t="str">
        <f aca="false">IF(B1681="","",IFERROR(INDEX(代理店一覧!$B$5:$B$204,MATCH(B1681,代理店一覧!$A$5:$A$204,0)),"※未登録のID"))</f>
        <v/>
      </c>
      <c r="D1681" s="20"/>
      <c r="E1681" s="20"/>
      <c r="F1681" s="20"/>
      <c r="G1681" s="20"/>
      <c r="H1681" s="20"/>
      <c r="I1681" s="21"/>
    </row>
    <row r="1682" customFormat="false" ht="15" hidden="false" customHeight="false" outlineLevel="0" collapsed="false">
      <c r="A1682" s="30"/>
      <c r="B1682" s="21"/>
      <c r="C1682" s="21" t="str">
        <f aca="false">IF(B1682="","",IFERROR(INDEX(代理店一覧!$B$5:$B$204,MATCH(B1682,代理店一覧!$A$5:$A$204,0)),"※未登録のID"))</f>
        <v/>
      </c>
      <c r="D1682" s="20"/>
      <c r="E1682" s="20"/>
      <c r="F1682" s="20"/>
      <c r="G1682" s="20"/>
      <c r="H1682" s="20"/>
      <c r="I1682" s="21"/>
    </row>
    <row r="1683" customFormat="false" ht="15" hidden="false" customHeight="false" outlineLevel="0" collapsed="false">
      <c r="A1683" s="30"/>
      <c r="B1683" s="21"/>
      <c r="C1683" s="21" t="str">
        <f aca="false">IF(B1683="","",IFERROR(INDEX(代理店一覧!$B$5:$B$204,MATCH(B1683,代理店一覧!$A$5:$A$204,0)),"※未登録のID"))</f>
        <v/>
      </c>
      <c r="D1683" s="20"/>
      <c r="E1683" s="20"/>
      <c r="F1683" s="20"/>
      <c r="G1683" s="20"/>
      <c r="H1683" s="20"/>
      <c r="I1683" s="21"/>
    </row>
    <row r="1684" customFormat="false" ht="15" hidden="false" customHeight="false" outlineLevel="0" collapsed="false">
      <c r="A1684" s="30"/>
      <c r="B1684" s="21"/>
      <c r="C1684" s="21" t="str">
        <f aca="false">IF(B1684="","",IFERROR(INDEX(代理店一覧!$B$5:$B$204,MATCH(B1684,代理店一覧!$A$5:$A$204,0)),"※未登録のID"))</f>
        <v/>
      </c>
      <c r="D1684" s="20"/>
      <c r="E1684" s="20"/>
      <c r="F1684" s="20"/>
      <c r="G1684" s="20"/>
      <c r="H1684" s="20"/>
      <c r="I1684" s="21"/>
    </row>
    <row r="1685" customFormat="false" ht="15" hidden="false" customHeight="false" outlineLevel="0" collapsed="false">
      <c r="A1685" s="30"/>
      <c r="B1685" s="21"/>
      <c r="C1685" s="21" t="str">
        <f aca="false">IF(B1685="","",IFERROR(INDEX(代理店一覧!$B$5:$B$204,MATCH(B1685,代理店一覧!$A$5:$A$204,0)),"※未登録のID"))</f>
        <v/>
      </c>
      <c r="D1685" s="20"/>
      <c r="E1685" s="20"/>
      <c r="F1685" s="20"/>
      <c r="G1685" s="20"/>
      <c r="H1685" s="20"/>
      <c r="I1685" s="21"/>
    </row>
    <row r="1686" customFormat="false" ht="15" hidden="false" customHeight="false" outlineLevel="0" collapsed="false">
      <c r="A1686" s="30"/>
      <c r="B1686" s="21"/>
      <c r="C1686" s="21" t="str">
        <f aca="false">IF(B1686="","",IFERROR(INDEX(代理店一覧!$B$5:$B$204,MATCH(B1686,代理店一覧!$A$5:$A$204,0)),"※未登録のID"))</f>
        <v/>
      </c>
      <c r="D1686" s="20"/>
      <c r="E1686" s="20"/>
      <c r="F1686" s="20"/>
      <c r="G1686" s="20"/>
      <c r="H1686" s="20"/>
      <c r="I1686" s="21"/>
    </row>
    <row r="1687" customFormat="false" ht="15" hidden="false" customHeight="false" outlineLevel="0" collapsed="false">
      <c r="A1687" s="30"/>
      <c r="B1687" s="21"/>
      <c r="C1687" s="21" t="str">
        <f aca="false">IF(B1687="","",IFERROR(INDEX(代理店一覧!$B$5:$B$204,MATCH(B1687,代理店一覧!$A$5:$A$204,0)),"※未登録のID"))</f>
        <v/>
      </c>
      <c r="D1687" s="20"/>
      <c r="E1687" s="20"/>
      <c r="F1687" s="20"/>
      <c r="G1687" s="20"/>
      <c r="H1687" s="20"/>
      <c r="I1687" s="21"/>
    </row>
    <row r="1688" customFormat="false" ht="15" hidden="false" customHeight="false" outlineLevel="0" collapsed="false">
      <c r="A1688" s="30"/>
      <c r="B1688" s="21"/>
      <c r="C1688" s="21" t="str">
        <f aca="false">IF(B1688="","",IFERROR(INDEX(代理店一覧!$B$5:$B$204,MATCH(B1688,代理店一覧!$A$5:$A$204,0)),"※未登録のID"))</f>
        <v/>
      </c>
      <c r="D1688" s="20"/>
      <c r="E1688" s="20"/>
      <c r="F1688" s="20"/>
      <c r="G1688" s="20"/>
      <c r="H1688" s="20"/>
      <c r="I1688" s="21"/>
    </row>
    <row r="1689" customFormat="false" ht="15" hidden="false" customHeight="false" outlineLevel="0" collapsed="false">
      <c r="A1689" s="30"/>
      <c r="B1689" s="21"/>
      <c r="C1689" s="21" t="str">
        <f aca="false">IF(B1689="","",IFERROR(INDEX(代理店一覧!$B$5:$B$204,MATCH(B1689,代理店一覧!$A$5:$A$204,0)),"※未登録のID"))</f>
        <v/>
      </c>
      <c r="D1689" s="20"/>
      <c r="E1689" s="20"/>
      <c r="F1689" s="20"/>
      <c r="G1689" s="20"/>
      <c r="H1689" s="20"/>
      <c r="I1689" s="21"/>
    </row>
    <row r="1690" customFormat="false" ht="15" hidden="false" customHeight="false" outlineLevel="0" collapsed="false">
      <c r="A1690" s="30"/>
      <c r="B1690" s="21"/>
      <c r="C1690" s="21" t="str">
        <f aca="false">IF(B1690="","",IFERROR(INDEX(代理店一覧!$B$5:$B$204,MATCH(B1690,代理店一覧!$A$5:$A$204,0)),"※未登録のID"))</f>
        <v/>
      </c>
      <c r="D1690" s="20"/>
      <c r="E1690" s="20"/>
      <c r="F1690" s="20"/>
      <c r="G1690" s="20"/>
      <c r="H1690" s="20"/>
      <c r="I1690" s="21"/>
    </row>
    <row r="1691" customFormat="false" ht="15" hidden="false" customHeight="false" outlineLevel="0" collapsed="false">
      <c r="A1691" s="30"/>
      <c r="B1691" s="21"/>
      <c r="C1691" s="21" t="str">
        <f aca="false">IF(B1691="","",IFERROR(INDEX(代理店一覧!$B$5:$B$204,MATCH(B1691,代理店一覧!$A$5:$A$204,0)),"※未登録のID"))</f>
        <v/>
      </c>
      <c r="D1691" s="20"/>
      <c r="E1691" s="20"/>
      <c r="F1691" s="20"/>
      <c r="G1691" s="20"/>
      <c r="H1691" s="20"/>
      <c r="I1691" s="21"/>
    </row>
    <row r="1692" customFormat="false" ht="15" hidden="false" customHeight="false" outlineLevel="0" collapsed="false">
      <c r="A1692" s="30"/>
      <c r="B1692" s="21"/>
      <c r="C1692" s="21" t="str">
        <f aca="false">IF(B1692="","",IFERROR(INDEX(代理店一覧!$B$5:$B$204,MATCH(B1692,代理店一覧!$A$5:$A$204,0)),"※未登録のID"))</f>
        <v/>
      </c>
      <c r="D1692" s="20"/>
      <c r="E1692" s="20"/>
      <c r="F1692" s="20"/>
      <c r="G1692" s="20"/>
      <c r="H1692" s="20"/>
      <c r="I1692" s="21"/>
    </row>
    <row r="1693" customFormat="false" ht="15" hidden="false" customHeight="false" outlineLevel="0" collapsed="false">
      <c r="A1693" s="30"/>
      <c r="B1693" s="21"/>
      <c r="C1693" s="21" t="str">
        <f aca="false">IF(B1693="","",IFERROR(INDEX(代理店一覧!$B$5:$B$204,MATCH(B1693,代理店一覧!$A$5:$A$204,0)),"※未登録のID"))</f>
        <v/>
      </c>
      <c r="D1693" s="20"/>
      <c r="E1693" s="20"/>
      <c r="F1693" s="20"/>
      <c r="G1693" s="20"/>
      <c r="H1693" s="20"/>
      <c r="I1693" s="21"/>
    </row>
    <row r="1694" customFormat="false" ht="15" hidden="false" customHeight="false" outlineLevel="0" collapsed="false">
      <c r="A1694" s="30"/>
      <c r="B1694" s="21"/>
      <c r="C1694" s="21" t="str">
        <f aca="false">IF(B1694="","",IFERROR(INDEX(代理店一覧!$B$5:$B$204,MATCH(B1694,代理店一覧!$A$5:$A$204,0)),"※未登録のID"))</f>
        <v/>
      </c>
      <c r="D1694" s="20"/>
      <c r="E1694" s="20"/>
      <c r="F1694" s="20"/>
      <c r="G1694" s="20"/>
      <c r="H1694" s="20"/>
      <c r="I1694" s="21"/>
    </row>
    <row r="1695" customFormat="false" ht="15" hidden="false" customHeight="false" outlineLevel="0" collapsed="false">
      <c r="A1695" s="30"/>
      <c r="B1695" s="21"/>
      <c r="C1695" s="21" t="str">
        <f aca="false">IF(B1695="","",IFERROR(INDEX(代理店一覧!$B$5:$B$204,MATCH(B1695,代理店一覧!$A$5:$A$204,0)),"※未登録のID"))</f>
        <v/>
      </c>
      <c r="D1695" s="20"/>
      <c r="E1695" s="20"/>
      <c r="F1695" s="20"/>
      <c r="G1695" s="20"/>
      <c r="H1695" s="20"/>
      <c r="I1695" s="21"/>
    </row>
    <row r="1696" customFormat="false" ht="15" hidden="false" customHeight="false" outlineLevel="0" collapsed="false">
      <c r="A1696" s="30"/>
      <c r="B1696" s="21"/>
      <c r="C1696" s="21" t="str">
        <f aca="false">IF(B1696="","",IFERROR(INDEX(代理店一覧!$B$5:$B$204,MATCH(B1696,代理店一覧!$A$5:$A$204,0)),"※未登録のID"))</f>
        <v/>
      </c>
      <c r="D1696" s="20"/>
      <c r="E1696" s="20"/>
      <c r="F1696" s="20"/>
      <c r="G1696" s="20"/>
      <c r="H1696" s="20"/>
      <c r="I1696" s="21"/>
    </row>
    <row r="1697" customFormat="false" ht="15" hidden="false" customHeight="false" outlineLevel="0" collapsed="false">
      <c r="A1697" s="30"/>
      <c r="B1697" s="21"/>
      <c r="C1697" s="21" t="str">
        <f aca="false">IF(B1697="","",IFERROR(INDEX(代理店一覧!$B$5:$B$204,MATCH(B1697,代理店一覧!$A$5:$A$204,0)),"※未登録のID"))</f>
        <v/>
      </c>
      <c r="D1697" s="20"/>
      <c r="E1697" s="20"/>
      <c r="F1697" s="20"/>
      <c r="G1697" s="20"/>
      <c r="H1697" s="20"/>
      <c r="I1697" s="21"/>
    </row>
    <row r="1698" customFormat="false" ht="15" hidden="false" customHeight="false" outlineLevel="0" collapsed="false">
      <c r="A1698" s="30"/>
      <c r="B1698" s="21"/>
      <c r="C1698" s="21" t="str">
        <f aca="false">IF(B1698="","",IFERROR(INDEX(代理店一覧!$B$5:$B$204,MATCH(B1698,代理店一覧!$A$5:$A$204,0)),"※未登録のID"))</f>
        <v/>
      </c>
      <c r="D1698" s="20"/>
      <c r="E1698" s="20"/>
      <c r="F1698" s="20"/>
      <c r="G1698" s="20"/>
      <c r="H1698" s="20"/>
      <c r="I1698" s="21"/>
    </row>
    <row r="1699" customFormat="false" ht="15" hidden="false" customHeight="false" outlineLevel="0" collapsed="false">
      <c r="A1699" s="30"/>
      <c r="B1699" s="21"/>
      <c r="C1699" s="21" t="str">
        <f aca="false">IF(B1699="","",IFERROR(INDEX(代理店一覧!$B$5:$B$204,MATCH(B1699,代理店一覧!$A$5:$A$204,0)),"※未登録のID"))</f>
        <v/>
      </c>
      <c r="D1699" s="20"/>
      <c r="E1699" s="20"/>
      <c r="F1699" s="20"/>
      <c r="G1699" s="20"/>
      <c r="H1699" s="20"/>
      <c r="I1699" s="21"/>
    </row>
    <row r="1700" customFormat="false" ht="15" hidden="false" customHeight="false" outlineLevel="0" collapsed="false">
      <c r="A1700" s="30"/>
      <c r="B1700" s="21"/>
      <c r="C1700" s="21" t="str">
        <f aca="false">IF(B1700="","",IFERROR(INDEX(代理店一覧!$B$5:$B$204,MATCH(B1700,代理店一覧!$A$5:$A$204,0)),"※未登録のID"))</f>
        <v/>
      </c>
      <c r="D1700" s="20"/>
      <c r="E1700" s="20"/>
      <c r="F1700" s="20"/>
      <c r="G1700" s="20"/>
      <c r="H1700" s="20"/>
      <c r="I1700" s="21"/>
    </row>
    <row r="1701" customFormat="false" ht="15" hidden="false" customHeight="false" outlineLevel="0" collapsed="false">
      <c r="A1701" s="30"/>
      <c r="B1701" s="21"/>
      <c r="C1701" s="21" t="str">
        <f aca="false">IF(B1701="","",IFERROR(INDEX(代理店一覧!$B$5:$B$204,MATCH(B1701,代理店一覧!$A$5:$A$204,0)),"※未登録のID"))</f>
        <v/>
      </c>
      <c r="D1701" s="20"/>
      <c r="E1701" s="20"/>
      <c r="F1701" s="20"/>
      <c r="G1701" s="20"/>
      <c r="H1701" s="20"/>
      <c r="I1701" s="21"/>
    </row>
    <row r="1702" customFormat="false" ht="15" hidden="false" customHeight="false" outlineLevel="0" collapsed="false">
      <c r="A1702" s="30"/>
      <c r="B1702" s="21"/>
      <c r="C1702" s="21" t="str">
        <f aca="false">IF(B1702="","",IFERROR(INDEX(代理店一覧!$B$5:$B$204,MATCH(B1702,代理店一覧!$A$5:$A$204,0)),"※未登録のID"))</f>
        <v/>
      </c>
      <c r="D1702" s="20"/>
      <c r="E1702" s="20"/>
      <c r="F1702" s="20"/>
      <c r="G1702" s="20"/>
      <c r="H1702" s="20"/>
      <c r="I1702" s="21"/>
    </row>
    <row r="1703" customFormat="false" ht="15" hidden="false" customHeight="false" outlineLevel="0" collapsed="false">
      <c r="A1703" s="30"/>
      <c r="B1703" s="21"/>
      <c r="C1703" s="21" t="str">
        <f aca="false">IF(B1703="","",IFERROR(INDEX(代理店一覧!$B$5:$B$204,MATCH(B1703,代理店一覧!$A$5:$A$204,0)),"※未登録のID"))</f>
        <v/>
      </c>
      <c r="D1703" s="20"/>
      <c r="E1703" s="20"/>
      <c r="F1703" s="20"/>
      <c r="G1703" s="20"/>
      <c r="H1703" s="20"/>
      <c r="I1703" s="21"/>
    </row>
    <row r="1704" customFormat="false" ht="15" hidden="false" customHeight="false" outlineLevel="0" collapsed="false">
      <c r="A1704" s="30"/>
      <c r="B1704" s="21"/>
      <c r="C1704" s="21" t="str">
        <f aca="false">IF(B1704="","",IFERROR(INDEX(代理店一覧!$B$5:$B$204,MATCH(B1704,代理店一覧!$A$5:$A$204,0)),"※未登録のID"))</f>
        <v/>
      </c>
      <c r="D1704" s="20"/>
      <c r="E1704" s="20"/>
      <c r="F1704" s="20"/>
      <c r="G1704" s="20"/>
      <c r="H1704" s="20"/>
      <c r="I1704" s="21"/>
    </row>
    <row r="1705" customFormat="false" ht="15" hidden="false" customHeight="false" outlineLevel="0" collapsed="false">
      <c r="A1705" s="30"/>
      <c r="B1705" s="21"/>
      <c r="C1705" s="21" t="str">
        <f aca="false">IF(B1705="","",IFERROR(INDEX(代理店一覧!$B$5:$B$204,MATCH(B1705,代理店一覧!$A$5:$A$204,0)),"※未登録のID"))</f>
        <v/>
      </c>
      <c r="D1705" s="20"/>
      <c r="E1705" s="20"/>
      <c r="F1705" s="20"/>
      <c r="G1705" s="20"/>
      <c r="H1705" s="20"/>
      <c r="I1705" s="21"/>
    </row>
    <row r="1706" customFormat="false" ht="15" hidden="false" customHeight="false" outlineLevel="0" collapsed="false">
      <c r="A1706" s="30"/>
      <c r="B1706" s="21"/>
      <c r="C1706" s="21" t="str">
        <f aca="false">IF(B1706="","",IFERROR(INDEX(代理店一覧!$B$5:$B$204,MATCH(B1706,代理店一覧!$A$5:$A$204,0)),"※未登録のID"))</f>
        <v/>
      </c>
      <c r="D1706" s="20"/>
      <c r="E1706" s="20"/>
      <c r="F1706" s="20"/>
      <c r="G1706" s="20"/>
      <c r="H1706" s="20"/>
      <c r="I1706" s="21"/>
    </row>
    <row r="1707" customFormat="false" ht="15" hidden="false" customHeight="false" outlineLevel="0" collapsed="false">
      <c r="A1707" s="30"/>
      <c r="B1707" s="21"/>
      <c r="C1707" s="21" t="str">
        <f aca="false">IF(B1707="","",IFERROR(INDEX(代理店一覧!$B$5:$B$204,MATCH(B1707,代理店一覧!$A$5:$A$204,0)),"※未登録のID"))</f>
        <v/>
      </c>
      <c r="D1707" s="20"/>
      <c r="E1707" s="20"/>
      <c r="F1707" s="20"/>
      <c r="G1707" s="20"/>
      <c r="H1707" s="20"/>
      <c r="I1707" s="21"/>
    </row>
    <row r="1708" customFormat="false" ht="15" hidden="false" customHeight="false" outlineLevel="0" collapsed="false">
      <c r="A1708" s="30"/>
      <c r="B1708" s="21"/>
      <c r="C1708" s="21" t="str">
        <f aca="false">IF(B1708="","",IFERROR(INDEX(代理店一覧!$B$5:$B$204,MATCH(B1708,代理店一覧!$A$5:$A$204,0)),"※未登録のID"))</f>
        <v/>
      </c>
      <c r="D1708" s="20"/>
      <c r="E1708" s="20"/>
      <c r="F1708" s="20"/>
      <c r="G1708" s="20"/>
      <c r="H1708" s="20"/>
      <c r="I1708" s="21"/>
    </row>
    <row r="1709" customFormat="false" ht="15" hidden="false" customHeight="false" outlineLevel="0" collapsed="false">
      <c r="A1709" s="30"/>
      <c r="B1709" s="21"/>
      <c r="C1709" s="21" t="str">
        <f aca="false">IF(B1709="","",IFERROR(INDEX(代理店一覧!$B$5:$B$204,MATCH(B1709,代理店一覧!$A$5:$A$204,0)),"※未登録のID"))</f>
        <v/>
      </c>
      <c r="D1709" s="20"/>
      <c r="E1709" s="20"/>
      <c r="F1709" s="20"/>
      <c r="G1709" s="20"/>
      <c r="H1709" s="20"/>
      <c r="I1709" s="21"/>
    </row>
    <row r="1710" customFormat="false" ht="15" hidden="false" customHeight="false" outlineLevel="0" collapsed="false">
      <c r="A1710" s="30"/>
      <c r="B1710" s="21"/>
      <c r="C1710" s="21" t="str">
        <f aca="false">IF(B1710="","",IFERROR(INDEX(代理店一覧!$B$5:$B$204,MATCH(B1710,代理店一覧!$A$5:$A$204,0)),"※未登録のID"))</f>
        <v/>
      </c>
      <c r="D1710" s="20"/>
      <c r="E1710" s="20"/>
      <c r="F1710" s="20"/>
      <c r="G1710" s="20"/>
      <c r="H1710" s="20"/>
      <c r="I1710" s="21"/>
    </row>
    <row r="1711" customFormat="false" ht="15" hidden="false" customHeight="false" outlineLevel="0" collapsed="false">
      <c r="A1711" s="30"/>
      <c r="B1711" s="21"/>
      <c r="C1711" s="21" t="str">
        <f aca="false">IF(B1711="","",IFERROR(INDEX(代理店一覧!$B$5:$B$204,MATCH(B1711,代理店一覧!$A$5:$A$204,0)),"※未登録のID"))</f>
        <v/>
      </c>
      <c r="D1711" s="20"/>
      <c r="E1711" s="20"/>
      <c r="F1711" s="20"/>
      <c r="G1711" s="20"/>
      <c r="H1711" s="20"/>
      <c r="I1711" s="21"/>
    </row>
    <row r="1712" customFormat="false" ht="15" hidden="false" customHeight="false" outlineLevel="0" collapsed="false">
      <c r="A1712" s="30"/>
      <c r="B1712" s="21"/>
      <c r="C1712" s="21" t="str">
        <f aca="false">IF(B1712="","",IFERROR(INDEX(代理店一覧!$B$5:$B$204,MATCH(B1712,代理店一覧!$A$5:$A$204,0)),"※未登録のID"))</f>
        <v/>
      </c>
      <c r="D1712" s="20"/>
      <c r="E1712" s="20"/>
      <c r="F1712" s="20"/>
      <c r="G1712" s="20"/>
      <c r="H1712" s="20"/>
      <c r="I1712" s="21"/>
    </row>
    <row r="1713" customFormat="false" ht="15" hidden="false" customHeight="false" outlineLevel="0" collapsed="false">
      <c r="A1713" s="30"/>
      <c r="B1713" s="21"/>
      <c r="C1713" s="21" t="str">
        <f aca="false">IF(B1713="","",IFERROR(INDEX(代理店一覧!$B$5:$B$204,MATCH(B1713,代理店一覧!$A$5:$A$204,0)),"※未登録のID"))</f>
        <v/>
      </c>
      <c r="D1713" s="20"/>
      <c r="E1713" s="20"/>
      <c r="F1713" s="20"/>
      <c r="G1713" s="20"/>
      <c r="H1713" s="20"/>
      <c r="I1713" s="21"/>
    </row>
    <row r="1714" customFormat="false" ht="15" hidden="false" customHeight="false" outlineLevel="0" collapsed="false">
      <c r="A1714" s="30"/>
      <c r="B1714" s="21"/>
      <c r="C1714" s="21" t="str">
        <f aca="false">IF(B1714="","",IFERROR(INDEX(代理店一覧!$B$5:$B$204,MATCH(B1714,代理店一覧!$A$5:$A$204,0)),"※未登録のID"))</f>
        <v/>
      </c>
      <c r="D1714" s="20"/>
      <c r="E1714" s="20"/>
      <c r="F1714" s="20"/>
      <c r="G1714" s="20"/>
      <c r="H1714" s="20"/>
      <c r="I1714" s="21"/>
    </row>
    <row r="1715" customFormat="false" ht="15" hidden="false" customHeight="false" outlineLevel="0" collapsed="false">
      <c r="A1715" s="30"/>
      <c r="B1715" s="21"/>
      <c r="C1715" s="21" t="str">
        <f aca="false">IF(B1715="","",IFERROR(INDEX(代理店一覧!$B$5:$B$204,MATCH(B1715,代理店一覧!$A$5:$A$204,0)),"※未登録のID"))</f>
        <v/>
      </c>
      <c r="D1715" s="20"/>
      <c r="E1715" s="20"/>
      <c r="F1715" s="20"/>
      <c r="G1715" s="20"/>
      <c r="H1715" s="20"/>
      <c r="I1715" s="21"/>
    </row>
    <row r="1716" customFormat="false" ht="15" hidden="false" customHeight="false" outlineLevel="0" collapsed="false">
      <c r="A1716" s="30"/>
      <c r="B1716" s="21"/>
      <c r="C1716" s="21" t="str">
        <f aca="false">IF(B1716="","",IFERROR(INDEX(代理店一覧!$B$5:$B$204,MATCH(B1716,代理店一覧!$A$5:$A$204,0)),"※未登録のID"))</f>
        <v/>
      </c>
      <c r="D1716" s="20"/>
      <c r="E1716" s="20"/>
      <c r="F1716" s="20"/>
      <c r="G1716" s="20"/>
      <c r="H1716" s="20"/>
      <c r="I1716" s="21"/>
    </row>
    <row r="1717" customFormat="false" ht="15" hidden="false" customHeight="false" outlineLevel="0" collapsed="false">
      <c r="A1717" s="30"/>
      <c r="B1717" s="21"/>
      <c r="C1717" s="21" t="str">
        <f aca="false">IF(B1717="","",IFERROR(INDEX(代理店一覧!$B$5:$B$204,MATCH(B1717,代理店一覧!$A$5:$A$204,0)),"※未登録のID"))</f>
        <v/>
      </c>
      <c r="D1717" s="20"/>
      <c r="E1717" s="20"/>
      <c r="F1717" s="20"/>
      <c r="G1717" s="20"/>
      <c r="H1717" s="20"/>
      <c r="I1717" s="21"/>
    </row>
    <row r="1718" customFormat="false" ht="15" hidden="false" customHeight="false" outlineLevel="0" collapsed="false">
      <c r="A1718" s="30"/>
      <c r="B1718" s="21"/>
      <c r="C1718" s="21" t="str">
        <f aca="false">IF(B1718="","",IFERROR(INDEX(代理店一覧!$B$5:$B$204,MATCH(B1718,代理店一覧!$A$5:$A$204,0)),"※未登録のID"))</f>
        <v/>
      </c>
      <c r="D1718" s="20"/>
      <c r="E1718" s="20"/>
      <c r="F1718" s="20"/>
      <c r="G1718" s="20"/>
      <c r="H1718" s="20"/>
      <c r="I1718" s="21"/>
    </row>
    <row r="1719" customFormat="false" ht="15" hidden="false" customHeight="false" outlineLevel="0" collapsed="false">
      <c r="A1719" s="30"/>
      <c r="B1719" s="21"/>
      <c r="C1719" s="21" t="str">
        <f aca="false">IF(B1719="","",IFERROR(INDEX(代理店一覧!$B$5:$B$204,MATCH(B1719,代理店一覧!$A$5:$A$204,0)),"※未登録のID"))</f>
        <v/>
      </c>
      <c r="D1719" s="20"/>
      <c r="E1719" s="20"/>
      <c r="F1719" s="20"/>
      <c r="G1719" s="20"/>
      <c r="H1719" s="20"/>
      <c r="I1719" s="21"/>
    </row>
    <row r="1720" customFormat="false" ht="15" hidden="false" customHeight="false" outlineLevel="0" collapsed="false">
      <c r="A1720" s="30"/>
      <c r="B1720" s="21"/>
      <c r="C1720" s="21" t="str">
        <f aca="false">IF(B1720="","",IFERROR(INDEX(代理店一覧!$B$5:$B$204,MATCH(B1720,代理店一覧!$A$5:$A$204,0)),"※未登録のID"))</f>
        <v/>
      </c>
      <c r="D1720" s="20"/>
      <c r="E1720" s="20"/>
      <c r="F1720" s="20"/>
      <c r="G1720" s="20"/>
      <c r="H1720" s="20"/>
      <c r="I1720" s="21"/>
    </row>
    <row r="1721" customFormat="false" ht="15" hidden="false" customHeight="false" outlineLevel="0" collapsed="false">
      <c r="A1721" s="30"/>
      <c r="B1721" s="21"/>
      <c r="C1721" s="21" t="str">
        <f aca="false">IF(B1721="","",IFERROR(INDEX(代理店一覧!$B$5:$B$204,MATCH(B1721,代理店一覧!$A$5:$A$204,0)),"※未登録のID"))</f>
        <v/>
      </c>
      <c r="D1721" s="20"/>
      <c r="E1721" s="20"/>
      <c r="F1721" s="20"/>
      <c r="G1721" s="20"/>
      <c r="H1721" s="20"/>
      <c r="I1721" s="21"/>
    </row>
    <row r="1722" customFormat="false" ht="15" hidden="false" customHeight="false" outlineLevel="0" collapsed="false">
      <c r="A1722" s="30"/>
      <c r="B1722" s="21"/>
      <c r="C1722" s="21" t="str">
        <f aca="false">IF(B1722="","",IFERROR(INDEX(代理店一覧!$B$5:$B$204,MATCH(B1722,代理店一覧!$A$5:$A$204,0)),"※未登録のID"))</f>
        <v/>
      </c>
      <c r="D1722" s="20"/>
      <c r="E1722" s="20"/>
      <c r="F1722" s="20"/>
      <c r="G1722" s="20"/>
      <c r="H1722" s="20"/>
      <c r="I1722" s="21"/>
    </row>
    <row r="1723" customFormat="false" ht="15" hidden="false" customHeight="false" outlineLevel="0" collapsed="false">
      <c r="A1723" s="30"/>
      <c r="B1723" s="21"/>
      <c r="C1723" s="21" t="str">
        <f aca="false">IF(B1723="","",IFERROR(INDEX(代理店一覧!$B$5:$B$204,MATCH(B1723,代理店一覧!$A$5:$A$204,0)),"※未登録のID"))</f>
        <v/>
      </c>
      <c r="D1723" s="20"/>
      <c r="E1723" s="20"/>
      <c r="F1723" s="20"/>
      <c r="G1723" s="20"/>
      <c r="H1723" s="20"/>
      <c r="I1723" s="21"/>
    </row>
    <row r="1724" customFormat="false" ht="15" hidden="false" customHeight="false" outlineLevel="0" collapsed="false">
      <c r="A1724" s="30"/>
      <c r="B1724" s="21"/>
      <c r="C1724" s="21" t="str">
        <f aca="false">IF(B1724="","",IFERROR(INDEX(代理店一覧!$B$5:$B$204,MATCH(B1724,代理店一覧!$A$5:$A$204,0)),"※未登録のID"))</f>
        <v/>
      </c>
      <c r="D1724" s="20"/>
      <c r="E1724" s="20"/>
      <c r="F1724" s="20"/>
      <c r="G1724" s="20"/>
      <c r="H1724" s="20"/>
      <c r="I1724" s="21"/>
    </row>
    <row r="1725" customFormat="false" ht="15" hidden="false" customHeight="false" outlineLevel="0" collapsed="false">
      <c r="A1725" s="30"/>
      <c r="B1725" s="21"/>
      <c r="C1725" s="21" t="str">
        <f aca="false">IF(B1725="","",IFERROR(INDEX(代理店一覧!$B$5:$B$204,MATCH(B1725,代理店一覧!$A$5:$A$204,0)),"※未登録のID"))</f>
        <v/>
      </c>
      <c r="D1725" s="20"/>
      <c r="E1725" s="20"/>
      <c r="F1725" s="20"/>
      <c r="G1725" s="20"/>
      <c r="H1725" s="20"/>
      <c r="I1725" s="21"/>
    </row>
    <row r="1726" customFormat="false" ht="15" hidden="false" customHeight="false" outlineLevel="0" collapsed="false">
      <c r="A1726" s="30"/>
      <c r="B1726" s="21"/>
      <c r="C1726" s="21" t="str">
        <f aca="false">IF(B1726="","",IFERROR(INDEX(代理店一覧!$B$5:$B$204,MATCH(B1726,代理店一覧!$A$5:$A$204,0)),"※未登録のID"))</f>
        <v/>
      </c>
      <c r="D1726" s="20"/>
      <c r="E1726" s="20"/>
      <c r="F1726" s="20"/>
      <c r="G1726" s="20"/>
      <c r="H1726" s="20"/>
      <c r="I1726" s="21"/>
    </row>
    <row r="1727" customFormat="false" ht="15" hidden="false" customHeight="false" outlineLevel="0" collapsed="false">
      <c r="A1727" s="30"/>
      <c r="B1727" s="21"/>
      <c r="C1727" s="21" t="str">
        <f aca="false">IF(B1727="","",IFERROR(INDEX(代理店一覧!$B$5:$B$204,MATCH(B1727,代理店一覧!$A$5:$A$204,0)),"※未登録のID"))</f>
        <v/>
      </c>
      <c r="D1727" s="20"/>
      <c r="E1727" s="20"/>
      <c r="F1727" s="20"/>
      <c r="G1727" s="20"/>
      <c r="H1727" s="20"/>
      <c r="I1727" s="21"/>
    </row>
    <row r="1728" customFormat="false" ht="15" hidden="false" customHeight="false" outlineLevel="0" collapsed="false">
      <c r="A1728" s="30"/>
      <c r="B1728" s="21"/>
      <c r="C1728" s="21" t="str">
        <f aca="false">IF(B1728="","",IFERROR(INDEX(代理店一覧!$B$5:$B$204,MATCH(B1728,代理店一覧!$A$5:$A$204,0)),"※未登録のID"))</f>
        <v/>
      </c>
      <c r="D1728" s="20"/>
      <c r="E1728" s="20"/>
      <c r="F1728" s="20"/>
      <c r="G1728" s="20"/>
      <c r="H1728" s="20"/>
      <c r="I1728" s="21"/>
    </row>
    <row r="1729" customFormat="false" ht="15" hidden="false" customHeight="false" outlineLevel="0" collapsed="false">
      <c r="A1729" s="30"/>
      <c r="B1729" s="21"/>
      <c r="C1729" s="21" t="str">
        <f aca="false">IF(B1729="","",IFERROR(INDEX(代理店一覧!$B$5:$B$204,MATCH(B1729,代理店一覧!$A$5:$A$204,0)),"※未登録のID"))</f>
        <v/>
      </c>
      <c r="D1729" s="20"/>
      <c r="E1729" s="20"/>
      <c r="F1729" s="20"/>
      <c r="G1729" s="20"/>
      <c r="H1729" s="20"/>
      <c r="I1729" s="21"/>
    </row>
    <row r="1730" customFormat="false" ht="15" hidden="false" customHeight="false" outlineLevel="0" collapsed="false">
      <c r="A1730" s="30"/>
      <c r="B1730" s="21"/>
      <c r="C1730" s="21" t="str">
        <f aca="false">IF(B1730="","",IFERROR(INDEX(代理店一覧!$B$5:$B$204,MATCH(B1730,代理店一覧!$A$5:$A$204,0)),"※未登録のID"))</f>
        <v/>
      </c>
      <c r="D1730" s="20"/>
      <c r="E1730" s="20"/>
      <c r="F1730" s="20"/>
      <c r="G1730" s="20"/>
      <c r="H1730" s="20"/>
      <c r="I1730" s="21"/>
    </row>
    <row r="1731" customFormat="false" ht="15" hidden="false" customHeight="false" outlineLevel="0" collapsed="false">
      <c r="A1731" s="30"/>
      <c r="B1731" s="21"/>
      <c r="C1731" s="21" t="str">
        <f aca="false">IF(B1731="","",IFERROR(INDEX(代理店一覧!$B$5:$B$204,MATCH(B1731,代理店一覧!$A$5:$A$204,0)),"※未登録のID"))</f>
        <v/>
      </c>
      <c r="D1731" s="20"/>
      <c r="E1731" s="20"/>
      <c r="F1731" s="20"/>
      <c r="G1731" s="20"/>
      <c r="H1731" s="20"/>
      <c r="I1731" s="21"/>
    </row>
    <row r="1732" customFormat="false" ht="15" hidden="false" customHeight="false" outlineLevel="0" collapsed="false">
      <c r="A1732" s="30"/>
      <c r="B1732" s="21"/>
      <c r="C1732" s="21" t="str">
        <f aca="false">IF(B1732="","",IFERROR(INDEX(代理店一覧!$B$5:$B$204,MATCH(B1732,代理店一覧!$A$5:$A$204,0)),"※未登録のID"))</f>
        <v/>
      </c>
      <c r="D1732" s="20"/>
      <c r="E1732" s="20"/>
      <c r="F1732" s="20"/>
      <c r="G1732" s="20"/>
      <c r="H1732" s="20"/>
      <c r="I1732" s="21"/>
    </row>
    <row r="1733" customFormat="false" ht="15" hidden="false" customHeight="false" outlineLevel="0" collapsed="false">
      <c r="A1733" s="30"/>
      <c r="B1733" s="21"/>
      <c r="C1733" s="21" t="str">
        <f aca="false">IF(B1733="","",IFERROR(INDEX(代理店一覧!$B$5:$B$204,MATCH(B1733,代理店一覧!$A$5:$A$204,0)),"※未登録のID"))</f>
        <v/>
      </c>
      <c r="D1733" s="20"/>
      <c r="E1733" s="20"/>
      <c r="F1733" s="20"/>
      <c r="G1733" s="20"/>
      <c r="H1733" s="20"/>
      <c r="I1733" s="21"/>
    </row>
    <row r="1734" customFormat="false" ht="15" hidden="false" customHeight="false" outlineLevel="0" collapsed="false">
      <c r="A1734" s="30"/>
      <c r="B1734" s="21"/>
      <c r="C1734" s="21" t="str">
        <f aca="false">IF(B1734="","",IFERROR(INDEX(代理店一覧!$B$5:$B$204,MATCH(B1734,代理店一覧!$A$5:$A$204,0)),"※未登録のID"))</f>
        <v/>
      </c>
      <c r="D1734" s="20"/>
      <c r="E1734" s="20"/>
      <c r="F1734" s="20"/>
      <c r="G1734" s="20"/>
      <c r="H1734" s="20"/>
      <c r="I1734" s="21"/>
    </row>
    <row r="1735" customFormat="false" ht="15" hidden="false" customHeight="false" outlineLevel="0" collapsed="false">
      <c r="A1735" s="30"/>
      <c r="B1735" s="21"/>
      <c r="C1735" s="21" t="str">
        <f aca="false">IF(B1735="","",IFERROR(INDEX(代理店一覧!$B$5:$B$204,MATCH(B1735,代理店一覧!$A$5:$A$204,0)),"※未登録のID"))</f>
        <v/>
      </c>
      <c r="D1735" s="20"/>
      <c r="E1735" s="20"/>
      <c r="F1735" s="20"/>
      <c r="G1735" s="20"/>
      <c r="H1735" s="20"/>
      <c r="I1735" s="21"/>
    </row>
    <row r="1736" customFormat="false" ht="15" hidden="false" customHeight="false" outlineLevel="0" collapsed="false">
      <c r="A1736" s="30"/>
      <c r="B1736" s="21"/>
      <c r="C1736" s="21" t="str">
        <f aca="false">IF(B1736="","",IFERROR(INDEX(代理店一覧!$B$5:$B$204,MATCH(B1736,代理店一覧!$A$5:$A$204,0)),"※未登録のID"))</f>
        <v/>
      </c>
      <c r="D1736" s="20"/>
      <c r="E1736" s="20"/>
      <c r="F1736" s="20"/>
      <c r="G1736" s="20"/>
      <c r="H1736" s="20"/>
      <c r="I1736" s="21"/>
    </row>
    <row r="1737" customFormat="false" ht="15" hidden="false" customHeight="false" outlineLevel="0" collapsed="false">
      <c r="A1737" s="30"/>
      <c r="B1737" s="21"/>
      <c r="C1737" s="21" t="str">
        <f aca="false">IF(B1737="","",IFERROR(INDEX(代理店一覧!$B$5:$B$204,MATCH(B1737,代理店一覧!$A$5:$A$204,0)),"※未登録のID"))</f>
        <v/>
      </c>
      <c r="D1737" s="20"/>
      <c r="E1737" s="20"/>
      <c r="F1737" s="20"/>
      <c r="G1737" s="20"/>
      <c r="H1737" s="20"/>
      <c r="I1737" s="21"/>
    </row>
    <row r="1738" customFormat="false" ht="15" hidden="false" customHeight="false" outlineLevel="0" collapsed="false">
      <c r="A1738" s="30"/>
      <c r="B1738" s="21"/>
      <c r="C1738" s="21" t="str">
        <f aca="false">IF(B1738="","",IFERROR(INDEX(代理店一覧!$B$5:$B$204,MATCH(B1738,代理店一覧!$A$5:$A$204,0)),"※未登録のID"))</f>
        <v/>
      </c>
      <c r="D1738" s="20"/>
      <c r="E1738" s="20"/>
      <c r="F1738" s="20"/>
      <c r="G1738" s="20"/>
      <c r="H1738" s="20"/>
      <c r="I1738" s="21"/>
    </row>
    <row r="1739" customFormat="false" ht="15" hidden="false" customHeight="false" outlineLevel="0" collapsed="false">
      <c r="A1739" s="30"/>
      <c r="B1739" s="21"/>
      <c r="C1739" s="21" t="str">
        <f aca="false">IF(B1739="","",IFERROR(INDEX(代理店一覧!$B$5:$B$204,MATCH(B1739,代理店一覧!$A$5:$A$204,0)),"※未登録のID"))</f>
        <v/>
      </c>
      <c r="D1739" s="20"/>
      <c r="E1739" s="20"/>
      <c r="F1739" s="20"/>
      <c r="G1739" s="20"/>
      <c r="H1739" s="20"/>
      <c r="I1739" s="21"/>
    </row>
    <row r="1740" customFormat="false" ht="15" hidden="false" customHeight="false" outlineLevel="0" collapsed="false">
      <c r="A1740" s="30"/>
      <c r="B1740" s="21"/>
      <c r="C1740" s="21" t="str">
        <f aca="false">IF(B1740="","",IFERROR(INDEX(代理店一覧!$B$5:$B$204,MATCH(B1740,代理店一覧!$A$5:$A$204,0)),"※未登録のID"))</f>
        <v/>
      </c>
      <c r="D1740" s="20"/>
      <c r="E1740" s="20"/>
      <c r="F1740" s="20"/>
      <c r="G1740" s="20"/>
      <c r="H1740" s="20"/>
      <c r="I1740" s="21"/>
    </row>
    <row r="1741" customFormat="false" ht="15" hidden="false" customHeight="false" outlineLevel="0" collapsed="false">
      <c r="A1741" s="30"/>
      <c r="B1741" s="21"/>
      <c r="C1741" s="21" t="str">
        <f aca="false">IF(B1741="","",IFERROR(INDEX(代理店一覧!$B$5:$B$204,MATCH(B1741,代理店一覧!$A$5:$A$204,0)),"※未登録のID"))</f>
        <v/>
      </c>
      <c r="D1741" s="20"/>
      <c r="E1741" s="20"/>
      <c r="F1741" s="20"/>
      <c r="G1741" s="20"/>
      <c r="H1741" s="20"/>
      <c r="I1741" s="21"/>
    </row>
    <row r="1742" customFormat="false" ht="15" hidden="false" customHeight="false" outlineLevel="0" collapsed="false">
      <c r="A1742" s="30"/>
      <c r="B1742" s="21"/>
      <c r="C1742" s="21" t="str">
        <f aca="false">IF(B1742="","",IFERROR(INDEX(代理店一覧!$B$5:$B$204,MATCH(B1742,代理店一覧!$A$5:$A$204,0)),"※未登録のID"))</f>
        <v/>
      </c>
      <c r="D1742" s="20"/>
      <c r="E1742" s="20"/>
      <c r="F1742" s="20"/>
      <c r="G1742" s="20"/>
      <c r="H1742" s="20"/>
      <c r="I1742" s="21"/>
    </row>
    <row r="1743" customFormat="false" ht="15" hidden="false" customHeight="false" outlineLevel="0" collapsed="false">
      <c r="A1743" s="30"/>
      <c r="B1743" s="21"/>
      <c r="C1743" s="21" t="str">
        <f aca="false">IF(B1743="","",IFERROR(INDEX(代理店一覧!$B$5:$B$204,MATCH(B1743,代理店一覧!$A$5:$A$204,0)),"※未登録のID"))</f>
        <v/>
      </c>
      <c r="D1743" s="20"/>
      <c r="E1743" s="20"/>
      <c r="F1743" s="20"/>
      <c r="G1743" s="20"/>
      <c r="H1743" s="20"/>
      <c r="I1743" s="21"/>
    </row>
    <row r="1744" customFormat="false" ht="15" hidden="false" customHeight="false" outlineLevel="0" collapsed="false">
      <c r="A1744" s="30"/>
      <c r="B1744" s="21"/>
      <c r="C1744" s="21" t="str">
        <f aca="false">IF(B1744="","",IFERROR(INDEX(代理店一覧!$B$5:$B$204,MATCH(B1744,代理店一覧!$A$5:$A$204,0)),"※未登録のID"))</f>
        <v/>
      </c>
      <c r="D1744" s="20"/>
      <c r="E1744" s="20"/>
      <c r="F1744" s="20"/>
      <c r="G1744" s="20"/>
      <c r="H1744" s="20"/>
      <c r="I1744" s="21"/>
    </row>
    <row r="1745" customFormat="false" ht="15" hidden="false" customHeight="false" outlineLevel="0" collapsed="false">
      <c r="A1745" s="30"/>
      <c r="B1745" s="21"/>
      <c r="C1745" s="21" t="str">
        <f aca="false">IF(B1745="","",IFERROR(INDEX(代理店一覧!$B$5:$B$204,MATCH(B1745,代理店一覧!$A$5:$A$204,0)),"※未登録のID"))</f>
        <v/>
      </c>
      <c r="D1745" s="20"/>
      <c r="E1745" s="20"/>
      <c r="F1745" s="20"/>
      <c r="G1745" s="20"/>
      <c r="H1745" s="20"/>
      <c r="I1745" s="21"/>
    </row>
    <row r="1746" customFormat="false" ht="15" hidden="false" customHeight="false" outlineLevel="0" collapsed="false">
      <c r="A1746" s="30"/>
      <c r="B1746" s="21"/>
      <c r="C1746" s="21" t="str">
        <f aca="false">IF(B1746="","",IFERROR(INDEX(代理店一覧!$B$5:$B$204,MATCH(B1746,代理店一覧!$A$5:$A$204,0)),"※未登録のID"))</f>
        <v/>
      </c>
      <c r="D1746" s="20"/>
      <c r="E1746" s="20"/>
      <c r="F1746" s="20"/>
      <c r="G1746" s="20"/>
      <c r="H1746" s="20"/>
      <c r="I1746" s="21"/>
    </row>
    <row r="1747" customFormat="false" ht="15" hidden="false" customHeight="false" outlineLevel="0" collapsed="false">
      <c r="A1747" s="30"/>
      <c r="B1747" s="21"/>
      <c r="C1747" s="21" t="str">
        <f aca="false">IF(B1747="","",IFERROR(INDEX(代理店一覧!$B$5:$B$204,MATCH(B1747,代理店一覧!$A$5:$A$204,0)),"※未登録のID"))</f>
        <v/>
      </c>
      <c r="D1747" s="20"/>
      <c r="E1747" s="20"/>
      <c r="F1747" s="20"/>
      <c r="G1747" s="20"/>
      <c r="H1747" s="20"/>
      <c r="I1747" s="21"/>
    </row>
    <row r="1748" customFormat="false" ht="15" hidden="false" customHeight="false" outlineLevel="0" collapsed="false">
      <c r="A1748" s="30"/>
      <c r="B1748" s="21"/>
      <c r="C1748" s="21" t="str">
        <f aca="false">IF(B1748="","",IFERROR(INDEX(代理店一覧!$B$5:$B$204,MATCH(B1748,代理店一覧!$A$5:$A$204,0)),"※未登録のID"))</f>
        <v/>
      </c>
      <c r="D1748" s="20"/>
      <c r="E1748" s="20"/>
      <c r="F1748" s="20"/>
      <c r="G1748" s="20"/>
      <c r="H1748" s="20"/>
      <c r="I1748" s="21"/>
    </row>
    <row r="1749" customFormat="false" ht="15" hidden="false" customHeight="false" outlineLevel="0" collapsed="false">
      <c r="A1749" s="30"/>
      <c r="B1749" s="21"/>
      <c r="C1749" s="21" t="str">
        <f aca="false">IF(B1749="","",IFERROR(INDEX(代理店一覧!$B$5:$B$204,MATCH(B1749,代理店一覧!$A$5:$A$204,0)),"※未登録のID"))</f>
        <v/>
      </c>
      <c r="D1749" s="20"/>
      <c r="E1749" s="20"/>
      <c r="F1749" s="20"/>
      <c r="G1749" s="20"/>
      <c r="H1749" s="20"/>
      <c r="I1749" s="21"/>
    </row>
    <row r="1750" customFormat="false" ht="15" hidden="false" customHeight="false" outlineLevel="0" collapsed="false">
      <c r="A1750" s="30"/>
      <c r="B1750" s="21"/>
      <c r="C1750" s="21" t="str">
        <f aca="false">IF(B1750="","",IFERROR(INDEX(代理店一覧!$B$5:$B$204,MATCH(B1750,代理店一覧!$A$5:$A$204,0)),"※未登録のID"))</f>
        <v/>
      </c>
      <c r="D1750" s="20"/>
      <c r="E1750" s="20"/>
      <c r="F1750" s="20"/>
      <c r="G1750" s="20"/>
      <c r="H1750" s="20"/>
      <c r="I1750" s="21"/>
    </row>
    <row r="1751" customFormat="false" ht="15" hidden="false" customHeight="false" outlineLevel="0" collapsed="false">
      <c r="A1751" s="30"/>
      <c r="B1751" s="21"/>
      <c r="C1751" s="21" t="str">
        <f aca="false">IF(B1751="","",IFERROR(INDEX(代理店一覧!$B$5:$B$204,MATCH(B1751,代理店一覧!$A$5:$A$204,0)),"※未登録のID"))</f>
        <v/>
      </c>
      <c r="D1751" s="20"/>
      <c r="E1751" s="20"/>
      <c r="F1751" s="20"/>
      <c r="G1751" s="20"/>
      <c r="H1751" s="20"/>
      <c r="I1751" s="21"/>
    </row>
    <row r="1752" customFormat="false" ht="15" hidden="false" customHeight="false" outlineLevel="0" collapsed="false">
      <c r="A1752" s="30"/>
      <c r="B1752" s="21"/>
      <c r="C1752" s="21" t="str">
        <f aca="false">IF(B1752="","",IFERROR(INDEX(代理店一覧!$B$5:$B$204,MATCH(B1752,代理店一覧!$A$5:$A$204,0)),"※未登録のID"))</f>
        <v/>
      </c>
      <c r="D1752" s="20"/>
      <c r="E1752" s="20"/>
      <c r="F1752" s="20"/>
      <c r="G1752" s="20"/>
      <c r="H1752" s="20"/>
      <c r="I1752" s="21"/>
    </row>
    <row r="1753" customFormat="false" ht="15" hidden="false" customHeight="false" outlineLevel="0" collapsed="false">
      <c r="A1753" s="30"/>
      <c r="B1753" s="21"/>
      <c r="C1753" s="21" t="str">
        <f aca="false">IF(B1753="","",IFERROR(INDEX(代理店一覧!$B$5:$B$204,MATCH(B1753,代理店一覧!$A$5:$A$204,0)),"※未登録のID"))</f>
        <v/>
      </c>
      <c r="D1753" s="20"/>
      <c r="E1753" s="20"/>
      <c r="F1753" s="20"/>
      <c r="G1753" s="20"/>
      <c r="H1753" s="20"/>
      <c r="I1753" s="21"/>
    </row>
    <row r="1754" customFormat="false" ht="15" hidden="false" customHeight="false" outlineLevel="0" collapsed="false">
      <c r="A1754" s="30"/>
      <c r="B1754" s="21"/>
      <c r="C1754" s="21" t="str">
        <f aca="false">IF(B1754="","",IFERROR(INDEX(代理店一覧!$B$5:$B$204,MATCH(B1754,代理店一覧!$A$5:$A$204,0)),"※未登録のID"))</f>
        <v/>
      </c>
      <c r="D1754" s="20"/>
      <c r="E1754" s="20"/>
      <c r="F1754" s="20"/>
      <c r="G1754" s="20"/>
      <c r="H1754" s="20"/>
      <c r="I1754" s="21"/>
    </row>
    <row r="1755" customFormat="false" ht="15" hidden="false" customHeight="false" outlineLevel="0" collapsed="false">
      <c r="A1755" s="30"/>
      <c r="B1755" s="21"/>
      <c r="C1755" s="21" t="str">
        <f aca="false">IF(B1755="","",IFERROR(INDEX(代理店一覧!$B$5:$B$204,MATCH(B1755,代理店一覧!$A$5:$A$204,0)),"※未登録のID"))</f>
        <v/>
      </c>
      <c r="D1755" s="20"/>
      <c r="E1755" s="20"/>
      <c r="F1755" s="20"/>
      <c r="G1755" s="20"/>
      <c r="H1755" s="20"/>
      <c r="I1755" s="21"/>
    </row>
    <row r="1756" customFormat="false" ht="15" hidden="false" customHeight="false" outlineLevel="0" collapsed="false">
      <c r="A1756" s="30"/>
      <c r="B1756" s="21"/>
      <c r="C1756" s="21" t="str">
        <f aca="false">IF(B1756="","",IFERROR(INDEX(代理店一覧!$B$5:$B$204,MATCH(B1756,代理店一覧!$A$5:$A$204,0)),"※未登録のID"))</f>
        <v/>
      </c>
      <c r="D1756" s="20"/>
      <c r="E1756" s="20"/>
      <c r="F1756" s="20"/>
      <c r="G1756" s="20"/>
      <c r="H1756" s="20"/>
      <c r="I1756" s="21"/>
    </row>
    <row r="1757" customFormat="false" ht="15" hidden="false" customHeight="false" outlineLevel="0" collapsed="false">
      <c r="A1757" s="30"/>
      <c r="B1757" s="21"/>
      <c r="C1757" s="21" t="str">
        <f aca="false">IF(B1757="","",IFERROR(INDEX(代理店一覧!$B$5:$B$204,MATCH(B1757,代理店一覧!$A$5:$A$204,0)),"※未登録のID"))</f>
        <v/>
      </c>
      <c r="D1757" s="20"/>
      <c r="E1757" s="20"/>
      <c r="F1757" s="20"/>
      <c r="G1757" s="20"/>
      <c r="H1757" s="20"/>
      <c r="I1757" s="21"/>
    </row>
    <row r="1758" customFormat="false" ht="15" hidden="false" customHeight="false" outlineLevel="0" collapsed="false">
      <c r="A1758" s="30"/>
      <c r="B1758" s="21"/>
      <c r="C1758" s="21" t="str">
        <f aca="false">IF(B1758="","",IFERROR(INDEX(代理店一覧!$B$5:$B$204,MATCH(B1758,代理店一覧!$A$5:$A$204,0)),"※未登録のID"))</f>
        <v/>
      </c>
      <c r="D1758" s="20"/>
      <c r="E1758" s="20"/>
      <c r="F1758" s="20"/>
      <c r="G1758" s="20"/>
      <c r="H1758" s="20"/>
      <c r="I1758" s="21"/>
    </row>
    <row r="1759" customFormat="false" ht="15" hidden="false" customHeight="false" outlineLevel="0" collapsed="false">
      <c r="A1759" s="30"/>
      <c r="B1759" s="21"/>
      <c r="C1759" s="21" t="str">
        <f aca="false">IF(B1759="","",IFERROR(INDEX(代理店一覧!$B$5:$B$204,MATCH(B1759,代理店一覧!$A$5:$A$204,0)),"※未登録のID"))</f>
        <v/>
      </c>
      <c r="D1759" s="20"/>
      <c r="E1759" s="20"/>
      <c r="F1759" s="20"/>
      <c r="G1759" s="20"/>
      <c r="H1759" s="20"/>
      <c r="I1759" s="21"/>
    </row>
    <row r="1760" customFormat="false" ht="15" hidden="false" customHeight="false" outlineLevel="0" collapsed="false">
      <c r="A1760" s="30"/>
      <c r="B1760" s="21"/>
      <c r="C1760" s="21" t="str">
        <f aca="false">IF(B1760="","",IFERROR(INDEX(代理店一覧!$B$5:$B$204,MATCH(B1760,代理店一覧!$A$5:$A$204,0)),"※未登録のID"))</f>
        <v/>
      </c>
      <c r="D1760" s="20"/>
      <c r="E1760" s="20"/>
      <c r="F1760" s="20"/>
      <c r="G1760" s="20"/>
      <c r="H1760" s="20"/>
      <c r="I1760" s="21"/>
    </row>
    <row r="1761" customFormat="false" ht="15" hidden="false" customHeight="false" outlineLevel="0" collapsed="false">
      <c r="A1761" s="30"/>
      <c r="B1761" s="21"/>
      <c r="C1761" s="21" t="str">
        <f aca="false">IF(B1761="","",IFERROR(INDEX(代理店一覧!$B$5:$B$204,MATCH(B1761,代理店一覧!$A$5:$A$204,0)),"※未登録のID"))</f>
        <v/>
      </c>
      <c r="D1761" s="20"/>
      <c r="E1761" s="20"/>
      <c r="F1761" s="20"/>
      <c r="G1761" s="20"/>
      <c r="H1761" s="20"/>
      <c r="I1761" s="21"/>
    </row>
    <row r="1762" customFormat="false" ht="15" hidden="false" customHeight="false" outlineLevel="0" collapsed="false">
      <c r="A1762" s="30"/>
      <c r="B1762" s="21"/>
      <c r="C1762" s="21" t="str">
        <f aca="false">IF(B1762="","",IFERROR(INDEX(代理店一覧!$B$5:$B$204,MATCH(B1762,代理店一覧!$A$5:$A$204,0)),"※未登録のID"))</f>
        <v/>
      </c>
      <c r="D1762" s="20"/>
      <c r="E1762" s="20"/>
      <c r="F1762" s="20"/>
      <c r="G1762" s="20"/>
      <c r="H1762" s="20"/>
      <c r="I1762" s="21"/>
    </row>
    <row r="1763" customFormat="false" ht="15" hidden="false" customHeight="false" outlineLevel="0" collapsed="false">
      <c r="A1763" s="30"/>
      <c r="B1763" s="21"/>
      <c r="C1763" s="21" t="str">
        <f aca="false">IF(B1763="","",IFERROR(INDEX(代理店一覧!$B$5:$B$204,MATCH(B1763,代理店一覧!$A$5:$A$204,0)),"※未登録のID"))</f>
        <v/>
      </c>
      <c r="D1763" s="20"/>
      <c r="E1763" s="20"/>
      <c r="F1763" s="20"/>
      <c r="G1763" s="20"/>
      <c r="H1763" s="20"/>
      <c r="I1763" s="21"/>
    </row>
    <row r="1764" customFormat="false" ht="15" hidden="false" customHeight="false" outlineLevel="0" collapsed="false">
      <c r="A1764" s="30"/>
      <c r="B1764" s="21"/>
      <c r="C1764" s="21" t="str">
        <f aca="false">IF(B1764="","",IFERROR(INDEX(代理店一覧!$B$5:$B$204,MATCH(B1764,代理店一覧!$A$5:$A$204,0)),"※未登録のID"))</f>
        <v/>
      </c>
      <c r="D1764" s="20"/>
      <c r="E1764" s="20"/>
      <c r="F1764" s="20"/>
      <c r="G1764" s="20"/>
      <c r="H1764" s="20"/>
      <c r="I1764" s="21"/>
    </row>
    <row r="1765" customFormat="false" ht="15" hidden="false" customHeight="false" outlineLevel="0" collapsed="false">
      <c r="A1765" s="30"/>
      <c r="B1765" s="21"/>
      <c r="C1765" s="21" t="str">
        <f aca="false">IF(B1765="","",IFERROR(INDEX(代理店一覧!$B$5:$B$204,MATCH(B1765,代理店一覧!$A$5:$A$204,0)),"※未登録のID"))</f>
        <v/>
      </c>
      <c r="D1765" s="20"/>
      <c r="E1765" s="20"/>
      <c r="F1765" s="20"/>
      <c r="G1765" s="20"/>
      <c r="H1765" s="20"/>
      <c r="I1765" s="21"/>
    </row>
    <row r="1766" customFormat="false" ht="15" hidden="false" customHeight="false" outlineLevel="0" collapsed="false">
      <c r="A1766" s="30"/>
      <c r="B1766" s="21"/>
      <c r="C1766" s="21" t="str">
        <f aca="false">IF(B1766="","",IFERROR(INDEX(代理店一覧!$B$5:$B$204,MATCH(B1766,代理店一覧!$A$5:$A$204,0)),"※未登録のID"))</f>
        <v/>
      </c>
      <c r="D1766" s="20"/>
      <c r="E1766" s="20"/>
      <c r="F1766" s="20"/>
      <c r="G1766" s="20"/>
      <c r="H1766" s="20"/>
      <c r="I1766" s="21"/>
    </row>
    <row r="1767" customFormat="false" ht="15" hidden="false" customHeight="false" outlineLevel="0" collapsed="false">
      <c r="A1767" s="30"/>
      <c r="B1767" s="21"/>
      <c r="C1767" s="21" t="str">
        <f aca="false">IF(B1767="","",IFERROR(INDEX(代理店一覧!$B$5:$B$204,MATCH(B1767,代理店一覧!$A$5:$A$204,0)),"※未登録のID"))</f>
        <v/>
      </c>
      <c r="D1767" s="20"/>
      <c r="E1767" s="20"/>
      <c r="F1767" s="20"/>
      <c r="G1767" s="20"/>
      <c r="H1767" s="20"/>
      <c r="I1767" s="21"/>
    </row>
    <row r="1768" customFormat="false" ht="15" hidden="false" customHeight="false" outlineLevel="0" collapsed="false">
      <c r="A1768" s="30"/>
      <c r="B1768" s="21"/>
      <c r="C1768" s="21" t="str">
        <f aca="false">IF(B1768="","",IFERROR(INDEX(代理店一覧!$B$5:$B$204,MATCH(B1768,代理店一覧!$A$5:$A$204,0)),"※未登録のID"))</f>
        <v/>
      </c>
      <c r="D1768" s="20"/>
      <c r="E1768" s="20"/>
      <c r="F1768" s="20"/>
      <c r="G1768" s="20"/>
      <c r="H1768" s="20"/>
      <c r="I1768" s="21"/>
    </row>
    <row r="1769" customFormat="false" ht="15" hidden="false" customHeight="false" outlineLevel="0" collapsed="false">
      <c r="A1769" s="30"/>
      <c r="B1769" s="21"/>
      <c r="C1769" s="21" t="str">
        <f aca="false">IF(B1769="","",IFERROR(INDEX(代理店一覧!$B$5:$B$204,MATCH(B1769,代理店一覧!$A$5:$A$204,0)),"※未登録のID"))</f>
        <v/>
      </c>
      <c r="D1769" s="20"/>
      <c r="E1769" s="20"/>
      <c r="F1769" s="20"/>
      <c r="G1769" s="20"/>
      <c r="H1769" s="20"/>
      <c r="I1769" s="21"/>
    </row>
    <row r="1770" customFormat="false" ht="15" hidden="false" customHeight="false" outlineLevel="0" collapsed="false">
      <c r="A1770" s="30"/>
      <c r="B1770" s="21"/>
      <c r="C1770" s="21" t="str">
        <f aca="false">IF(B1770="","",IFERROR(INDEX(代理店一覧!$B$5:$B$204,MATCH(B1770,代理店一覧!$A$5:$A$204,0)),"※未登録のID"))</f>
        <v/>
      </c>
      <c r="D1770" s="20"/>
      <c r="E1770" s="20"/>
      <c r="F1770" s="20"/>
      <c r="G1770" s="20"/>
      <c r="H1770" s="20"/>
      <c r="I1770" s="21"/>
    </row>
    <row r="1771" customFormat="false" ht="15" hidden="false" customHeight="false" outlineLevel="0" collapsed="false">
      <c r="A1771" s="30"/>
      <c r="B1771" s="21"/>
      <c r="C1771" s="21" t="str">
        <f aca="false">IF(B1771="","",IFERROR(INDEX(代理店一覧!$B$5:$B$204,MATCH(B1771,代理店一覧!$A$5:$A$204,0)),"※未登録のID"))</f>
        <v/>
      </c>
      <c r="D1771" s="20"/>
      <c r="E1771" s="20"/>
      <c r="F1771" s="20"/>
      <c r="G1771" s="20"/>
      <c r="H1771" s="20"/>
      <c r="I1771" s="21"/>
    </row>
    <row r="1772" customFormat="false" ht="15" hidden="false" customHeight="false" outlineLevel="0" collapsed="false">
      <c r="A1772" s="30"/>
      <c r="B1772" s="21"/>
      <c r="C1772" s="21" t="str">
        <f aca="false">IF(B1772="","",IFERROR(INDEX(代理店一覧!$B$5:$B$204,MATCH(B1772,代理店一覧!$A$5:$A$204,0)),"※未登録のID"))</f>
        <v/>
      </c>
      <c r="D1772" s="20"/>
      <c r="E1772" s="20"/>
      <c r="F1772" s="20"/>
      <c r="G1772" s="20"/>
      <c r="H1772" s="20"/>
      <c r="I1772" s="21"/>
    </row>
    <row r="1773" customFormat="false" ht="15" hidden="false" customHeight="false" outlineLevel="0" collapsed="false">
      <c r="A1773" s="30"/>
      <c r="B1773" s="21"/>
      <c r="C1773" s="21" t="str">
        <f aca="false">IF(B1773="","",IFERROR(INDEX(代理店一覧!$B$5:$B$204,MATCH(B1773,代理店一覧!$A$5:$A$204,0)),"※未登録のID"))</f>
        <v/>
      </c>
      <c r="D1773" s="20"/>
      <c r="E1773" s="20"/>
      <c r="F1773" s="20"/>
      <c r="G1773" s="20"/>
      <c r="H1773" s="20"/>
      <c r="I1773" s="21"/>
    </row>
    <row r="1774" customFormat="false" ht="15" hidden="false" customHeight="false" outlineLevel="0" collapsed="false">
      <c r="A1774" s="30"/>
      <c r="B1774" s="21"/>
      <c r="C1774" s="21" t="str">
        <f aca="false">IF(B1774="","",IFERROR(INDEX(代理店一覧!$B$5:$B$204,MATCH(B1774,代理店一覧!$A$5:$A$204,0)),"※未登録のID"))</f>
        <v/>
      </c>
      <c r="D1774" s="20"/>
      <c r="E1774" s="20"/>
      <c r="F1774" s="20"/>
      <c r="G1774" s="20"/>
      <c r="H1774" s="20"/>
      <c r="I1774" s="21"/>
    </row>
    <row r="1775" customFormat="false" ht="15" hidden="false" customHeight="false" outlineLevel="0" collapsed="false">
      <c r="A1775" s="30"/>
      <c r="B1775" s="21"/>
      <c r="C1775" s="21" t="str">
        <f aca="false">IF(B1775="","",IFERROR(INDEX(代理店一覧!$B$5:$B$204,MATCH(B1775,代理店一覧!$A$5:$A$204,0)),"※未登録のID"))</f>
        <v/>
      </c>
      <c r="D1775" s="20"/>
      <c r="E1775" s="20"/>
      <c r="F1775" s="20"/>
      <c r="G1775" s="20"/>
      <c r="H1775" s="20"/>
      <c r="I1775" s="21"/>
    </row>
    <row r="1776" customFormat="false" ht="15" hidden="false" customHeight="false" outlineLevel="0" collapsed="false">
      <c r="A1776" s="30"/>
      <c r="B1776" s="21"/>
      <c r="C1776" s="21" t="str">
        <f aca="false">IF(B1776="","",IFERROR(INDEX(代理店一覧!$B$5:$B$204,MATCH(B1776,代理店一覧!$A$5:$A$204,0)),"※未登録のID"))</f>
        <v/>
      </c>
      <c r="D1776" s="20"/>
      <c r="E1776" s="20"/>
      <c r="F1776" s="20"/>
      <c r="G1776" s="20"/>
      <c r="H1776" s="20"/>
      <c r="I1776" s="21"/>
    </row>
    <row r="1777" customFormat="false" ht="15" hidden="false" customHeight="false" outlineLevel="0" collapsed="false">
      <c r="A1777" s="30"/>
      <c r="B1777" s="21"/>
      <c r="C1777" s="21" t="str">
        <f aca="false">IF(B1777="","",IFERROR(INDEX(代理店一覧!$B$5:$B$204,MATCH(B1777,代理店一覧!$A$5:$A$204,0)),"※未登録のID"))</f>
        <v/>
      </c>
      <c r="D1777" s="20"/>
      <c r="E1777" s="20"/>
      <c r="F1777" s="20"/>
      <c r="G1777" s="20"/>
      <c r="H1777" s="20"/>
      <c r="I1777" s="21"/>
    </row>
    <row r="1778" customFormat="false" ht="15" hidden="false" customHeight="false" outlineLevel="0" collapsed="false">
      <c r="A1778" s="30"/>
      <c r="B1778" s="21"/>
      <c r="C1778" s="21" t="str">
        <f aca="false">IF(B1778="","",IFERROR(INDEX(代理店一覧!$B$5:$B$204,MATCH(B1778,代理店一覧!$A$5:$A$204,0)),"※未登録のID"))</f>
        <v/>
      </c>
      <c r="D1778" s="20"/>
      <c r="E1778" s="20"/>
      <c r="F1778" s="20"/>
      <c r="G1778" s="20"/>
      <c r="H1778" s="20"/>
      <c r="I1778" s="21"/>
    </row>
    <row r="1779" customFormat="false" ht="15" hidden="false" customHeight="false" outlineLevel="0" collapsed="false">
      <c r="A1779" s="30"/>
      <c r="B1779" s="21"/>
      <c r="C1779" s="21" t="str">
        <f aca="false">IF(B1779="","",IFERROR(INDEX(代理店一覧!$B$5:$B$204,MATCH(B1779,代理店一覧!$A$5:$A$204,0)),"※未登録のID"))</f>
        <v/>
      </c>
      <c r="D1779" s="20"/>
      <c r="E1779" s="20"/>
      <c r="F1779" s="20"/>
      <c r="G1779" s="20"/>
      <c r="H1779" s="20"/>
      <c r="I1779" s="21"/>
    </row>
    <row r="1780" customFormat="false" ht="15" hidden="false" customHeight="false" outlineLevel="0" collapsed="false">
      <c r="A1780" s="30"/>
      <c r="B1780" s="21"/>
      <c r="C1780" s="21" t="str">
        <f aca="false">IF(B1780="","",IFERROR(INDEX(代理店一覧!$B$5:$B$204,MATCH(B1780,代理店一覧!$A$5:$A$204,0)),"※未登録のID"))</f>
        <v/>
      </c>
      <c r="D1780" s="20"/>
      <c r="E1780" s="20"/>
      <c r="F1780" s="20"/>
      <c r="G1780" s="20"/>
      <c r="H1780" s="20"/>
      <c r="I1780" s="21"/>
    </row>
    <row r="1781" customFormat="false" ht="15" hidden="false" customHeight="false" outlineLevel="0" collapsed="false">
      <c r="A1781" s="30"/>
      <c r="B1781" s="21"/>
      <c r="C1781" s="21" t="str">
        <f aca="false">IF(B1781="","",IFERROR(INDEX(代理店一覧!$B$5:$B$204,MATCH(B1781,代理店一覧!$A$5:$A$204,0)),"※未登録のID"))</f>
        <v/>
      </c>
      <c r="D1781" s="20"/>
      <c r="E1781" s="20"/>
      <c r="F1781" s="20"/>
      <c r="G1781" s="20"/>
      <c r="H1781" s="20"/>
      <c r="I1781" s="21"/>
    </row>
    <row r="1782" customFormat="false" ht="15" hidden="false" customHeight="false" outlineLevel="0" collapsed="false">
      <c r="A1782" s="30"/>
      <c r="B1782" s="21"/>
      <c r="C1782" s="21" t="str">
        <f aca="false">IF(B1782="","",IFERROR(INDEX(代理店一覧!$B$5:$B$204,MATCH(B1782,代理店一覧!$A$5:$A$204,0)),"※未登録のID"))</f>
        <v/>
      </c>
      <c r="D1782" s="20"/>
      <c r="E1782" s="20"/>
      <c r="F1782" s="20"/>
      <c r="G1782" s="20"/>
      <c r="H1782" s="20"/>
      <c r="I1782" s="21"/>
    </row>
    <row r="1783" customFormat="false" ht="15" hidden="false" customHeight="false" outlineLevel="0" collapsed="false">
      <c r="A1783" s="30"/>
      <c r="B1783" s="21"/>
      <c r="C1783" s="21" t="str">
        <f aca="false">IF(B1783="","",IFERROR(INDEX(代理店一覧!$B$5:$B$204,MATCH(B1783,代理店一覧!$A$5:$A$204,0)),"※未登録のID"))</f>
        <v/>
      </c>
      <c r="D1783" s="20"/>
      <c r="E1783" s="20"/>
      <c r="F1783" s="20"/>
      <c r="G1783" s="20"/>
      <c r="H1783" s="20"/>
      <c r="I1783" s="21"/>
    </row>
    <row r="1784" customFormat="false" ht="15" hidden="false" customHeight="false" outlineLevel="0" collapsed="false">
      <c r="A1784" s="30"/>
      <c r="B1784" s="21"/>
      <c r="C1784" s="21" t="str">
        <f aca="false">IF(B1784="","",IFERROR(INDEX(代理店一覧!$B$5:$B$204,MATCH(B1784,代理店一覧!$A$5:$A$204,0)),"※未登録のID"))</f>
        <v/>
      </c>
      <c r="D1784" s="20"/>
      <c r="E1784" s="20"/>
      <c r="F1784" s="20"/>
      <c r="G1784" s="20"/>
      <c r="H1784" s="20"/>
      <c r="I1784" s="21"/>
    </row>
    <row r="1785" customFormat="false" ht="15" hidden="false" customHeight="false" outlineLevel="0" collapsed="false">
      <c r="A1785" s="30"/>
      <c r="B1785" s="21"/>
      <c r="C1785" s="21" t="str">
        <f aca="false">IF(B1785="","",IFERROR(INDEX(代理店一覧!$B$5:$B$204,MATCH(B1785,代理店一覧!$A$5:$A$204,0)),"※未登録のID"))</f>
        <v/>
      </c>
      <c r="D1785" s="20"/>
      <c r="E1785" s="20"/>
      <c r="F1785" s="20"/>
      <c r="G1785" s="20"/>
      <c r="H1785" s="20"/>
      <c r="I1785" s="21"/>
    </row>
    <row r="1786" customFormat="false" ht="15" hidden="false" customHeight="false" outlineLevel="0" collapsed="false">
      <c r="A1786" s="30"/>
      <c r="B1786" s="21"/>
      <c r="C1786" s="21" t="str">
        <f aca="false">IF(B1786="","",IFERROR(INDEX(代理店一覧!$B$5:$B$204,MATCH(B1786,代理店一覧!$A$5:$A$204,0)),"※未登録のID"))</f>
        <v/>
      </c>
      <c r="D1786" s="20"/>
      <c r="E1786" s="20"/>
      <c r="F1786" s="20"/>
      <c r="G1786" s="20"/>
      <c r="H1786" s="20"/>
      <c r="I1786" s="21"/>
    </row>
    <row r="1787" customFormat="false" ht="15" hidden="false" customHeight="false" outlineLevel="0" collapsed="false">
      <c r="A1787" s="30"/>
      <c r="B1787" s="21"/>
      <c r="C1787" s="21" t="str">
        <f aca="false">IF(B1787="","",IFERROR(INDEX(代理店一覧!$B$5:$B$204,MATCH(B1787,代理店一覧!$A$5:$A$204,0)),"※未登録のID"))</f>
        <v/>
      </c>
      <c r="D1787" s="20"/>
      <c r="E1787" s="20"/>
      <c r="F1787" s="20"/>
      <c r="G1787" s="20"/>
      <c r="H1787" s="20"/>
      <c r="I1787" s="21"/>
    </row>
    <row r="1788" customFormat="false" ht="15" hidden="false" customHeight="false" outlineLevel="0" collapsed="false">
      <c r="A1788" s="30"/>
      <c r="B1788" s="21"/>
      <c r="C1788" s="21" t="str">
        <f aca="false">IF(B1788="","",IFERROR(INDEX(代理店一覧!$B$5:$B$204,MATCH(B1788,代理店一覧!$A$5:$A$204,0)),"※未登録のID"))</f>
        <v/>
      </c>
      <c r="D1788" s="20"/>
      <c r="E1788" s="20"/>
      <c r="F1788" s="20"/>
      <c r="G1788" s="20"/>
      <c r="H1788" s="20"/>
      <c r="I1788" s="21"/>
    </row>
    <row r="1789" customFormat="false" ht="15" hidden="false" customHeight="false" outlineLevel="0" collapsed="false">
      <c r="A1789" s="30"/>
      <c r="B1789" s="21"/>
      <c r="C1789" s="21" t="str">
        <f aca="false">IF(B1789="","",IFERROR(INDEX(代理店一覧!$B$5:$B$204,MATCH(B1789,代理店一覧!$A$5:$A$204,0)),"※未登録のID"))</f>
        <v/>
      </c>
      <c r="D1789" s="20"/>
      <c r="E1789" s="20"/>
      <c r="F1789" s="20"/>
      <c r="G1789" s="20"/>
      <c r="H1789" s="20"/>
      <c r="I1789" s="21"/>
    </row>
    <row r="1790" customFormat="false" ht="15" hidden="false" customHeight="false" outlineLevel="0" collapsed="false">
      <c r="A1790" s="30"/>
      <c r="B1790" s="21"/>
      <c r="C1790" s="21" t="str">
        <f aca="false">IF(B1790="","",IFERROR(INDEX(代理店一覧!$B$5:$B$204,MATCH(B1790,代理店一覧!$A$5:$A$204,0)),"※未登録のID"))</f>
        <v/>
      </c>
      <c r="D1790" s="20"/>
      <c r="E1790" s="20"/>
      <c r="F1790" s="20"/>
      <c r="G1790" s="20"/>
      <c r="H1790" s="20"/>
      <c r="I1790" s="21"/>
    </row>
    <row r="1791" customFormat="false" ht="15" hidden="false" customHeight="false" outlineLevel="0" collapsed="false">
      <c r="A1791" s="30"/>
      <c r="B1791" s="21"/>
      <c r="C1791" s="21" t="str">
        <f aca="false">IF(B1791="","",IFERROR(INDEX(代理店一覧!$B$5:$B$204,MATCH(B1791,代理店一覧!$A$5:$A$204,0)),"※未登録のID"))</f>
        <v/>
      </c>
      <c r="D1791" s="20"/>
      <c r="E1791" s="20"/>
      <c r="F1791" s="20"/>
      <c r="G1791" s="20"/>
      <c r="H1791" s="20"/>
      <c r="I1791" s="21"/>
    </row>
    <row r="1792" customFormat="false" ht="15" hidden="false" customHeight="false" outlineLevel="0" collapsed="false">
      <c r="A1792" s="30"/>
      <c r="B1792" s="21"/>
      <c r="C1792" s="21" t="str">
        <f aca="false">IF(B1792="","",IFERROR(INDEX(代理店一覧!$B$5:$B$204,MATCH(B1792,代理店一覧!$A$5:$A$204,0)),"※未登録のID"))</f>
        <v/>
      </c>
      <c r="D1792" s="20"/>
      <c r="E1792" s="20"/>
      <c r="F1792" s="20"/>
      <c r="G1792" s="20"/>
      <c r="H1792" s="20"/>
      <c r="I1792" s="21"/>
    </row>
    <row r="1793" customFormat="false" ht="15" hidden="false" customHeight="false" outlineLevel="0" collapsed="false">
      <c r="A1793" s="30"/>
      <c r="B1793" s="21"/>
      <c r="C1793" s="21" t="str">
        <f aca="false">IF(B1793="","",IFERROR(INDEX(代理店一覧!$B$5:$B$204,MATCH(B1793,代理店一覧!$A$5:$A$204,0)),"※未登録のID"))</f>
        <v/>
      </c>
      <c r="D1793" s="20"/>
      <c r="E1793" s="20"/>
      <c r="F1793" s="20"/>
      <c r="G1793" s="20"/>
      <c r="H1793" s="20"/>
      <c r="I1793" s="21"/>
    </row>
    <row r="1794" customFormat="false" ht="15" hidden="false" customHeight="false" outlineLevel="0" collapsed="false">
      <c r="A1794" s="30"/>
      <c r="B1794" s="21"/>
      <c r="C1794" s="21" t="str">
        <f aca="false">IF(B1794="","",IFERROR(INDEX(代理店一覧!$B$5:$B$204,MATCH(B1794,代理店一覧!$A$5:$A$204,0)),"※未登録のID"))</f>
        <v/>
      </c>
      <c r="D1794" s="20"/>
      <c r="E1794" s="20"/>
      <c r="F1794" s="20"/>
      <c r="G1794" s="20"/>
      <c r="H1794" s="20"/>
      <c r="I1794" s="21"/>
    </row>
    <row r="1795" customFormat="false" ht="15" hidden="false" customHeight="false" outlineLevel="0" collapsed="false">
      <c r="A1795" s="30"/>
      <c r="B1795" s="21"/>
      <c r="C1795" s="21" t="str">
        <f aca="false">IF(B1795="","",IFERROR(INDEX(代理店一覧!$B$5:$B$204,MATCH(B1795,代理店一覧!$A$5:$A$204,0)),"※未登録のID"))</f>
        <v/>
      </c>
      <c r="D1795" s="20"/>
      <c r="E1795" s="20"/>
      <c r="F1795" s="20"/>
      <c r="G1795" s="20"/>
      <c r="H1795" s="20"/>
      <c r="I1795" s="21"/>
    </row>
    <row r="1796" customFormat="false" ht="15" hidden="false" customHeight="false" outlineLevel="0" collapsed="false">
      <c r="A1796" s="30"/>
      <c r="B1796" s="21"/>
      <c r="C1796" s="21" t="str">
        <f aca="false">IF(B1796="","",IFERROR(INDEX(代理店一覧!$B$5:$B$204,MATCH(B1796,代理店一覧!$A$5:$A$204,0)),"※未登録のID"))</f>
        <v/>
      </c>
      <c r="D1796" s="20"/>
      <c r="E1796" s="20"/>
      <c r="F1796" s="20"/>
      <c r="G1796" s="20"/>
      <c r="H1796" s="20"/>
      <c r="I1796" s="21"/>
    </row>
    <row r="1797" customFormat="false" ht="15" hidden="false" customHeight="false" outlineLevel="0" collapsed="false">
      <c r="A1797" s="30"/>
      <c r="B1797" s="21"/>
      <c r="C1797" s="21" t="str">
        <f aca="false">IF(B1797="","",IFERROR(INDEX(代理店一覧!$B$5:$B$204,MATCH(B1797,代理店一覧!$A$5:$A$204,0)),"※未登録のID"))</f>
        <v/>
      </c>
      <c r="D1797" s="20"/>
      <c r="E1797" s="20"/>
      <c r="F1797" s="20"/>
      <c r="G1797" s="20"/>
      <c r="H1797" s="20"/>
      <c r="I1797" s="21"/>
    </row>
    <row r="1798" customFormat="false" ht="15" hidden="false" customHeight="false" outlineLevel="0" collapsed="false">
      <c r="A1798" s="30"/>
      <c r="B1798" s="21"/>
      <c r="C1798" s="21" t="str">
        <f aca="false">IF(B1798="","",IFERROR(INDEX(代理店一覧!$B$5:$B$204,MATCH(B1798,代理店一覧!$A$5:$A$204,0)),"※未登録のID"))</f>
        <v/>
      </c>
      <c r="D1798" s="20"/>
      <c r="E1798" s="20"/>
      <c r="F1798" s="20"/>
      <c r="G1798" s="20"/>
      <c r="H1798" s="20"/>
      <c r="I1798" s="21"/>
    </row>
    <row r="1799" customFormat="false" ht="15" hidden="false" customHeight="false" outlineLevel="0" collapsed="false">
      <c r="A1799" s="30"/>
      <c r="B1799" s="21"/>
      <c r="C1799" s="21" t="str">
        <f aca="false">IF(B1799="","",IFERROR(INDEX(代理店一覧!$B$5:$B$204,MATCH(B1799,代理店一覧!$A$5:$A$204,0)),"※未登録のID"))</f>
        <v/>
      </c>
      <c r="D1799" s="20"/>
      <c r="E1799" s="20"/>
      <c r="F1799" s="20"/>
      <c r="G1799" s="20"/>
      <c r="H1799" s="20"/>
      <c r="I1799" s="21"/>
    </row>
    <row r="1800" customFormat="false" ht="15" hidden="false" customHeight="false" outlineLevel="0" collapsed="false">
      <c r="A1800" s="30"/>
      <c r="B1800" s="21"/>
      <c r="C1800" s="21" t="str">
        <f aca="false">IF(B1800="","",IFERROR(INDEX(代理店一覧!$B$5:$B$204,MATCH(B1800,代理店一覧!$A$5:$A$204,0)),"※未登録のID"))</f>
        <v/>
      </c>
      <c r="D1800" s="20"/>
      <c r="E1800" s="20"/>
      <c r="F1800" s="20"/>
      <c r="G1800" s="20"/>
      <c r="H1800" s="20"/>
      <c r="I1800" s="21"/>
    </row>
    <row r="1801" customFormat="false" ht="15" hidden="false" customHeight="false" outlineLevel="0" collapsed="false">
      <c r="A1801" s="30"/>
      <c r="B1801" s="21"/>
      <c r="C1801" s="21" t="str">
        <f aca="false">IF(B1801="","",IFERROR(INDEX(代理店一覧!$B$5:$B$204,MATCH(B1801,代理店一覧!$A$5:$A$204,0)),"※未登録のID"))</f>
        <v/>
      </c>
      <c r="D1801" s="20"/>
      <c r="E1801" s="20"/>
      <c r="F1801" s="20"/>
      <c r="G1801" s="20"/>
      <c r="H1801" s="20"/>
      <c r="I1801" s="21"/>
    </row>
    <row r="1802" customFormat="false" ht="15" hidden="false" customHeight="false" outlineLevel="0" collapsed="false">
      <c r="A1802" s="30"/>
      <c r="B1802" s="21"/>
      <c r="C1802" s="21" t="str">
        <f aca="false">IF(B1802="","",IFERROR(INDEX(代理店一覧!$B$5:$B$204,MATCH(B1802,代理店一覧!$A$5:$A$204,0)),"※未登録のID"))</f>
        <v/>
      </c>
      <c r="D1802" s="20"/>
      <c r="E1802" s="20"/>
      <c r="F1802" s="20"/>
      <c r="G1802" s="20"/>
      <c r="H1802" s="20"/>
      <c r="I1802" s="21"/>
    </row>
    <row r="1803" customFormat="false" ht="15" hidden="false" customHeight="false" outlineLevel="0" collapsed="false">
      <c r="A1803" s="30"/>
      <c r="B1803" s="21"/>
      <c r="C1803" s="21" t="str">
        <f aca="false">IF(B1803="","",IFERROR(INDEX(代理店一覧!$B$5:$B$204,MATCH(B1803,代理店一覧!$A$5:$A$204,0)),"※未登録のID"))</f>
        <v/>
      </c>
      <c r="D1803" s="20"/>
      <c r="E1803" s="20"/>
      <c r="F1803" s="20"/>
      <c r="G1803" s="20"/>
      <c r="H1803" s="20"/>
      <c r="I1803" s="21"/>
    </row>
    <row r="1804" customFormat="false" ht="15" hidden="false" customHeight="false" outlineLevel="0" collapsed="false">
      <c r="A1804" s="30"/>
      <c r="B1804" s="21"/>
      <c r="C1804" s="21" t="str">
        <f aca="false">IF(B1804="","",IFERROR(INDEX(代理店一覧!$B$5:$B$204,MATCH(B1804,代理店一覧!$A$5:$A$204,0)),"※未登録のID"))</f>
        <v/>
      </c>
      <c r="D1804" s="20"/>
      <c r="E1804" s="20"/>
      <c r="F1804" s="20"/>
      <c r="G1804" s="20"/>
      <c r="H1804" s="20"/>
      <c r="I1804" s="21"/>
    </row>
    <row r="1805" customFormat="false" ht="15" hidden="false" customHeight="false" outlineLevel="0" collapsed="false">
      <c r="A1805" s="30"/>
      <c r="B1805" s="21"/>
      <c r="C1805" s="21" t="str">
        <f aca="false">IF(B1805="","",IFERROR(INDEX(代理店一覧!$B$5:$B$204,MATCH(B1805,代理店一覧!$A$5:$A$204,0)),"※未登録のID"))</f>
        <v/>
      </c>
      <c r="D1805" s="20"/>
      <c r="E1805" s="20"/>
      <c r="F1805" s="20"/>
      <c r="G1805" s="20"/>
      <c r="H1805" s="20"/>
      <c r="I1805" s="21"/>
    </row>
    <row r="1806" customFormat="false" ht="15" hidden="false" customHeight="false" outlineLevel="0" collapsed="false">
      <c r="A1806" s="30"/>
      <c r="B1806" s="21"/>
      <c r="C1806" s="21" t="str">
        <f aca="false">IF(B1806="","",IFERROR(INDEX(代理店一覧!$B$5:$B$204,MATCH(B1806,代理店一覧!$A$5:$A$204,0)),"※未登録のID"))</f>
        <v/>
      </c>
      <c r="D1806" s="20"/>
      <c r="E1806" s="20"/>
      <c r="F1806" s="20"/>
      <c r="G1806" s="20"/>
      <c r="H1806" s="20"/>
      <c r="I1806" s="21"/>
    </row>
    <row r="1807" customFormat="false" ht="15" hidden="false" customHeight="false" outlineLevel="0" collapsed="false">
      <c r="A1807" s="30"/>
      <c r="B1807" s="21"/>
      <c r="C1807" s="21" t="str">
        <f aca="false">IF(B1807="","",IFERROR(INDEX(代理店一覧!$B$5:$B$204,MATCH(B1807,代理店一覧!$A$5:$A$204,0)),"※未登録のID"))</f>
        <v/>
      </c>
      <c r="D1807" s="20"/>
      <c r="E1807" s="20"/>
      <c r="F1807" s="20"/>
      <c r="G1807" s="20"/>
      <c r="H1807" s="20"/>
      <c r="I1807" s="21"/>
    </row>
    <row r="1808" customFormat="false" ht="15" hidden="false" customHeight="false" outlineLevel="0" collapsed="false">
      <c r="A1808" s="30"/>
      <c r="B1808" s="21"/>
      <c r="C1808" s="21" t="str">
        <f aca="false">IF(B1808="","",IFERROR(INDEX(代理店一覧!$B$5:$B$204,MATCH(B1808,代理店一覧!$A$5:$A$204,0)),"※未登録のID"))</f>
        <v/>
      </c>
      <c r="D1808" s="20"/>
      <c r="E1808" s="20"/>
      <c r="F1808" s="20"/>
      <c r="G1808" s="20"/>
      <c r="H1808" s="20"/>
      <c r="I1808" s="21"/>
    </row>
    <row r="1809" customFormat="false" ht="15" hidden="false" customHeight="false" outlineLevel="0" collapsed="false">
      <c r="A1809" s="30"/>
      <c r="B1809" s="21"/>
      <c r="C1809" s="21" t="str">
        <f aca="false">IF(B1809="","",IFERROR(INDEX(代理店一覧!$B$5:$B$204,MATCH(B1809,代理店一覧!$A$5:$A$204,0)),"※未登録のID"))</f>
        <v/>
      </c>
      <c r="D1809" s="20"/>
      <c r="E1809" s="20"/>
      <c r="F1809" s="20"/>
      <c r="G1809" s="20"/>
      <c r="H1809" s="20"/>
      <c r="I1809" s="21"/>
    </row>
    <row r="1810" customFormat="false" ht="15" hidden="false" customHeight="false" outlineLevel="0" collapsed="false">
      <c r="A1810" s="30"/>
      <c r="B1810" s="21"/>
      <c r="C1810" s="21" t="str">
        <f aca="false">IF(B1810="","",IFERROR(INDEX(代理店一覧!$B$5:$B$204,MATCH(B1810,代理店一覧!$A$5:$A$204,0)),"※未登録のID"))</f>
        <v/>
      </c>
      <c r="D1810" s="20"/>
      <c r="E1810" s="20"/>
      <c r="F1810" s="20"/>
      <c r="G1810" s="20"/>
      <c r="H1810" s="20"/>
      <c r="I1810" s="21"/>
    </row>
    <row r="1811" customFormat="false" ht="15" hidden="false" customHeight="false" outlineLevel="0" collapsed="false">
      <c r="A1811" s="30"/>
      <c r="B1811" s="21"/>
      <c r="C1811" s="21" t="str">
        <f aca="false">IF(B1811="","",IFERROR(INDEX(代理店一覧!$B$5:$B$204,MATCH(B1811,代理店一覧!$A$5:$A$204,0)),"※未登録のID"))</f>
        <v/>
      </c>
      <c r="D1811" s="20"/>
      <c r="E1811" s="20"/>
      <c r="F1811" s="20"/>
      <c r="G1811" s="20"/>
      <c r="H1811" s="20"/>
      <c r="I1811" s="21"/>
    </row>
    <row r="1812" customFormat="false" ht="15" hidden="false" customHeight="false" outlineLevel="0" collapsed="false">
      <c r="A1812" s="30"/>
      <c r="B1812" s="21"/>
      <c r="C1812" s="21" t="str">
        <f aca="false">IF(B1812="","",IFERROR(INDEX(代理店一覧!$B$5:$B$204,MATCH(B1812,代理店一覧!$A$5:$A$204,0)),"※未登録のID"))</f>
        <v/>
      </c>
      <c r="D1812" s="20"/>
      <c r="E1812" s="20"/>
      <c r="F1812" s="20"/>
      <c r="G1812" s="20"/>
      <c r="H1812" s="20"/>
      <c r="I1812" s="21"/>
    </row>
    <row r="1813" customFormat="false" ht="15" hidden="false" customHeight="false" outlineLevel="0" collapsed="false">
      <c r="A1813" s="30"/>
      <c r="B1813" s="21"/>
      <c r="C1813" s="21" t="str">
        <f aca="false">IF(B1813="","",IFERROR(INDEX(代理店一覧!$B$5:$B$204,MATCH(B1813,代理店一覧!$A$5:$A$204,0)),"※未登録のID"))</f>
        <v/>
      </c>
      <c r="D1813" s="20"/>
      <c r="E1813" s="20"/>
      <c r="F1813" s="20"/>
      <c r="G1813" s="20"/>
      <c r="H1813" s="20"/>
      <c r="I1813" s="21"/>
    </row>
    <row r="1814" customFormat="false" ht="15" hidden="false" customHeight="false" outlineLevel="0" collapsed="false">
      <c r="A1814" s="30"/>
      <c r="B1814" s="21"/>
      <c r="C1814" s="21" t="str">
        <f aca="false">IF(B1814="","",IFERROR(INDEX(代理店一覧!$B$5:$B$204,MATCH(B1814,代理店一覧!$A$5:$A$204,0)),"※未登録のID"))</f>
        <v/>
      </c>
      <c r="D1814" s="20"/>
      <c r="E1814" s="20"/>
      <c r="F1814" s="20"/>
      <c r="G1814" s="20"/>
      <c r="H1814" s="20"/>
      <c r="I1814" s="21"/>
    </row>
    <row r="1815" customFormat="false" ht="15" hidden="false" customHeight="false" outlineLevel="0" collapsed="false">
      <c r="A1815" s="30"/>
      <c r="B1815" s="21"/>
      <c r="C1815" s="21" t="str">
        <f aca="false">IF(B1815="","",IFERROR(INDEX(代理店一覧!$B$5:$B$204,MATCH(B1815,代理店一覧!$A$5:$A$204,0)),"※未登録のID"))</f>
        <v/>
      </c>
      <c r="D1815" s="20"/>
      <c r="E1815" s="20"/>
      <c r="F1815" s="20"/>
      <c r="G1815" s="20"/>
      <c r="H1815" s="20"/>
      <c r="I1815" s="21"/>
    </row>
    <row r="1816" customFormat="false" ht="15" hidden="false" customHeight="false" outlineLevel="0" collapsed="false">
      <c r="A1816" s="30"/>
      <c r="B1816" s="21"/>
      <c r="C1816" s="21" t="str">
        <f aca="false">IF(B1816="","",IFERROR(INDEX(代理店一覧!$B$5:$B$204,MATCH(B1816,代理店一覧!$A$5:$A$204,0)),"※未登録のID"))</f>
        <v/>
      </c>
      <c r="D1816" s="20"/>
      <c r="E1816" s="20"/>
      <c r="F1816" s="20"/>
      <c r="G1816" s="20"/>
      <c r="H1816" s="20"/>
      <c r="I1816" s="21"/>
    </row>
    <row r="1817" customFormat="false" ht="15" hidden="false" customHeight="false" outlineLevel="0" collapsed="false">
      <c r="A1817" s="30"/>
      <c r="B1817" s="21"/>
      <c r="C1817" s="21" t="str">
        <f aca="false">IF(B1817="","",IFERROR(INDEX(代理店一覧!$B$5:$B$204,MATCH(B1817,代理店一覧!$A$5:$A$204,0)),"※未登録のID"))</f>
        <v/>
      </c>
      <c r="D1817" s="20"/>
      <c r="E1817" s="20"/>
      <c r="F1817" s="20"/>
      <c r="G1817" s="20"/>
      <c r="H1817" s="20"/>
      <c r="I1817" s="21"/>
    </row>
    <row r="1818" customFormat="false" ht="15" hidden="false" customHeight="false" outlineLevel="0" collapsed="false">
      <c r="A1818" s="30"/>
      <c r="B1818" s="21"/>
      <c r="C1818" s="21" t="str">
        <f aca="false">IF(B1818="","",IFERROR(INDEX(代理店一覧!$B$5:$B$204,MATCH(B1818,代理店一覧!$A$5:$A$204,0)),"※未登録のID"))</f>
        <v/>
      </c>
      <c r="D1818" s="20"/>
      <c r="E1818" s="20"/>
      <c r="F1818" s="20"/>
      <c r="G1818" s="20"/>
      <c r="H1818" s="20"/>
      <c r="I1818" s="21"/>
    </row>
    <row r="1819" customFormat="false" ht="15" hidden="false" customHeight="false" outlineLevel="0" collapsed="false">
      <c r="A1819" s="30"/>
      <c r="B1819" s="21"/>
      <c r="C1819" s="21" t="str">
        <f aca="false">IF(B1819="","",IFERROR(INDEX(代理店一覧!$B$5:$B$204,MATCH(B1819,代理店一覧!$A$5:$A$204,0)),"※未登録のID"))</f>
        <v/>
      </c>
      <c r="D1819" s="20"/>
      <c r="E1819" s="20"/>
      <c r="F1819" s="20"/>
      <c r="G1819" s="20"/>
      <c r="H1819" s="20"/>
      <c r="I1819" s="21"/>
    </row>
    <row r="1820" customFormat="false" ht="15" hidden="false" customHeight="false" outlineLevel="0" collapsed="false">
      <c r="A1820" s="30"/>
      <c r="B1820" s="21"/>
      <c r="C1820" s="21" t="str">
        <f aca="false">IF(B1820="","",IFERROR(INDEX(代理店一覧!$B$5:$B$204,MATCH(B1820,代理店一覧!$A$5:$A$204,0)),"※未登録のID"))</f>
        <v/>
      </c>
      <c r="D1820" s="20"/>
      <c r="E1820" s="20"/>
      <c r="F1820" s="20"/>
      <c r="G1820" s="20"/>
      <c r="H1820" s="20"/>
      <c r="I1820" s="21"/>
    </row>
    <row r="1821" customFormat="false" ht="15" hidden="false" customHeight="false" outlineLevel="0" collapsed="false">
      <c r="A1821" s="30"/>
      <c r="B1821" s="21"/>
      <c r="C1821" s="21" t="str">
        <f aca="false">IF(B1821="","",IFERROR(INDEX(代理店一覧!$B$5:$B$204,MATCH(B1821,代理店一覧!$A$5:$A$204,0)),"※未登録のID"))</f>
        <v/>
      </c>
      <c r="D1821" s="20"/>
      <c r="E1821" s="20"/>
      <c r="F1821" s="20"/>
      <c r="G1821" s="20"/>
      <c r="H1821" s="20"/>
      <c r="I1821" s="21"/>
    </row>
    <row r="1822" customFormat="false" ht="15" hidden="false" customHeight="false" outlineLevel="0" collapsed="false">
      <c r="A1822" s="30"/>
      <c r="B1822" s="21"/>
      <c r="C1822" s="21" t="str">
        <f aca="false">IF(B1822="","",IFERROR(INDEX(代理店一覧!$B$5:$B$204,MATCH(B1822,代理店一覧!$A$5:$A$204,0)),"※未登録のID"))</f>
        <v/>
      </c>
      <c r="D1822" s="20"/>
      <c r="E1822" s="20"/>
      <c r="F1822" s="20"/>
      <c r="G1822" s="20"/>
      <c r="H1822" s="20"/>
      <c r="I1822" s="21"/>
    </row>
    <row r="1823" customFormat="false" ht="15" hidden="false" customHeight="false" outlineLevel="0" collapsed="false">
      <c r="A1823" s="30"/>
      <c r="B1823" s="21"/>
      <c r="C1823" s="21" t="str">
        <f aca="false">IF(B1823="","",IFERROR(INDEX(代理店一覧!$B$5:$B$204,MATCH(B1823,代理店一覧!$A$5:$A$204,0)),"※未登録のID"))</f>
        <v/>
      </c>
      <c r="D1823" s="20"/>
      <c r="E1823" s="20"/>
      <c r="F1823" s="20"/>
      <c r="G1823" s="20"/>
      <c r="H1823" s="20"/>
      <c r="I1823" s="21"/>
    </row>
    <row r="1824" customFormat="false" ht="15" hidden="false" customHeight="false" outlineLevel="0" collapsed="false">
      <c r="A1824" s="30"/>
      <c r="B1824" s="21"/>
      <c r="C1824" s="21" t="str">
        <f aca="false">IF(B1824="","",IFERROR(INDEX(代理店一覧!$B$5:$B$204,MATCH(B1824,代理店一覧!$A$5:$A$204,0)),"※未登録のID"))</f>
        <v/>
      </c>
      <c r="D1824" s="20"/>
      <c r="E1824" s="20"/>
      <c r="F1824" s="20"/>
      <c r="G1824" s="20"/>
      <c r="H1824" s="20"/>
      <c r="I1824" s="21"/>
    </row>
    <row r="1825" customFormat="false" ht="15" hidden="false" customHeight="false" outlineLevel="0" collapsed="false">
      <c r="A1825" s="30"/>
      <c r="B1825" s="21"/>
      <c r="C1825" s="21" t="str">
        <f aca="false">IF(B1825="","",IFERROR(INDEX(代理店一覧!$B$5:$B$204,MATCH(B1825,代理店一覧!$A$5:$A$204,0)),"※未登録のID"))</f>
        <v/>
      </c>
      <c r="D1825" s="20"/>
      <c r="E1825" s="20"/>
      <c r="F1825" s="20"/>
      <c r="G1825" s="20"/>
      <c r="H1825" s="20"/>
      <c r="I1825" s="21"/>
    </row>
    <row r="1826" customFormat="false" ht="15" hidden="false" customHeight="false" outlineLevel="0" collapsed="false">
      <c r="A1826" s="30"/>
      <c r="B1826" s="21"/>
      <c r="C1826" s="21" t="str">
        <f aca="false">IF(B1826="","",IFERROR(INDEX(代理店一覧!$B$5:$B$204,MATCH(B1826,代理店一覧!$A$5:$A$204,0)),"※未登録のID"))</f>
        <v/>
      </c>
      <c r="D1826" s="20"/>
      <c r="E1826" s="20"/>
      <c r="F1826" s="20"/>
      <c r="G1826" s="20"/>
      <c r="H1826" s="20"/>
      <c r="I1826" s="21"/>
    </row>
    <row r="1827" customFormat="false" ht="15" hidden="false" customHeight="false" outlineLevel="0" collapsed="false">
      <c r="A1827" s="30"/>
      <c r="B1827" s="21"/>
      <c r="C1827" s="21" t="str">
        <f aca="false">IF(B1827="","",IFERROR(INDEX(代理店一覧!$B$5:$B$204,MATCH(B1827,代理店一覧!$A$5:$A$204,0)),"※未登録のID"))</f>
        <v/>
      </c>
      <c r="D1827" s="20"/>
      <c r="E1827" s="20"/>
      <c r="F1827" s="20"/>
      <c r="G1827" s="20"/>
      <c r="H1827" s="20"/>
      <c r="I1827" s="21"/>
    </row>
    <row r="1828" customFormat="false" ht="15" hidden="false" customHeight="false" outlineLevel="0" collapsed="false">
      <c r="A1828" s="30"/>
      <c r="B1828" s="21"/>
      <c r="C1828" s="21" t="str">
        <f aca="false">IF(B1828="","",IFERROR(INDEX(代理店一覧!$B$5:$B$204,MATCH(B1828,代理店一覧!$A$5:$A$204,0)),"※未登録のID"))</f>
        <v/>
      </c>
      <c r="D1828" s="20"/>
      <c r="E1828" s="20"/>
      <c r="F1828" s="20"/>
      <c r="G1828" s="20"/>
      <c r="H1828" s="20"/>
      <c r="I1828" s="21"/>
    </row>
    <row r="1829" customFormat="false" ht="15" hidden="false" customHeight="false" outlineLevel="0" collapsed="false">
      <c r="A1829" s="30"/>
      <c r="B1829" s="21"/>
      <c r="C1829" s="21" t="str">
        <f aca="false">IF(B1829="","",IFERROR(INDEX(代理店一覧!$B$5:$B$204,MATCH(B1829,代理店一覧!$A$5:$A$204,0)),"※未登録のID"))</f>
        <v/>
      </c>
      <c r="D1829" s="20"/>
      <c r="E1829" s="20"/>
      <c r="F1829" s="20"/>
      <c r="G1829" s="20"/>
      <c r="H1829" s="20"/>
      <c r="I1829" s="21"/>
    </row>
    <row r="1830" customFormat="false" ht="15" hidden="false" customHeight="false" outlineLevel="0" collapsed="false">
      <c r="A1830" s="30"/>
      <c r="B1830" s="21"/>
      <c r="C1830" s="21" t="str">
        <f aca="false">IF(B1830="","",IFERROR(INDEX(代理店一覧!$B$5:$B$204,MATCH(B1830,代理店一覧!$A$5:$A$204,0)),"※未登録のID"))</f>
        <v/>
      </c>
      <c r="D1830" s="20"/>
      <c r="E1830" s="20"/>
      <c r="F1830" s="20"/>
      <c r="G1830" s="20"/>
      <c r="H1830" s="20"/>
      <c r="I1830" s="21"/>
    </row>
    <row r="1831" customFormat="false" ht="15" hidden="false" customHeight="false" outlineLevel="0" collapsed="false">
      <c r="A1831" s="30"/>
      <c r="B1831" s="21"/>
      <c r="C1831" s="21" t="str">
        <f aca="false">IF(B1831="","",IFERROR(INDEX(代理店一覧!$B$5:$B$204,MATCH(B1831,代理店一覧!$A$5:$A$204,0)),"※未登録のID"))</f>
        <v/>
      </c>
      <c r="D1831" s="20"/>
      <c r="E1831" s="20"/>
      <c r="F1831" s="20"/>
      <c r="G1831" s="20"/>
      <c r="H1831" s="20"/>
      <c r="I1831" s="21"/>
    </row>
    <row r="1832" customFormat="false" ht="15" hidden="false" customHeight="false" outlineLevel="0" collapsed="false">
      <c r="A1832" s="30"/>
      <c r="B1832" s="21"/>
      <c r="C1832" s="21" t="str">
        <f aca="false">IF(B1832="","",IFERROR(INDEX(代理店一覧!$B$5:$B$204,MATCH(B1832,代理店一覧!$A$5:$A$204,0)),"※未登録のID"))</f>
        <v/>
      </c>
      <c r="D1832" s="20"/>
      <c r="E1832" s="20"/>
      <c r="F1832" s="20"/>
      <c r="G1832" s="20"/>
      <c r="H1832" s="20"/>
      <c r="I1832" s="21"/>
    </row>
    <row r="1833" customFormat="false" ht="15" hidden="false" customHeight="false" outlineLevel="0" collapsed="false">
      <c r="A1833" s="30"/>
      <c r="B1833" s="21"/>
      <c r="C1833" s="21" t="str">
        <f aca="false">IF(B1833="","",IFERROR(INDEX(代理店一覧!$B$5:$B$204,MATCH(B1833,代理店一覧!$A$5:$A$204,0)),"※未登録のID"))</f>
        <v/>
      </c>
      <c r="D1833" s="20"/>
      <c r="E1833" s="20"/>
      <c r="F1833" s="20"/>
      <c r="G1833" s="20"/>
      <c r="H1833" s="20"/>
      <c r="I1833" s="21"/>
    </row>
    <row r="1834" customFormat="false" ht="15" hidden="false" customHeight="false" outlineLevel="0" collapsed="false">
      <c r="A1834" s="30"/>
      <c r="B1834" s="21"/>
      <c r="C1834" s="21" t="str">
        <f aca="false">IF(B1834="","",IFERROR(INDEX(代理店一覧!$B$5:$B$204,MATCH(B1834,代理店一覧!$A$5:$A$204,0)),"※未登録のID"))</f>
        <v/>
      </c>
      <c r="D1834" s="20"/>
      <c r="E1834" s="20"/>
      <c r="F1834" s="20"/>
      <c r="G1834" s="20"/>
      <c r="H1834" s="20"/>
      <c r="I1834" s="21"/>
    </row>
    <row r="1835" customFormat="false" ht="15" hidden="false" customHeight="false" outlineLevel="0" collapsed="false">
      <c r="A1835" s="30"/>
      <c r="B1835" s="21"/>
      <c r="C1835" s="21" t="str">
        <f aca="false">IF(B1835="","",IFERROR(INDEX(代理店一覧!$B$5:$B$204,MATCH(B1835,代理店一覧!$A$5:$A$204,0)),"※未登録のID"))</f>
        <v/>
      </c>
      <c r="D1835" s="20"/>
      <c r="E1835" s="20"/>
      <c r="F1835" s="20"/>
      <c r="G1835" s="20"/>
      <c r="H1835" s="20"/>
      <c r="I1835" s="21"/>
    </row>
    <row r="1836" customFormat="false" ht="15" hidden="false" customHeight="false" outlineLevel="0" collapsed="false">
      <c r="A1836" s="30"/>
      <c r="B1836" s="21"/>
      <c r="C1836" s="21" t="str">
        <f aca="false">IF(B1836="","",IFERROR(INDEX(代理店一覧!$B$5:$B$204,MATCH(B1836,代理店一覧!$A$5:$A$204,0)),"※未登録のID"))</f>
        <v/>
      </c>
      <c r="D1836" s="20"/>
      <c r="E1836" s="20"/>
      <c r="F1836" s="20"/>
      <c r="G1836" s="20"/>
      <c r="H1836" s="20"/>
      <c r="I1836" s="21"/>
    </row>
    <row r="1837" customFormat="false" ht="15" hidden="false" customHeight="false" outlineLevel="0" collapsed="false">
      <c r="A1837" s="30"/>
      <c r="B1837" s="21"/>
      <c r="C1837" s="21" t="str">
        <f aca="false">IF(B1837="","",IFERROR(INDEX(代理店一覧!$B$5:$B$204,MATCH(B1837,代理店一覧!$A$5:$A$204,0)),"※未登録のID"))</f>
        <v/>
      </c>
      <c r="D1837" s="20"/>
      <c r="E1837" s="20"/>
      <c r="F1837" s="20"/>
      <c r="G1837" s="20"/>
      <c r="H1837" s="20"/>
      <c r="I1837" s="21"/>
    </row>
    <row r="1838" customFormat="false" ht="15" hidden="false" customHeight="false" outlineLevel="0" collapsed="false">
      <c r="A1838" s="30"/>
      <c r="B1838" s="21"/>
      <c r="C1838" s="21" t="str">
        <f aca="false">IF(B1838="","",IFERROR(INDEX(代理店一覧!$B$5:$B$204,MATCH(B1838,代理店一覧!$A$5:$A$204,0)),"※未登録のID"))</f>
        <v/>
      </c>
      <c r="D1838" s="20"/>
      <c r="E1838" s="20"/>
      <c r="F1838" s="20"/>
      <c r="G1838" s="20"/>
      <c r="H1838" s="20"/>
      <c r="I1838" s="21"/>
    </row>
    <row r="1839" customFormat="false" ht="15" hidden="false" customHeight="false" outlineLevel="0" collapsed="false">
      <c r="A1839" s="30"/>
      <c r="B1839" s="21"/>
      <c r="C1839" s="21" t="str">
        <f aca="false">IF(B1839="","",IFERROR(INDEX(代理店一覧!$B$5:$B$204,MATCH(B1839,代理店一覧!$A$5:$A$204,0)),"※未登録のID"))</f>
        <v/>
      </c>
      <c r="D1839" s="20"/>
      <c r="E1839" s="20"/>
      <c r="F1839" s="20"/>
      <c r="G1839" s="20"/>
      <c r="H1839" s="20"/>
      <c r="I1839" s="21"/>
    </row>
    <row r="1840" customFormat="false" ht="15" hidden="false" customHeight="false" outlineLevel="0" collapsed="false">
      <c r="A1840" s="30"/>
      <c r="B1840" s="21"/>
      <c r="C1840" s="21" t="str">
        <f aca="false">IF(B1840="","",IFERROR(INDEX(代理店一覧!$B$5:$B$204,MATCH(B1840,代理店一覧!$A$5:$A$204,0)),"※未登録のID"))</f>
        <v/>
      </c>
      <c r="D1840" s="20"/>
      <c r="E1840" s="20"/>
      <c r="F1840" s="20"/>
      <c r="G1840" s="20"/>
      <c r="H1840" s="20"/>
      <c r="I1840" s="21"/>
    </row>
    <row r="1841" customFormat="false" ht="15" hidden="false" customHeight="false" outlineLevel="0" collapsed="false">
      <c r="A1841" s="30"/>
      <c r="B1841" s="21"/>
      <c r="C1841" s="21" t="str">
        <f aca="false">IF(B1841="","",IFERROR(INDEX(代理店一覧!$B$5:$B$204,MATCH(B1841,代理店一覧!$A$5:$A$204,0)),"※未登録のID"))</f>
        <v/>
      </c>
      <c r="D1841" s="20"/>
      <c r="E1841" s="20"/>
      <c r="F1841" s="20"/>
      <c r="G1841" s="20"/>
      <c r="H1841" s="20"/>
      <c r="I1841" s="21"/>
    </row>
    <row r="1842" customFormat="false" ht="15" hidden="false" customHeight="false" outlineLevel="0" collapsed="false">
      <c r="A1842" s="30"/>
      <c r="B1842" s="21"/>
      <c r="C1842" s="21" t="str">
        <f aca="false">IF(B1842="","",IFERROR(INDEX(代理店一覧!$B$5:$B$204,MATCH(B1842,代理店一覧!$A$5:$A$204,0)),"※未登録のID"))</f>
        <v/>
      </c>
      <c r="D1842" s="20"/>
      <c r="E1842" s="20"/>
      <c r="F1842" s="20"/>
      <c r="G1842" s="20"/>
      <c r="H1842" s="20"/>
      <c r="I1842" s="21"/>
    </row>
    <row r="1843" customFormat="false" ht="15" hidden="false" customHeight="false" outlineLevel="0" collapsed="false">
      <c r="A1843" s="30"/>
      <c r="B1843" s="21"/>
      <c r="C1843" s="21" t="str">
        <f aca="false">IF(B1843="","",IFERROR(INDEX(代理店一覧!$B$5:$B$204,MATCH(B1843,代理店一覧!$A$5:$A$204,0)),"※未登録のID"))</f>
        <v/>
      </c>
      <c r="D1843" s="20"/>
      <c r="E1843" s="20"/>
      <c r="F1843" s="20"/>
      <c r="G1843" s="20"/>
      <c r="H1843" s="20"/>
      <c r="I1843" s="21"/>
    </row>
    <row r="1844" customFormat="false" ht="15" hidden="false" customHeight="false" outlineLevel="0" collapsed="false">
      <c r="A1844" s="30"/>
      <c r="B1844" s="21"/>
      <c r="C1844" s="21" t="str">
        <f aca="false">IF(B1844="","",IFERROR(INDEX(代理店一覧!$B$5:$B$204,MATCH(B1844,代理店一覧!$A$5:$A$204,0)),"※未登録のID"))</f>
        <v/>
      </c>
      <c r="D1844" s="20"/>
      <c r="E1844" s="20"/>
      <c r="F1844" s="20"/>
      <c r="G1844" s="20"/>
      <c r="H1844" s="20"/>
      <c r="I1844" s="21"/>
    </row>
    <row r="1845" customFormat="false" ht="15" hidden="false" customHeight="false" outlineLevel="0" collapsed="false">
      <c r="A1845" s="30"/>
      <c r="B1845" s="21"/>
      <c r="C1845" s="21" t="str">
        <f aca="false">IF(B1845="","",IFERROR(INDEX(代理店一覧!$B$5:$B$204,MATCH(B1845,代理店一覧!$A$5:$A$204,0)),"※未登録のID"))</f>
        <v/>
      </c>
      <c r="D1845" s="20"/>
      <c r="E1845" s="20"/>
      <c r="F1845" s="20"/>
      <c r="G1845" s="20"/>
      <c r="H1845" s="20"/>
      <c r="I1845" s="21"/>
    </row>
    <row r="1846" customFormat="false" ht="15" hidden="false" customHeight="false" outlineLevel="0" collapsed="false">
      <c r="A1846" s="30"/>
      <c r="B1846" s="21"/>
      <c r="C1846" s="21" t="str">
        <f aca="false">IF(B1846="","",IFERROR(INDEX(代理店一覧!$B$5:$B$204,MATCH(B1846,代理店一覧!$A$5:$A$204,0)),"※未登録のID"))</f>
        <v/>
      </c>
      <c r="D1846" s="20"/>
      <c r="E1846" s="20"/>
      <c r="F1846" s="20"/>
      <c r="G1846" s="20"/>
      <c r="H1846" s="20"/>
      <c r="I1846" s="21"/>
    </row>
    <row r="1847" customFormat="false" ht="15" hidden="false" customHeight="false" outlineLevel="0" collapsed="false">
      <c r="A1847" s="30"/>
      <c r="B1847" s="21"/>
      <c r="C1847" s="21" t="str">
        <f aca="false">IF(B1847="","",IFERROR(INDEX(代理店一覧!$B$5:$B$204,MATCH(B1847,代理店一覧!$A$5:$A$204,0)),"※未登録のID"))</f>
        <v/>
      </c>
      <c r="D1847" s="20"/>
      <c r="E1847" s="20"/>
      <c r="F1847" s="20"/>
      <c r="G1847" s="20"/>
      <c r="H1847" s="20"/>
      <c r="I1847" s="21"/>
    </row>
    <row r="1848" customFormat="false" ht="15" hidden="false" customHeight="false" outlineLevel="0" collapsed="false">
      <c r="A1848" s="30"/>
      <c r="B1848" s="21"/>
      <c r="C1848" s="21" t="str">
        <f aca="false">IF(B1848="","",IFERROR(INDEX(代理店一覧!$B$5:$B$204,MATCH(B1848,代理店一覧!$A$5:$A$204,0)),"※未登録のID"))</f>
        <v/>
      </c>
      <c r="D1848" s="20"/>
      <c r="E1848" s="20"/>
      <c r="F1848" s="20"/>
      <c r="G1848" s="20"/>
      <c r="H1848" s="20"/>
      <c r="I1848" s="21"/>
    </row>
    <row r="1849" customFormat="false" ht="15" hidden="false" customHeight="false" outlineLevel="0" collapsed="false">
      <c r="A1849" s="30"/>
      <c r="B1849" s="21"/>
      <c r="C1849" s="21" t="str">
        <f aca="false">IF(B1849="","",IFERROR(INDEX(代理店一覧!$B$5:$B$204,MATCH(B1849,代理店一覧!$A$5:$A$204,0)),"※未登録のID"))</f>
        <v/>
      </c>
      <c r="D1849" s="20"/>
      <c r="E1849" s="20"/>
      <c r="F1849" s="20"/>
      <c r="G1849" s="20"/>
      <c r="H1849" s="20"/>
      <c r="I1849" s="21"/>
    </row>
    <row r="1850" customFormat="false" ht="15" hidden="false" customHeight="false" outlineLevel="0" collapsed="false">
      <c r="A1850" s="30"/>
      <c r="B1850" s="21"/>
      <c r="C1850" s="21" t="str">
        <f aca="false">IF(B1850="","",IFERROR(INDEX(代理店一覧!$B$5:$B$204,MATCH(B1850,代理店一覧!$A$5:$A$204,0)),"※未登録のID"))</f>
        <v/>
      </c>
      <c r="D1850" s="20"/>
      <c r="E1850" s="20"/>
      <c r="F1850" s="20"/>
      <c r="G1850" s="20"/>
      <c r="H1850" s="20"/>
      <c r="I1850" s="21"/>
    </row>
    <row r="1851" customFormat="false" ht="15" hidden="false" customHeight="false" outlineLevel="0" collapsed="false">
      <c r="A1851" s="30"/>
      <c r="B1851" s="21"/>
      <c r="C1851" s="21" t="str">
        <f aca="false">IF(B1851="","",IFERROR(INDEX(代理店一覧!$B$5:$B$204,MATCH(B1851,代理店一覧!$A$5:$A$204,0)),"※未登録のID"))</f>
        <v/>
      </c>
      <c r="D1851" s="20"/>
      <c r="E1851" s="20"/>
      <c r="F1851" s="20"/>
      <c r="G1851" s="20"/>
      <c r="H1851" s="20"/>
      <c r="I1851" s="21"/>
    </row>
    <row r="1852" customFormat="false" ht="15" hidden="false" customHeight="false" outlineLevel="0" collapsed="false">
      <c r="A1852" s="30"/>
      <c r="B1852" s="21"/>
      <c r="C1852" s="21" t="str">
        <f aca="false">IF(B1852="","",IFERROR(INDEX(代理店一覧!$B$5:$B$204,MATCH(B1852,代理店一覧!$A$5:$A$204,0)),"※未登録のID"))</f>
        <v/>
      </c>
      <c r="D1852" s="20"/>
      <c r="E1852" s="20"/>
      <c r="F1852" s="20"/>
      <c r="G1852" s="20"/>
      <c r="H1852" s="20"/>
      <c r="I1852" s="21"/>
    </row>
    <row r="1853" customFormat="false" ht="15" hidden="false" customHeight="false" outlineLevel="0" collapsed="false">
      <c r="A1853" s="30"/>
      <c r="B1853" s="21"/>
      <c r="C1853" s="21" t="str">
        <f aca="false">IF(B1853="","",IFERROR(INDEX(代理店一覧!$B$5:$B$204,MATCH(B1853,代理店一覧!$A$5:$A$204,0)),"※未登録のID"))</f>
        <v/>
      </c>
      <c r="D1853" s="20"/>
      <c r="E1853" s="20"/>
      <c r="F1853" s="20"/>
      <c r="G1853" s="20"/>
      <c r="H1853" s="20"/>
      <c r="I1853" s="21"/>
    </row>
    <row r="1854" customFormat="false" ht="15" hidden="false" customHeight="false" outlineLevel="0" collapsed="false">
      <c r="A1854" s="30"/>
      <c r="B1854" s="21"/>
      <c r="C1854" s="21" t="str">
        <f aca="false">IF(B1854="","",IFERROR(INDEX(代理店一覧!$B$5:$B$204,MATCH(B1854,代理店一覧!$A$5:$A$204,0)),"※未登録のID"))</f>
        <v/>
      </c>
      <c r="D1854" s="20"/>
      <c r="E1854" s="20"/>
      <c r="F1854" s="20"/>
      <c r="G1854" s="20"/>
      <c r="H1854" s="20"/>
      <c r="I1854" s="21"/>
    </row>
    <row r="1855" customFormat="false" ht="15" hidden="false" customHeight="false" outlineLevel="0" collapsed="false">
      <c r="A1855" s="30"/>
      <c r="B1855" s="21"/>
      <c r="C1855" s="21" t="str">
        <f aca="false">IF(B1855="","",IFERROR(INDEX(代理店一覧!$B$5:$B$204,MATCH(B1855,代理店一覧!$A$5:$A$204,0)),"※未登録のID"))</f>
        <v/>
      </c>
      <c r="D1855" s="20"/>
      <c r="E1855" s="20"/>
      <c r="F1855" s="20"/>
      <c r="G1855" s="20"/>
      <c r="H1855" s="20"/>
      <c r="I1855" s="21"/>
    </row>
    <row r="1856" customFormat="false" ht="15" hidden="false" customHeight="false" outlineLevel="0" collapsed="false">
      <c r="A1856" s="30"/>
      <c r="B1856" s="21"/>
      <c r="C1856" s="21" t="str">
        <f aca="false">IF(B1856="","",IFERROR(INDEX(代理店一覧!$B$5:$B$204,MATCH(B1856,代理店一覧!$A$5:$A$204,0)),"※未登録のID"))</f>
        <v/>
      </c>
      <c r="D1856" s="20"/>
      <c r="E1856" s="20"/>
      <c r="F1856" s="20"/>
      <c r="G1856" s="20"/>
      <c r="H1856" s="20"/>
      <c r="I1856" s="21"/>
    </row>
    <row r="1857" customFormat="false" ht="15" hidden="false" customHeight="false" outlineLevel="0" collapsed="false">
      <c r="A1857" s="30"/>
      <c r="B1857" s="21"/>
      <c r="C1857" s="21" t="str">
        <f aca="false">IF(B1857="","",IFERROR(INDEX(代理店一覧!$B$5:$B$204,MATCH(B1857,代理店一覧!$A$5:$A$204,0)),"※未登録のID"))</f>
        <v/>
      </c>
      <c r="D1857" s="20"/>
      <c r="E1857" s="20"/>
      <c r="F1857" s="20"/>
      <c r="G1857" s="20"/>
      <c r="H1857" s="20"/>
      <c r="I1857" s="21"/>
    </row>
    <row r="1858" customFormat="false" ht="15" hidden="false" customHeight="false" outlineLevel="0" collapsed="false">
      <c r="A1858" s="30"/>
      <c r="B1858" s="21"/>
      <c r="C1858" s="21" t="str">
        <f aca="false">IF(B1858="","",IFERROR(INDEX(代理店一覧!$B$5:$B$204,MATCH(B1858,代理店一覧!$A$5:$A$204,0)),"※未登録のID"))</f>
        <v/>
      </c>
      <c r="D1858" s="20"/>
      <c r="E1858" s="20"/>
      <c r="F1858" s="20"/>
      <c r="G1858" s="20"/>
      <c r="H1858" s="20"/>
      <c r="I1858" s="21"/>
    </row>
    <row r="1859" customFormat="false" ht="15" hidden="false" customHeight="false" outlineLevel="0" collapsed="false">
      <c r="A1859" s="30"/>
      <c r="B1859" s="21"/>
      <c r="C1859" s="21" t="str">
        <f aca="false">IF(B1859="","",IFERROR(INDEX(代理店一覧!$B$5:$B$204,MATCH(B1859,代理店一覧!$A$5:$A$204,0)),"※未登録のID"))</f>
        <v/>
      </c>
      <c r="D1859" s="20"/>
      <c r="E1859" s="20"/>
      <c r="F1859" s="20"/>
      <c r="G1859" s="20"/>
      <c r="H1859" s="20"/>
      <c r="I1859" s="21"/>
    </row>
    <row r="1860" customFormat="false" ht="15" hidden="false" customHeight="false" outlineLevel="0" collapsed="false">
      <c r="A1860" s="30"/>
      <c r="B1860" s="21"/>
      <c r="C1860" s="21" t="str">
        <f aca="false">IF(B1860="","",IFERROR(INDEX(代理店一覧!$B$5:$B$204,MATCH(B1860,代理店一覧!$A$5:$A$204,0)),"※未登録のID"))</f>
        <v/>
      </c>
      <c r="D1860" s="20"/>
      <c r="E1860" s="20"/>
      <c r="F1860" s="20"/>
      <c r="G1860" s="20"/>
      <c r="H1860" s="20"/>
      <c r="I1860" s="21"/>
    </row>
    <row r="1861" customFormat="false" ht="15" hidden="false" customHeight="false" outlineLevel="0" collapsed="false">
      <c r="A1861" s="30"/>
      <c r="B1861" s="21"/>
      <c r="C1861" s="21" t="str">
        <f aca="false">IF(B1861="","",IFERROR(INDEX(代理店一覧!$B$5:$B$204,MATCH(B1861,代理店一覧!$A$5:$A$204,0)),"※未登録のID"))</f>
        <v/>
      </c>
      <c r="D1861" s="20"/>
      <c r="E1861" s="20"/>
      <c r="F1861" s="20"/>
      <c r="G1861" s="20"/>
      <c r="H1861" s="20"/>
      <c r="I1861" s="21"/>
    </row>
    <row r="1862" customFormat="false" ht="15" hidden="false" customHeight="false" outlineLevel="0" collapsed="false">
      <c r="A1862" s="30"/>
      <c r="B1862" s="21"/>
      <c r="C1862" s="21" t="str">
        <f aca="false">IF(B1862="","",IFERROR(INDEX(代理店一覧!$B$5:$B$204,MATCH(B1862,代理店一覧!$A$5:$A$204,0)),"※未登録のID"))</f>
        <v/>
      </c>
      <c r="D1862" s="20"/>
      <c r="E1862" s="20"/>
      <c r="F1862" s="20"/>
      <c r="G1862" s="20"/>
      <c r="H1862" s="20"/>
      <c r="I1862" s="21"/>
    </row>
    <row r="1863" customFormat="false" ht="15" hidden="false" customHeight="false" outlineLevel="0" collapsed="false">
      <c r="A1863" s="30"/>
      <c r="B1863" s="21"/>
      <c r="C1863" s="21" t="str">
        <f aca="false">IF(B1863="","",IFERROR(INDEX(代理店一覧!$B$5:$B$204,MATCH(B1863,代理店一覧!$A$5:$A$204,0)),"※未登録のID"))</f>
        <v/>
      </c>
      <c r="D1863" s="20"/>
      <c r="E1863" s="20"/>
      <c r="F1863" s="20"/>
      <c r="G1863" s="20"/>
      <c r="H1863" s="20"/>
      <c r="I1863" s="21"/>
    </row>
    <row r="1864" customFormat="false" ht="15" hidden="false" customHeight="false" outlineLevel="0" collapsed="false">
      <c r="A1864" s="30"/>
      <c r="B1864" s="21"/>
      <c r="C1864" s="21" t="str">
        <f aca="false">IF(B1864="","",IFERROR(INDEX(代理店一覧!$B$5:$B$204,MATCH(B1864,代理店一覧!$A$5:$A$204,0)),"※未登録のID"))</f>
        <v/>
      </c>
      <c r="D1864" s="20"/>
      <c r="E1864" s="20"/>
      <c r="F1864" s="20"/>
      <c r="G1864" s="20"/>
      <c r="H1864" s="20"/>
      <c r="I1864" s="21"/>
    </row>
    <row r="1865" customFormat="false" ht="15" hidden="false" customHeight="false" outlineLevel="0" collapsed="false">
      <c r="A1865" s="30"/>
      <c r="B1865" s="21"/>
      <c r="C1865" s="21" t="str">
        <f aca="false">IF(B1865="","",IFERROR(INDEX(代理店一覧!$B$5:$B$204,MATCH(B1865,代理店一覧!$A$5:$A$204,0)),"※未登録のID"))</f>
        <v/>
      </c>
      <c r="D1865" s="20"/>
      <c r="E1865" s="20"/>
      <c r="F1865" s="20"/>
      <c r="G1865" s="20"/>
      <c r="H1865" s="20"/>
      <c r="I1865" s="21"/>
    </row>
    <row r="1866" customFormat="false" ht="15" hidden="false" customHeight="false" outlineLevel="0" collapsed="false">
      <c r="A1866" s="30"/>
      <c r="B1866" s="21"/>
      <c r="C1866" s="21" t="str">
        <f aca="false">IF(B1866="","",IFERROR(INDEX(代理店一覧!$B$5:$B$204,MATCH(B1866,代理店一覧!$A$5:$A$204,0)),"※未登録のID"))</f>
        <v/>
      </c>
      <c r="D1866" s="20"/>
      <c r="E1866" s="20"/>
      <c r="F1866" s="20"/>
      <c r="G1866" s="20"/>
      <c r="H1866" s="20"/>
      <c r="I1866" s="21"/>
    </row>
    <row r="1867" customFormat="false" ht="15" hidden="false" customHeight="false" outlineLevel="0" collapsed="false">
      <c r="A1867" s="30"/>
      <c r="B1867" s="21"/>
      <c r="C1867" s="21" t="str">
        <f aca="false">IF(B1867="","",IFERROR(INDEX(代理店一覧!$B$5:$B$204,MATCH(B1867,代理店一覧!$A$5:$A$204,0)),"※未登録のID"))</f>
        <v/>
      </c>
      <c r="D1867" s="20"/>
      <c r="E1867" s="20"/>
      <c r="F1867" s="20"/>
      <c r="G1867" s="20"/>
      <c r="H1867" s="20"/>
      <c r="I1867" s="21"/>
    </row>
    <row r="1868" customFormat="false" ht="15" hidden="false" customHeight="false" outlineLevel="0" collapsed="false">
      <c r="A1868" s="30"/>
      <c r="B1868" s="21"/>
      <c r="C1868" s="21" t="str">
        <f aca="false">IF(B1868="","",IFERROR(INDEX(代理店一覧!$B$5:$B$204,MATCH(B1868,代理店一覧!$A$5:$A$204,0)),"※未登録のID"))</f>
        <v/>
      </c>
      <c r="D1868" s="20"/>
      <c r="E1868" s="20"/>
      <c r="F1868" s="20"/>
      <c r="G1868" s="20"/>
      <c r="H1868" s="20"/>
      <c r="I1868" s="21"/>
    </row>
    <row r="1869" customFormat="false" ht="15" hidden="false" customHeight="false" outlineLevel="0" collapsed="false">
      <c r="A1869" s="30"/>
      <c r="B1869" s="21"/>
      <c r="C1869" s="21" t="str">
        <f aca="false">IF(B1869="","",IFERROR(INDEX(代理店一覧!$B$5:$B$204,MATCH(B1869,代理店一覧!$A$5:$A$204,0)),"※未登録のID"))</f>
        <v/>
      </c>
      <c r="D1869" s="20"/>
      <c r="E1869" s="20"/>
      <c r="F1869" s="20"/>
      <c r="G1869" s="20"/>
      <c r="H1869" s="20"/>
      <c r="I1869" s="21"/>
    </row>
    <row r="1870" customFormat="false" ht="15" hidden="false" customHeight="false" outlineLevel="0" collapsed="false">
      <c r="A1870" s="30"/>
      <c r="B1870" s="21"/>
      <c r="C1870" s="21" t="str">
        <f aca="false">IF(B1870="","",IFERROR(INDEX(代理店一覧!$B$5:$B$204,MATCH(B1870,代理店一覧!$A$5:$A$204,0)),"※未登録のID"))</f>
        <v/>
      </c>
      <c r="D1870" s="20"/>
      <c r="E1870" s="20"/>
      <c r="F1870" s="20"/>
      <c r="G1870" s="20"/>
      <c r="H1870" s="20"/>
      <c r="I1870" s="21"/>
    </row>
    <row r="1871" customFormat="false" ht="15" hidden="false" customHeight="false" outlineLevel="0" collapsed="false">
      <c r="A1871" s="30"/>
      <c r="B1871" s="21"/>
      <c r="C1871" s="21" t="str">
        <f aca="false">IF(B1871="","",IFERROR(INDEX(代理店一覧!$B$5:$B$204,MATCH(B1871,代理店一覧!$A$5:$A$204,0)),"※未登録のID"))</f>
        <v/>
      </c>
      <c r="D1871" s="20"/>
      <c r="E1871" s="20"/>
      <c r="F1871" s="20"/>
      <c r="G1871" s="20"/>
      <c r="H1871" s="20"/>
      <c r="I1871" s="21"/>
    </row>
    <row r="1872" customFormat="false" ht="15" hidden="false" customHeight="false" outlineLevel="0" collapsed="false">
      <c r="A1872" s="30"/>
      <c r="B1872" s="21"/>
      <c r="C1872" s="21" t="str">
        <f aca="false">IF(B1872="","",IFERROR(INDEX(代理店一覧!$B$5:$B$204,MATCH(B1872,代理店一覧!$A$5:$A$204,0)),"※未登録のID"))</f>
        <v/>
      </c>
      <c r="D1872" s="20"/>
      <c r="E1872" s="20"/>
      <c r="F1872" s="20"/>
      <c r="G1872" s="20"/>
      <c r="H1872" s="20"/>
      <c r="I1872" s="21"/>
    </row>
    <row r="1873" customFormat="false" ht="15" hidden="false" customHeight="false" outlineLevel="0" collapsed="false">
      <c r="A1873" s="30"/>
      <c r="B1873" s="21"/>
      <c r="C1873" s="21" t="str">
        <f aca="false">IF(B1873="","",IFERROR(INDEX(代理店一覧!$B$5:$B$204,MATCH(B1873,代理店一覧!$A$5:$A$204,0)),"※未登録のID"))</f>
        <v/>
      </c>
      <c r="D1873" s="20"/>
      <c r="E1873" s="20"/>
      <c r="F1873" s="20"/>
      <c r="G1873" s="20"/>
      <c r="H1873" s="20"/>
      <c r="I1873" s="21"/>
    </row>
    <row r="1874" customFormat="false" ht="15" hidden="false" customHeight="false" outlineLevel="0" collapsed="false">
      <c r="A1874" s="30"/>
      <c r="B1874" s="21"/>
      <c r="C1874" s="21" t="str">
        <f aca="false">IF(B1874="","",IFERROR(INDEX(代理店一覧!$B$5:$B$204,MATCH(B1874,代理店一覧!$A$5:$A$204,0)),"※未登録のID"))</f>
        <v/>
      </c>
      <c r="D1874" s="20"/>
      <c r="E1874" s="20"/>
      <c r="F1874" s="20"/>
      <c r="G1874" s="20"/>
      <c r="H1874" s="20"/>
      <c r="I1874" s="21"/>
    </row>
    <row r="1875" customFormat="false" ht="15" hidden="false" customHeight="false" outlineLevel="0" collapsed="false">
      <c r="A1875" s="30"/>
      <c r="B1875" s="21"/>
      <c r="C1875" s="21" t="str">
        <f aca="false">IF(B1875="","",IFERROR(INDEX(代理店一覧!$B$5:$B$204,MATCH(B1875,代理店一覧!$A$5:$A$204,0)),"※未登録のID"))</f>
        <v/>
      </c>
      <c r="D1875" s="20"/>
      <c r="E1875" s="20"/>
      <c r="F1875" s="20"/>
      <c r="G1875" s="20"/>
      <c r="H1875" s="20"/>
      <c r="I1875" s="21"/>
    </row>
    <row r="1876" customFormat="false" ht="15" hidden="false" customHeight="false" outlineLevel="0" collapsed="false">
      <c r="A1876" s="30"/>
      <c r="B1876" s="21"/>
      <c r="C1876" s="21" t="str">
        <f aca="false">IF(B1876="","",IFERROR(INDEX(代理店一覧!$B$5:$B$204,MATCH(B1876,代理店一覧!$A$5:$A$204,0)),"※未登録のID"))</f>
        <v/>
      </c>
      <c r="D1876" s="20"/>
      <c r="E1876" s="20"/>
      <c r="F1876" s="20"/>
      <c r="G1876" s="20"/>
      <c r="H1876" s="20"/>
      <c r="I1876" s="21"/>
    </row>
    <row r="1877" customFormat="false" ht="15" hidden="false" customHeight="false" outlineLevel="0" collapsed="false">
      <c r="A1877" s="30"/>
      <c r="B1877" s="21"/>
      <c r="C1877" s="21" t="str">
        <f aca="false">IF(B1877="","",IFERROR(INDEX(代理店一覧!$B$5:$B$204,MATCH(B1877,代理店一覧!$A$5:$A$204,0)),"※未登録のID"))</f>
        <v/>
      </c>
      <c r="D1877" s="20"/>
      <c r="E1877" s="20"/>
      <c r="F1877" s="20"/>
      <c r="G1877" s="20"/>
      <c r="H1877" s="20"/>
      <c r="I1877" s="21"/>
    </row>
    <row r="1878" customFormat="false" ht="15" hidden="false" customHeight="false" outlineLevel="0" collapsed="false">
      <c r="A1878" s="30"/>
      <c r="B1878" s="21"/>
      <c r="C1878" s="21" t="str">
        <f aca="false">IF(B1878="","",IFERROR(INDEX(代理店一覧!$B$5:$B$204,MATCH(B1878,代理店一覧!$A$5:$A$204,0)),"※未登録のID"))</f>
        <v/>
      </c>
      <c r="D1878" s="20"/>
      <c r="E1878" s="20"/>
      <c r="F1878" s="20"/>
      <c r="G1878" s="20"/>
      <c r="H1878" s="20"/>
      <c r="I1878" s="21"/>
    </row>
    <row r="1879" customFormat="false" ht="15" hidden="false" customHeight="false" outlineLevel="0" collapsed="false">
      <c r="A1879" s="30"/>
      <c r="B1879" s="21"/>
      <c r="C1879" s="21" t="str">
        <f aca="false">IF(B1879="","",IFERROR(INDEX(代理店一覧!$B$5:$B$204,MATCH(B1879,代理店一覧!$A$5:$A$204,0)),"※未登録のID"))</f>
        <v/>
      </c>
      <c r="D1879" s="20"/>
      <c r="E1879" s="20"/>
      <c r="F1879" s="20"/>
      <c r="G1879" s="20"/>
      <c r="H1879" s="20"/>
      <c r="I1879" s="21"/>
    </row>
    <row r="1880" customFormat="false" ht="15" hidden="false" customHeight="false" outlineLevel="0" collapsed="false">
      <c r="A1880" s="30"/>
      <c r="B1880" s="21"/>
      <c r="C1880" s="21" t="str">
        <f aca="false">IF(B1880="","",IFERROR(INDEX(代理店一覧!$B$5:$B$204,MATCH(B1880,代理店一覧!$A$5:$A$204,0)),"※未登録のID"))</f>
        <v/>
      </c>
      <c r="D1880" s="20"/>
      <c r="E1880" s="20"/>
      <c r="F1880" s="20"/>
      <c r="G1880" s="20"/>
      <c r="H1880" s="20"/>
      <c r="I1880" s="21"/>
    </row>
    <row r="1881" customFormat="false" ht="15" hidden="false" customHeight="false" outlineLevel="0" collapsed="false">
      <c r="A1881" s="30"/>
      <c r="B1881" s="21"/>
      <c r="C1881" s="21" t="str">
        <f aca="false">IF(B1881="","",IFERROR(INDEX(代理店一覧!$B$5:$B$204,MATCH(B1881,代理店一覧!$A$5:$A$204,0)),"※未登録のID"))</f>
        <v/>
      </c>
      <c r="D1881" s="20"/>
      <c r="E1881" s="20"/>
      <c r="F1881" s="20"/>
      <c r="G1881" s="20"/>
      <c r="H1881" s="20"/>
      <c r="I1881" s="21"/>
    </row>
    <row r="1882" customFormat="false" ht="15" hidden="false" customHeight="false" outlineLevel="0" collapsed="false">
      <c r="A1882" s="30"/>
      <c r="B1882" s="21"/>
      <c r="C1882" s="21" t="str">
        <f aca="false">IF(B1882="","",IFERROR(INDEX(代理店一覧!$B$5:$B$204,MATCH(B1882,代理店一覧!$A$5:$A$204,0)),"※未登録のID"))</f>
        <v/>
      </c>
      <c r="D1882" s="20"/>
      <c r="E1882" s="20"/>
      <c r="F1882" s="20"/>
      <c r="G1882" s="20"/>
      <c r="H1882" s="20"/>
      <c r="I1882" s="21"/>
    </row>
    <row r="1883" customFormat="false" ht="15" hidden="false" customHeight="false" outlineLevel="0" collapsed="false">
      <c r="A1883" s="30"/>
      <c r="B1883" s="21"/>
      <c r="C1883" s="21" t="str">
        <f aca="false">IF(B1883="","",IFERROR(INDEX(代理店一覧!$B$5:$B$204,MATCH(B1883,代理店一覧!$A$5:$A$204,0)),"※未登録のID"))</f>
        <v/>
      </c>
      <c r="D1883" s="20"/>
      <c r="E1883" s="20"/>
      <c r="F1883" s="20"/>
      <c r="G1883" s="20"/>
      <c r="H1883" s="20"/>
      <c r="I1883" s="21"/>
    </row>
    <row r="1884" customFormat="false" ht="15" hidden="false" customHeight="false" outlineLevel="0" collapsed="false">
      <c r="A1884" s="30"/>
      <c r="B1884" s="21"/>
      <c r="C1884" s="21" t="str">
        <f aca="false">IF(B1884="","",IFERROR(INDEX(代理店一覧!$B$5:$B$204,MATCH(B1884,代理店一覧!$A$5:$A$204,0)),"※未登録のID"))</f>
        <v/>
      </c>
      <c r="D1884" s="20"/>
      <c r="E1884" s="20"/>
      <c r="F1884" s="20"/>
      <c r="G1884" s="20"/>
      <c r="H1884" s="20"/>
      <c r="I1884" s="21"/>
    </row>
    <row r="1885" customFormat="false" ht="15" hidden="false" customHeight="false" outlineLevel="0" collapsed="false">
      <c r="A1885" s="30"/>
      <c r="B1885" s="21"/>
      <c r="C1885" s="21" t="str">
        <f aca="false">IF(B1885="","",IFERROR(INDEX(代理店一覧!$B$5:$B$204,MATCH(B1885,代理店一覧!$A$5:$A$204,0)),"※未登録のID"))</f>
        <v/>
      </c>
      <c r="D1885" s="20"/>
      <c r="E1885" s="20"/>
      <c r="F1885" s="20"/>
      <c r="G1885" s="20"/>
      <c r="H1885" s="20"/>
      <c r="I1885" s="21"/>
    </row>
    <row r="1886" customFormat="false" ht="15" hidden="false" customHeight="false" outlineLevel="0" collapsed="false">
      <c r="A1886" s="30"/>
      <c r="B1886" s="21"/>
      <c r="C1886" s="21" t="str">
        <f aca="false">IF(B1886="","",IFERROR(INDEX(代理店一覧!$B$5:$B$204,MATCH(B1886,代理店一覧!$A$5:$A$204,0)),"※未登録のID"))</f>
        <v/>
      </c>
      <c r="D1886" s="20"/>
      <c r="E1886" s="20"/>
      <c r="F1886" s="20"/>
      <c r="G1886" s="20"/>
      <c r="H1886" s="20"/>
      <c r="I1886" s="21"/>
    </row>
    <row r="1887" customFormat="false" ht="15" hidden="false" customHeight="false" outlineLevel="0" collapsed="false">
      <c r="A1887" s="30"/>
      <c r="B1887" s="21"/>
      <c r="C1887" s="21" t="str">
        <f aca="false">IF(B1887="","",IFERROR(INDEX(代理店一覧!$B$5:$B$204,MATCH(B1887,代理店一覧!$A$5:$A$204,0)),"※未登録のID"))</f>
        <v/>
      </c>
      <c r="D1887" s="20"/>
      <c r="E1887" s="20"/>
      <c r="F1887" s="20"/>
      <c r="G1887" s="20"/>
      <c r="H1887" s="20"/>
      <c r="I1887" s="21"/>
    </row>
    <row r="1888" customFormat="false" ht="15" hidden="false" customHeight="false" outlineLevel="0" collapsed="false">
      <c r="A1888" s="30"/>
      <c r="B1888" s="21"/>
      <c r="C1888" s="21" t="str">
        <f aca="false">IF(B1888="","",IFERROR(INDEX(代理店一覧!$B$5:$B$204,MATCH(B1888,代理店一覧!$A$5:$A$204,0)),"※未登録のID"))</f>
        <v/>
      </c>
      <c r="D1888" s="20"/>
      <c r="E1888" s="20"/>
      <c r="F1888" s="20"/>
      <c r="G1888" s="20"/>
      <c r="H1888" s="20"/>
      <c r="I1888" s="21"/>
    </row>
    <row r="1889" customFormat="false" ht="15" hidden="false" customHeight="false" outlineLevel="0" collapsed="false">
      <c r="A1889" s="30"/>
      <c r="B1889" s="21"/>
      <c r="C1889" s="21" t="str">
        <f aca="false">IF(B1889="","",IFERROR(INDEX(代理店一覧!$B$5:$B$204,MATCH(B1889,代理店一覧!$A$5:$A$204,0)),"※未登録のID"))</f>
        <v/>
      </c>
      <c r="D1889" s="20"/>
      <c r="E1889" s="20"/>
      <c r="F1889" s="20"/>
      <c r="G1889" s="20"/>
      <c r="H1889" s="20"/>
      <c r="I1889" s="21"/>
    </row>
    <row r="1890" customFormat="false" ht="15" hidden="false" customHeight="false" outlineLevel="0" collapsed="false">
      <c r="A1890" s="30"/>
      <c r="B1890" s="21"/>
      <c r="C1890" s="21" t="str">
        <f aca="false">IF(B1890="","",IFERROR(INDEX(代理店一覧!$B$5:$B$204,MATCH(B1890,代理店一覧!$A$5:$A$204,0)),"※未登録のID"))</f>
        <v/>
      </c>
      <c r="D1890" s="20"/>
      <c r="E1890" s="20"/>
      <c r="F1890" s="20"/>
      <c r="G1890" s="20"/>
      <c r="H1890" s="20"/>
      <c r="I1890" s="21"/>
    </row>
    <row r="1891" customFormat="false" ht="15" hidden="false" customHeight="false" outlineLevel="0" collapsed="false">
      <c r="A1891" s="30"/>
      <c r="B1891" s="21"/>
      <c r="C1891" s="21" t="str">
        <f aca="false">IF(B1891="","",IFERROR(INDEX(代理店一覧!$B$5:$B$204,MATCH(B1891,代理店一覧!$A$5:$A$204,0)),"※未登録のID"))</f>
        <v/>
      </c>
      <c r="D1891" s="20"/>
      <c r="E1891" s="20"/>
      <c r="F1891" s="20"/>
      <c r="G1891" s="20"/>
      <c r="H1891" s="20"/>
      <c r="I1891" s="21"/>
    </row>
    <row r="1892" customFormat="false" ht="15" hidden="false" customHeight="false" outlineLevel="0" collapsed="false">
      <c r="A1892" s="30"/>
      <c r="B1892" s="21"/>
      <c r="C1892" s="21" t="str">
        <f aca="false">IF(B1892="","",IFERROR(INDEX(代理店一覧!$B$5:$B$204,MATCH(B1892,代理店一覧!$A$5:$A$204,0)),"※未登録のID"))</f>
        <v/>
      </c>
      <c r="D1892" s="20"/>
      <c r="E1892" s="20"/>
      <c r="F1892" s="20"/>
      <c r="G1892" s="20"/>
      <c r="H1892" s="20"/>
      <c r="I1892" s="21"/>
    </row>
    <row r="1893" customFormat="false" ht="15" hidden="false" customHeight="false" outlineLevel="0" collapsed="false">
      <c r="A1893" s="30"/>
      <c r="B1893" s="21"/>
      <c r="C1893" s="21" t="str">
        <f aca="false">IF(B1893="","",IFERROR(INDEX(代理店一覧!$B$5:$B$204,MATCH(B1893,代理店一覧!$A$5:$A$204,0)),"※未登録のID"))</f>
        <v/>
      </c>
      <c r="D1893" s="20"/>
      <c r="E1893" s="20"/>
      <c r="F1893" s="20"/>
      <c r="G1893" s="20"/>
      <c r="H1893" s="20"/>
      <c r="I1893" s="21"/>
    </row>
    <row r="1894" customFormat="false" ht="15" hidden="false" customHeight="false" outlineLevel="0" collapsed="false">
      <c r="A1894" s="30"/>
      <c r="B1894" s="21"/>
      <c r="C1894" s="21" t="str">
        <f aca="false">IF(B1894="","",IFERROR(INDEX(代理店一覧!$B$5:$B$204,MATCH(B1894,代理店一覧!$A$5:$A$204,0)),"※未登録のID"))</f>
        <v/>
      </c>
      <c r="D1894" s="20"/>
      <c r="E1894" s="20"/>
      <c r="F1894" s="20"/>
      <c r="G1894" s="20"/>
      <c r="H1894" s="20"/>
      <c r="I1894" s="21"/>
    </row>
    <row r="1895" customFormat="false" ht="15" hidden="false" customHeight="false" outlineLevel="0" collapsed="false">
      <c r="A1895" s="30"/>
      <c r="B1895" s="21"/>
      <c r="C1895" s="21" t="str">
        <f aca="false">IF(B1895="","",IFERROR(INDEX(代理店一覧!$B$5:$B$204,MATCH(B1895,代理店一覧!$A$5:$A$204,0)),"※未登録のID"))</f>
        <v/>
      </c>
      <c r="D1895" s="20"/>
      <c r="E1895" s="20"/>
      <c r="F1895" s="20"/>
      <c r="G1895" s="20"/>
      <c r="H1895" s="20"/>
      <c r="I1895" s="21"/>
    </row>
    <row r="1896" customFormat="false" ht="15" hidden="false" customHeight="false" outlineLevel="0" collapsed="false">
      <c r="A1896" s="30"/>
      <c r="B1896" s="21"/>
      <c r="C1896" s="21" t="str">
        <f aca="false">IF(B1896="","",IFERROR(INDEX(代理店一覧!$B$5:$B$204,MATCH(B1896,代理店一覧!$A$5:$A$204,0)),"※未登録のID"))</f>
        <v/>
      </c>
      <c r="D1896" s="20"/>
      <c r="E1896" s="20"/>
      <c r="F1896" s="20"/>
      <c r="G1896" s="20"/>
      <c r="H1896" s="20"/>
      <c r="I1896" s="21"/>
    </row>
    <row r="1897" customFormat="false" ht="15" hidden="false" customHeight="false" outlineLevel="0" collapsed="false">
      <c r="A1897" s="30"/>
      <c r="B1897" s="21"/>
      <c r="C1897" s="21" t="str">
        <f aca="false">IF(B1897="","",IFERROR(INDEX(代理店一覧!$B$5:$B$204,MATCH(B1897,代理店一覧!$A$5:$A$204,0)),"※未登録のID"))</f>
        <v/>
      </c>
      <c r="D1897" s="20"/>
      <c r="E1897" s="20"/>
      <c r="F1897" s="20"/>
      <c r="G1897" s="20"/>
      <c r="H1897" s="20"/>
      <c r="I1897" s="21"/>
    </row>
    <row r="1898" customFormat="false" ht="15" hidden="false" customHeight="false" outlineLevel="0" collapsed="false">
      <c r="A1898" s="30"/>
      <c r="B1898" s="21"/>
      <c r="C1898" s="21" t="str">
        <f aca="false">IF(B1898="","",IFERROR(INDEX(代理店一覧!$B$5:$B$204,MATCH(B1898,代理店一覧!$A$5:$A$204,0)),"※未登録のID"))</f>
        <v/>
      </c>
      <c r="D1898" s="20"/>
      <c r="E1898" s="20"/>
      <c r="F1898" s="20"/>
      <c r="G1898" s="20"/>
      <c r="H1898" s="20"/>
      <c r="I1898" s="21"/>
    </row>
    <row r="1899" customFormat="false" ht="15" hidden="false" customHeight="false" outlineLevel="0" collapsed="false">
      <c r="A1899" s="30"/>
      <c r="B1899" s="21"/>
      <c r="C1899" s="21" t="str">
        <f aca="false">IF(B1899="","",IFERROR(INDEX(代理店一覧!$B$5:$B$204,MATCH(B1899,代理店一覧!$A$5:$A$204,0)),"※未登録のID"))</f>
        <v/>
      </c>
      <c r="D1899" s="20"/>
      <c r="E1899" s="20"/>
      <c r="F1899" s="20"/>
      <c r="G1899" s="20"/>
      <c r="H1899" s="20"/>
      <c r="I1899" s="21"/>
    </row>
    <row r="1900" customFormat="false" ht="15" hidden="false" customHeight="false" outlineLevel="0" collapsed="false">
      <c r="A1900" s="30"/>
      <c r="B1900" s="21"/>
      <c r="C1900" s="21" t="str">
        <f aca="false">IF(B1900="","",IFERROR(INDEX(代理店一覧!$B$5:$B$204,MATCH(B1900,代理店一覧!$A$5:$A$204,0)),"※未登録のID"))</f>
        <v/>
      </c>
      <c r="D1900" s="20"/>
      <c r="E1900" s="20"/>
      <c r="F1900" s="20"/>
      <c r="G1900" s="20"/>
      <c r="H1900" s="20"/>
      <c r="I1900" s="21"/>
    </row>
    <row r="1901" customFormat="false" ht="15" hidden="false" customHeight="false" outlineLevel="0" collapsed="false">
      <c r="A1901" s="30"/>
      <c r="B1901" s="21"/>
      <c r="C1901" s="21" t="str">
        <f aca="false">IF(B1901="","",IFERROR(INDEX(代理店一覧!$B$5:$B$204,MATCH(B1901,代理店一覧!$A$5:$A$204,0)),"※未登録のID"))</f>
        <v/>
      </c>
      <c r="D1901" s="20"/>
      <c r="E1901" s="20"/>
      <c r="F1901" s="20"/>
      <c r="G1901" s="20"/>
      <c r="H1901" s="20"/>
      <c r="I1901" s="21"/>
    </row>
    <row r="1902" customFormat="false" ht="15" hidden="false" customHeight="false" outlineLevel="0" collapsed="false">
      <c r="A1902" s="30"/>
      <c r="B1902" s="21"/>
      <c r="C1902" s="21" t="str">
        <f aca="false">IF(B1902="","",IFERROR(INDEX(代理店一覧!$B$5:$B$204,MATCH(B1902,代理店一覧!$A$5:$A$204,0)),"※未登録のID"))</f>
        <v/>
      </c>
      <c r="D1902" s="20"/>
      <c r="E1902" s="20"/>
      <c r="F1902" s="20"/>
      <c r="G1902" s="20"/>
      <c r="H1902" s="20"/>
      <c r="I1902" s="21"/>
    </row>
    <row r="1903" customFormat="false" ht="15" hidden="false" customHeight="false" outlineLevel="0" collapsed="false">
      <c r="A1903" s="30"/>
      <c r="B1903" s="21"/>
      <c r="C1903" s="21" t="str">
        <f aca="false">IF(B1903="","",IFERROR(INDEX(代理店一覧!$B$5:$B$204,MATCH(B1903,代理店一覧!$A$5:$A$204,0)),"※未登録のID"))</f>
        <v/>
      </c>
      <c r="D1903" s="20"/>
      <c r="E1903" s="20"/>
      <c r="F1903" s="20"/>
      <c r="G1903" s="20"/>
      <c r="H1903" s="20"/>
      <c r="I1903" s="21"/>
    </row>
    <row r="1904" customFormat="false" ht="15" hidden="false" customHeight="false" outlineLevel="0" collapsed="false">
      <c r="A1904" s="30"/>
      <c r="B1904" s="21"/>
      <c r="C1904" s="21" t="str">
        <f aca="false">IF(B1904="","",IFERROR(INDEX(代理店一覧!$B$5:$B$204,MATCH(B1904,代理店一覧!$A$5:$A$204,0)),"※未登録のID"))</f>
        <v/>
      </c>
      <c r="D1904" s="20"/>
      <c r="E1904" s="20"/>
      <c r="F1904" s="20"/>
      <c r="G1904" s="20"/>
      <c r="H1904" s="20"/>
      <c r="I1904" s="21"/>
    </row>
    <row r="1905" customFormat="false" ht="15" hidden="false" customHeight="false" outlineLevel="0" collapsed="false">
      <c r="A1905" s="30"/>
      <c r="B1905" s="21"/>
      <c r="C1905" s="21" t="str">
        <f aca="false">IF(B1905="","",IFERROR(INDEX(代理店一覧!$B$5:$B$204,MATCH(B1905,代理店一覧!$A$5:$A$204,0)),"※未登録のID"))</f>
        <v/>
      </c>
      <c r="D1905" s="20"/>
      <c r="E1905" s="20"/>
      <c r="F1905" s="20"/>
      <c r="G1905" s="20"/>
      <c r="H1905" s="20"/>
      <c r="I1905" s="21"/>
    </row>
    <row r="1906" customFormat="false" ht="15" hidden="false" customHeight="false" outlineLevel="0" collapsed="false">
      <c r="A1906" s="30"/>
      <c r="B1906" s="21"/>
      <c r="C1906" s="21" t="str">
        <f aca="false">IF(B1906="","",IFERROR(INDEX(代理店一覧!$B$5:$B$204,MATCH(B1906,代理店一覧!$A$5:$A$204,0)),"※未登録のID"))</f>
        <v/>
      </c>
      <c r="D1906" s="20"/>
      <c r="E1906" s="20"/>
      <c r="F1906" s="20"/>
      <c r="G1906" s="20"/>
      <c r="H1906" s="20"/>
      <c r="I1906" s="21"/>
    </row>
    <row r="1907" customFormat="false" ht="15" hidden="false" customHeight="false" outlineLevel="0" collapsed="false">
      <c r="A1907" s="30"/>
      <c r="B1907" s="21"/>
      <c r="C1907" s="21" t="str">
        <f aca="false">IF(B1907="","",IFERROR(INDEX(代理店一覧!$B$5:$B$204,MATCH(B1907,代理店一覧!$A$5:$A$204,0)),"※未登録のID"))</f>
        <v/>
      </c>
      <c r="D1907" s="20"/>
      <c r="E1907" s="20"/>
      <c r="F1907" s="20"/>
      <c r="G1907" s="20"/>
      <c r="H1907" s="20"/>
      <c r="I1907" s="21"/>
    </row>
    <row r="1908" customFormat="false" ht="15" hidden="false" customHeight="false" outlineLevel="0" collapsed="false">
      <c r="A1908" s="30"/>
      <c r="B1908" s="21"/>
      <c r="C1908" s="21" t="str">
        <f aca="false">IF(B1908="","",IFERROR(INDEX(代理店一覧!$B$5:$B$204,MATCH(B1908,代理店一覧!$A$5:$A$204,0)),"※未登録のID"))</f>
        <v/>
      </c>
      <c r="D1908" s="20"/>
      <c r="E1908" s="20"/>
      <c r="F1908" s="20"/>
      <c r="G1908" s="20"/>
      <c r="H1908" s="20"/>
      <c r="I1908" s="21"/>
    </row>
    <row r="1909" customFormat="false" ht="15" hidden="false" customHeight="false" outlineLevel="0" collapsed="false">
      <c r="A1909" s="30"/>
      <c r="B1909" s="21"/>
      <c r="C1909" s="21" t="str">
        <f aca="false">IF(B1909="","",IFERROR(INDEX(代理店一覧!$B$5:$B$204,MATCH(B1909,代理店一覧!$A$5:$A$204,0)),"※未登録のID"))</f>
        <v/>
      </c>
      <c r="D1909" s="20"/>
      <c r="E1909" s="20"/>
      <c r="F1909" s="20"/>
      <c r="G1909" s="20"/>
      <c r="H1909" s="20"/>
      <c r="I1909" s="21"/>
    </row>
    <row r="1910" customFormat="false" ht="15" hidden="false" customHeight="false" outlineLevel="0" collapsed="false">
      <c r="A1910" s="30"/>
      <c r="B1910" s="21"/>
      <c r="C1910" s="21" t="str">
        <f aca="false">IF(B1910="","",IFERROR(INDEX(代理店一覧!$B$5:$B$204,MATCH(B1910,代理店一覧!$A$5:$A$204,0)),"※未登録のID"))</f>
        <v/>
      </c>
      <c r="D1910" s="20"/>
      <c r="E1910" s="20"/>
      <c r="F1910" s="20"/>
      <c r="G1910" s="20"/>
      <c r="H1910" s="20"/>
      <c r="I1910" s="21"/>
    </row>
    <row r="1911" customFormat="false" ht="15" hidden="false" customHeight="false" outlineLevel="0" collapsed="false">
      <c r="A1911" s="30"/>
      <c r="B1911" s="21"/>
      <c r="C1911" s="21" t="str">
        <f aca="false">IF(B1911="","",IFERROR(INDEX(代理店一覧!$B$5:$B$204,MATCH(B1911,代理店一覧!$A$5:$A$204,0)),"※未登録のID"))</f>
        <v/>
      </c>
      <c r="D1911" s="20"/>
      <c r="E1911" s="20"/>
      <c r="F1911" s="20"/>
      <c r="G1911" s="20"/>
      <c r="H1911" s="20"/>
      <c r="I1911" s="21"/>
    </row>
    <row r="1912" customFormat="false" ht="15" hidden="false" customHeight="false" outlineLevel="0" collapsed="false">
      <c r="A1912" s="30"/>
      <c r="B1912" s="21"/>
      <c r="C1912" s="21" t="str">
        <f aca="false">IF(B1912="","",IFERROR(INDEX(代理店一覧!$B$5:$B$204,MATCH(B1912,代理店一覧!$A$5:$A$204,0)),"※未登録のID"))</f>
        <v/>
      </c>
      <c r="D1912" s="20"/>
      <c r="E1912" s="20"/>
      <c r="F1912" s="20"/>
      <c r="G1912" s="20"/>
      <c r="H1912" s="20"/>
      <c r="I1912" s="21"/>
    </row>
    <row r="1913" customFormat="false" ht="15" hidden="false" customHeight="false" outlineLevel="0" collapsed="false">
      <c r="A1913" s="30"/>
      <c r="B1913" s="21"/>
      <c r="C1913" s="21" t="str">
        <f aca="false">IF(B1913="","",IFERROR(INDEX(代理店一覧!$B$5:$B$204,MATCH(B1913,代理店一覧!$A$5:$A$204,0)),"※未登録のID"))</f>
        <v/>
      </c>
      <c r="D1913" s="20"/>
      <c r="E1913" s="20"/>
      <c r="F1913" s="20"/>
      <c r="G1913" s="20"/>
      <c r="H1913" s="20"/>
      <c r="I1913" s="21"/>
    </row>
    <row r="1914" customFormat="false" ht="15" hidden="false" customHeight="false" outlineLevel="0" collapsed="false">
      <c r="A1914" s="30"/>
      <c r="B1914" s="21"/>
      <c r="C1914" s="21" t="str">
        <f aca="false">IF(B1914="","",IFERROR(INDEX(代理店一覧!$B$5:$B$204,MATCH(B1914,代理店一覧!$A$5:$A$204,0)),"※未登録のID"))</f>
        <v/>
      </c>
      <c r="D1914" s="20"/>
      <c r="E1914" s="20"/>
      <c r="F1914" s="20"/>
      <c r="G1914" s="20"/>
      <c r="H1914" s="20"/>
      <c r="I1914" s="21"/>
    </row>
    <row r="1915" customFormat="false" ht="15" hidden="false" customHeight="false" outlineLevel="0" collapsed="false">
      <c r="A1915" s="30"/>
      <c r="B1915" s="21"/>
      <c r="C1915" s="21" t="str">
        <f aca="false">IF(B1915="","",IFERROR(INDEX(代理店一覧!$B$5:$B$204,MATCH(B1915,代理店一覧!$A$5:$A$204,0)),"※未登録のID"))</f>
        <v/>
      </c>
      <c r="D1915" s="20"/>
      <c r="E1915" s="20"/>
      <c r="F1915" s="20"/>
      <c r="G1915" s="20"/>
      <c r="H1915" s="20"/>
      <c r="I1915" s="21"/>
    </row>
    <row r="1916" customFormat="false" ht="15" hidden="false" customHeight="false" outlineLevel="0" collapsed="false">
      <c r="A1916" s="30"/>
      <c r="B1916" s="21"/>
      <c r="C1916" s="21" t="str">
        <f aca="false">IF(B1916="","",IFERROR(INDEX(代理店一覧!$B$5:$B$204,MATCH(B1916,代理店一覧!$A$5:$A$204,0)),"※未登録のID"))</f>
        <v/>
      </c>
      <c r="D1916" s="20"/>
      <c r="E1916" s="20"/>
      <c r="F1916" s="20"/>
      <c r="G1916" s="20"/>
      <c r="H1916" s="20"/>
      <c r="I1916" s="21"/>
    </row>
    <row r="1917" customFormat="false" ht="15" hidden="false" customHeight="false" outlineLevel="0" collapsed="false">
      <c r="A1917" s="30"/>
      <c r="B1917" s="21"/>
      <c r="C1917" s="21" t="str">
        <f aca="false">IF(B1917="","",IFERROR(INDEX(代理店一覧!$B$5:$B$204,MATCH(B1917,代理店一覧!$A$5:$A$204,0)),"※未登録のID"))</f>
        <v/>
      </c>
      <c r="D1917" s="20"/>
      <c r="E1917" s="20"/>
      <c r="F1917" s="20"/>
      <c r="G1917" s="20"/>
      <c r="H1917" s="20"/>
      <c r="I1917" s="21"/>
    </row>
    <row r="1918" customFormat="false" ht="15" hidden="false" customHeight="false" outlineLevel="0" collapsed="false">
      <c r="A1918" s="30"/>
      <c r="B1918" s="21"/>
      <c r="C1918" s="21" t="str">
        <f aca="false">IF(B1918="","",IFERROR(INDEX(代理店一覧!$B$5:$B$204,MATCH(B1918,代理店一覧!$A$5:$A$204,0)),"※未登録のID"))</f>
        <v/>
      </c>
      <c r="D1918" s="20"/>
      <c r="E1918" s="20"/>
      <c r="F1918" s="20"/>
      <c r="G1918" s="20"/>
      <c r="H1918" s="20"/>
      <c r="I1918" s="21"/>
    </row>
    <row r="1919" customFormat="false" ht="15" hidden="false" customHeight="false" outlineLevel="0" collapsed="false">
      <c r="A1919" s="30"/>
      <c r="B1919" s="21"/>
      <c r="C1919" s="21" t="str">
        <f aca="false">IF(B1919="","",IFERROR(INDEX(代理店一覧!$B$5:$B$204,MATCH(B1919,代理店一覧!$A$5:$A$204,0)),"※未登録のID"))</f>
        <v/>
      </c>
      <c r="D1919" s="20"/>
      <c r="E1919" s="20"/>
      <c r="F1919" s="20"/>
      <c r="G1919" s="20"/>
      <c r="H1919" s="20"/>
      <c r="I1919" s="21"/>
    </row>
    <row r="1920" customFormat="false" ht="15" hidden="false" customHeight="false" outlineLevel="0" collapsed="false">
      <c r="A1920" s="30"/>
      <c r="B1920" s="21"/>
      <c r="C1920" s="21" t="str">
        <f aca="false">IF(B1920="","",IFERROR(INDEX(代理店一覧!$B$5:$B$204,MATCH(B1920,代理店一覧!$A$5:$A$204,0)),"※未登録のID"))</f>
        <v/>
      </c>
      <c r="D1920" s="20"/>
      <c r="E1920" s="20"/>
      <c r="F1920" s="20"/>
      <c r="G1920" s="20"/>
      <c r="H1920" s="20"/>
      <c r="I1920" s="21"/>
    </row>
    <row r="1921" customFormat="false" ht="15" hidden="false" customHeight="false" outlineLevel="0" collapsed="false">
      <c r="A1921" s="30"/>
      <c r="B1921" s="21"/>
      <c r="C1921" s="21" t="str">
        <f aca="false">IF(B1921="","",IFERROR(INDEX(代理店一覧!$B$5:$B$204,MATCH(B1921,代理店一覧!$A$5:$A$204,0)),"※未登録のID"))</f>
        <v/>
      </c>
      <c r="D1921" s="20"/>
      <c r="E1921" s="20"/>
      <c r="F1921" s="20"/>
      <c r="G1921" s="20"/>
      <c r="H1921" s="20"/>
      <c r="I1921" s="21"/>
    </row>
    <row r="1922" customFormat="false" ht="15" hidden="false" customHeight="false" outlineLevel="0" collapsed="false">
      <c r="A1922" s="30"/>
      <c r="B1922" s="21"/>
      <c r="C1922" s="21" t="str">
        <f aca="false">IF(B1922="","",IFERROR(INDEX(代理店一覧!$B$5:$B$204,MATCH(B1922,代理店一覧!$A$5:$A$204,0)),"※未登録のID"))</f>
        <v/>
      </c>
      <c r="D1922" s="20"/>
      <c r="E1922" s="20"/>
      <c r="F1922" s="20"/>
      <c r="G1922" s="20"/>
      <c r="H1922" s="20"/>
      <c r="I1922" s="21"/>
    </row>
    <row r="1923" customFormat="false" ht="15" hidden="false" customHeight="false" outlineLevel="0" collapsed="false">
      <c r="A1923" s="30"/>
      <c r="B1923" s="21"/>
      <c r="C1923" s="21" t="str">
        <f aca="false">IF(B1923="","",IFERROR(INDEX(代理店一覧!$B$5:$B$204,MATCH(B1923,代理店一覧!$A$5:$A$204,0)),"※未登録のID"))</f>
        <v/>
      </c>
      <c r="D1923" s="20"/>
      <c r="E1923" s="20"/>
      <c r="F1923" s="20"/>
      <c r="G1923" s="20"/>
      <c r="H1923" s="20"/>
      <c r="I1923" s="21"/>
    </row>
    <row r="1924" customFormat="false" ht="15" hidden="false" customHeight="false" outlineLevel="0" collapsed="false">
      <c r="A1924" s="30"/>
      <c r="B1924" s="21"/>
      <c r="C1924" s="21" t="str">
        <f aca="false">IF(B1924="","",IFERROR(INDEX(代理店一覧!$B$5:$B$204,MATCH(B1924,代理店一覧!$A$5:$A$204,0)),"※未登録のID"))</f>
        <v/>
      </c>
      <c r="D1924" s="20"/>
      <c r="E1924" s="20"/>
      <c r="F1924" s="20"/>
      <c r="G1924" s="20"/>
      <c r="H1924" s="20"/>
      <c r="I1924" s="21"/>
    </row>
    <row r="1925" customFormat="false" ht="15" hidden="false" customHeight="false" outlineLevel="0" collapsed="false">
      <c r="A1925" s="30"/>
      <c r="B1925" s="21"/>
      <c r="C1925" s="21" t="str">
        <f aca="false">IF(B1925="","",IFERROR(INDEX(代理店一覧!$B$5:$B$204,MATCH(B1925,代理店一覧!$A$5:$A$204,0)),"※未登録のID"))</f>
        <v/>
      </c>
      <c r="D1925" s="20"/>
      <c r="E1925" s="20"/>
      <c r="F1925" s="20"/>
      <c r="G1925" s="20"/>
      <c r="H1925" s="20"/>
      <c r="I1925" s="21"/>
    </row>
    <row r="1926" customFormat="false" ht="15" hidden="false" customHeight="false" outlineLevel="0" collapsed="false">
      <c r="A1926" s="30"/>
      <c r="B1926" s="21"/>
      <c r="C1926" s="21" t="str">
        <f aca="false">IF(B1926="","",IFERROR(INDEX(代理店一覧!$B$5:$B$204,MATCH(B1926,代理店一覧!$A$5:$A$204,0)),"※未登録のID"))</f>
        <v/>
      </c>
      <c r="D1926" s="20"/>
      <c r="E1926" s="20"/>
      <c r="F1926" s="20"/>
      <c r="G1926" s="20"/>
      <c r="H1926" s="20"/>
      <c r="I1926" s="21"/>
    </row>
    <row r="1927" customFormat="false" ht="15" hidden="false" customHeight="false" outlineLevel="0" collapsed="false">
      <c r="A1927" s="30"/>
      <c r="B1927" s="21"/>
      <c r="C1927" s="21" t="str">
        <f aca="false">IF(B1927="","",IFERROR(INDEX(代理店一覧!$B$5:$B$204,MATCH(B1927,代理店一覧!$A$5:$A$204,0)),"※未登録のID"))</f>
        <v/>
      </c>
      <c r="D1927" s="20"/>
      <c r="E1927" s="20"/>
      <c r="F1927" s="20"/>
      <c r="G1927" s="20"/>
      <c r="H1927" s="20"/>
      <c r="I1927" s="21"/>
    </row>
    <row r="1928" customFormat="false" ht="15" hidden="false" customHeight="false" outlineLevel="0" collapsed="false">
      <c r="A1928" s="30"/>
      <c r="B1928" s="21"/>
      <c r="C1928" s="21" t="str">
        <f aca="false">IF(B1928="","",IFERROR(INDEX(代理店一覧!$B$5:$B$204,MATCH(B1928,代理店一覧!$A$5:$A$204,0)),"※未登録のID"))</f>
        <v/>
      </c>
      <c r="D1928" s="20"/>
      <c r="E1928" s="20"/>
      <c r="F1928" s="20"/>
      <c r="G1928" s="20"/>
      <c r="H1928" s="20"/>
      <c r="I1928" s="21"/>
    </row>
    <row r="1929" customFormat="false" ht="15" hidden="false" customHeight="false" outlineLevel="0" collapsed="false">
      <c r="A1929" s="30"/>
      <c r="B1929" s="21"/>
      <c r="C1929" s="21" t="str">
        <f aca="false">IF(B1929="","",IFERROR(INDEX(代理店一覧!$B$5:$B$204,MATCH(B1929,代理店一覧!$A$5:$A$204,0)),"※未登録のID"))</f>
        <v/>
      </c>
      <c r="D1929" s="20"/>
      <c r="E1929" s="20"/>
      <c r="F1929" s="20"/>
      <c r="G1929" s="20"/>
      <c r="H1929" s="20"/>
      <c r="I1929" s="21"/>
    </row>
    <row r="1930" customFormat="false" ht="15" hidden="false" customHeight="false" outlineLevel="0" collapsed="false">
      <c r="A1930" s="30"/>
      <c r="B1930" s="21"/>
      <c r="C1930" s="21" t="str">
        <f aca="false">IF(B1930="","",IFERROR(INDEX(代理店一覧!$B$5:$B$204,MATCH(B1930,代理店一覧!$A$5:$A$204,0)),"※未登録のID"))</f>
        <v/>
      </c>
      <c r="D1930" s="20"/>
      <c r="E1930" s="20"/>
      <c r="F1930" s="20"/>
      <c r="G1930" s="20"/>
      <c r="H1930" s="20"/>
      <c r="I1930" s="21"/>
    </row>
    <row r="1931" customFormat="false" ht="15" hidden="false" customHeight="false" outlineLevel="0" collapsed="false">
      <c r="A1931" s="30"/>
      <c r="B1931" s="21"/>
      <c r="C1931" s="21" t="str">
        <f aca="false">IF(B1931="","",IFERROR(INDEX(代理店一覧!$B$5:$B$204,MATCH(B1931,代理店一覧!$A$5:$A$204,0)),"※未登録のID"))</f>
        <v/>
      </c>
      <c r="D1931" s="20"/>
      <c r="E1931" s="20"/>
      <c r="F1931" s="20"/>
      <c r="G1931" s="20"/>
      <c r="H1931" s="20"/>
      <c r="I1931" s="21"/>
    </row>
    <row r="1932" customFormat="false" ht="15" hidden="false" customHeight="false" outlineLevel="0" collapsed="false">
      <c r="A1932" s="30"/>
      <c r="B1932" s="21"/>
      <c r="C1932" s="21" t="str">
        <f aca="false">IF(B1932="","",IFERROR(INDEX(代理店一覧!$B$5:$B$204,MATCH(B1932,代理店一覧!$A$5:$A$204,0)),"※未登録のID"))</f>
        <v/>
      </c>
      <c r="D1932" s="20"/>
      <c r="E1932" s="20"/>
      <c r="F1932" s="20"/>
      <c r="G1932" s="20"/>
      <c r="H1932" s="20"/>
      <c r="I1932" s="21"/>
    </row>
    <row r="1933" customFormat="false" ht="15" hidden="false" customHeight="false" outlineLevel="0" collapsed="false">
      <c r="A1933" s="30"/>
      <c r="B1933" s="21"/>
      <c r="C1933" s="21" t="str">
        <f aca="false">IF(B1933="","",IFERROR(INDEX(代理店一覧!$B$5:$B$204,MATCH(B1933,代理店一覧!$A$5:$A$204,0)),"※未登録のID"))</f>
        <v/>
      </c>
      <c r="D1933" s="20"/>
      <c r="E1933" s="20"/>
      <c r="F1933" s="20"/>
      <c r="G1933" s="20"/>
      <c r="H1933" s="20"/>
      <c r="I1933" s="21"/>
    </row>
    <row r="1934" customFormat="false" ht="15" hidden="false" customHeight="false" outlineLevel="0" collapsed="false">
      <c r="A1934" s="30"/>
      <c r="B1934" s="21"/>
      <c r="C1934" s="21" t="str">
        <f aca="false">IF(B1934="","",IFERROR(INDEX(代理店一覧!$B$5:$B$204,MATCH(B1934,代理店一覧!$A$5:$A$204,0)),"※未登録のID"))</f>
        <v/>
      </c>
      <c r="D1934" s="20"/>
      <c r="E1934" s="20"/>
      <c r="F1934" s="20"/>
      <c r="G1934" s="20"/>
      <c r="H1934" s="20"/>
      <c r="I1934" s="21"/>
    </row>
    <row r="1935" customFormat="false" ht="15" hidden="false" customHeight="false" outlineLevel="0" collapsed="false">
      <c r="A1935" s="30"/>
      <c r="B1935" s="21"/>
      <c r="C1935" s="21" t="str">
        <f aca="false">IF(B1935="","",IFERROR(INDEX(代理店一覧!$B$5:$B$204,MATCH(B1935,代理店一覧!$A$5:$A$204,0)),"※未登録のID"))</f>
        <v/>
      </c>
      <c r="D1935" s="20"/>
      <c r="E1935" s="20"/>
      <c r="F1935" s="20"/>
      <c r="G1935" s="20"/>
      <c r="H1935" s="20"/>
      <c r="I1935" s="21"/>
    </row>
    <row r="1936" customFormat="false" ht="15" hidden="false" customHeight="false" outlineLevel="0" collapsed="false">
      <c r="A1936" s="30"/>
      <c r="B1936" s="21"/>
      <c r="C1936" s="21" t="str">
        <f aca="false">IF(B1936="","",IFERROR(INDEX(代理店一覧!$B$5:$B$204,MATCH(B1936,代理店一覧!$A$5:$A$204,0)),"※未登録のID"))</f>
        <v/>
      </c>
      <c r="D1936" s="20"/>
      <c r="E1936" s="20"/>
      <c r="F1936" s="20"/>
      <c r="G1936" s="20"/>
      <c r="H1936" s="20"/>
      <c r="I1936" s="21"/>
    </row>
    <row r="1937" customFormat="false" ht="15" hidden="false" customHeight="false" outlineLevel="0" collapsed="false">
      <c r="A1937" s="30"/>
      <c r="B1937" s="21"/>
      <c r="C1937" s="21" t="str">
        <f aca="false">IF(B1937="","",IFERROR(INDEX(代理店一覧!$B$5:$B$204,MATCH(B1937,代理店一覧!$A$5:$A$204,0)),"※未登録のID"))</f>
        <v/>
      </c>
      <c r="D1937" s="20"/>
      <c r="E1937" s="20"/>
      <c r="F1937" s="20"/>
      <c r="G1937" s="20"/>
      <c r="H1937" s="20"/>
      <c r="I1937" s="21"/>
    </row>
    <row r="1938" customFormat="false" ht="15" hidden="false" customHeight="false" outlineLevel="0" collapsed="false">
      <c r="A1938" s="30"/>
      <c r="B1938" s="21"/>
      <c r="C1938" s="21" t="str">
        <f aca="false">IF(B1938="","",IFERROR(INDEX(代理店一覧!$B$5:$B$204,MATCH(B1938,代理店一覧!$A$5:$A$204,0)),"※未登録のID"))</f>
        <v/>
      </c>
      <c r="D1938" s="20"/>
      <c r="E1938" s="20"/>
      <c r="F1938" s="20"/>
      <c r="G1938" s="20"/>
      <c r="H1938" s="20"/>
      <c r="I1938" s="21"/>
    </row>
    <row r="1939" customFormat="false" ht="15" hidden="false" customHeight="false" outlineLevel="0" collapsed="false">
      <c r="A1939" s="30"/>
      <c r="B1939" s="21"/>
      <c r="C1939" s="21" t="str">
        <f aca="false">IF(B1939="","",IFERROR(INDEX(代理店一覧!$B$5:$B$204,MATCH(B1939,代理店一覧!$A$5:$A$204,0)),"※未登録のID"))</f>
        <v/>
      </c>
      <c r="D1939" s="20"/>
      <c r="E1939" s="20"/>
      <c r="F1939" s="20"/>
      <c r="G1939" s="20"/>
      <c r="H1939" s="20"/>
      <c r="I1939" s="21"/>
    </row>
    <row r="1940" customFormat="false" ht="15" hidden="false" customHeight="false" outlineLevel="0" collapsed="false">
      <c r="A1940" s="30"/>
      <c r="B1940" s="21"/>
      <c r="C1940" s="21" t="str">
        <f aca="false">IF(B1940="","",IFERROR(INDEX(代理店一覧!$B$5:$B$204,MATCH(B1940,代理店一覧!$A$5:$A$204,0)),"※未登録のID"))</f>
        <v/>
      </c>
      <c r="D1940" s="20"/>
      <c r="E1940" s="20"/>
      <c r="F1940" s="20"/>
      <c r="G1940" s="20"/>
      <c r="H1940" s="20"/>
      <c r="I1940" s="21"/>
    </row>
    <row r="1941" customFormat="false" ht="15" hidden="false" customHeight="false" outlineLevel="0" collapsed="false">
      <c r="A1941" s="30"/>
      <c r="B1941" s="21"/>
      <c r="C1941" s="21" t="str">
        <f aca="false">IF(B1941="","",IFERROR(INDEX(代理店一覧!$B$5:$B$204,MATCH(B1941,代理店一覧!$A$5:$A$204,0)),"※未登録のID"))</f>
        <v/>
      </c>
      <c r="D1941" s="20"/>
      <c r="E1941" s="20"/>
      <c r="F1941" s="20"/>
      <c r="G1941" s="20"/>
      <c r="H1941" s="20"/>
      <c r="I1941" s="21"/>
    </row>
    <row r="1942" customFormat="false" ht="15" hidden="false" customHeight="false" outlineLevel="0" collapsed="false">
      <c r="A1942" s="30"/>
      <c r="B1942" s="21"/>
      <c r="C1942" s="21" t="str">
        <f aca="false">IF(B1942="","",IFERROR(INDEX(代理店一覧!$B$5:$B$204,MATCH(B1942,代理店一覧!$A$5:$A$204,0)),"※未登録のID"))</f>
        <v/>
      </c>
      <c r="D1942" s="20"/>
      <c r="E1942" s="20"/>
      <c r="F1942" s="20"/>
      <c r="G1942" s="20"/>
      <c r="H1942" s="20"/>
      <c r="I1942" s="21"/>
    </row>
    <row r="1943" customFormat="false" ht="15" hidden="false" customHeight="false" outlineLevel="0" collapsed="false">
      <c r="A1943" s="30"/>
      <c r="B1943" s="21"/>
      <c r="C1943" s="21" t="str">
        <f aca="false">IF(B1943="","",IFERROR(INDEX(代理店一覧!$B$5:$B$204,MATCH(B1943,代理店一覧!$A$5:$A$204,0)),"※未登録のID"))</f>
        <v/>
      </c>
      <c r="D1943" s="20"/>
      <c r="E1943" s="20"/>
      <c r="F1943" s="20"/>
      <c r="G1943" s="20"/>
      <c r="H1943" s="20"/>
      <c r="I1943" s="21"/>
    </row>
    <row r="1944" customFormat="false" ht="15" hidden="false" customHeight="false" outlineLevel="0" collapsed="false">
      <c r="A1944" s="30"/>
      <c r="B1944" s="21"/>
      <c r="C1944" s="21" t="str">
        <f aca="false">IF(B1944="","",IFERROR(INDEX(代理店一覧!$B$5:$B$204,MATCH(B1944,代理店一覧!$A$5:$A$204,0)),"※未登録のID"))</f>
        <v/>
      </c>
      <c r="D1944" s="20"/>
      <c r="E1944" s="20"/>
      <c r="F1944" s="20"/>
      <c r="G1944" s="20"/>
      <c r="H1944" s="20"/>
      <c r="I1944" s="21"/>
    </row>
    <row r="1945" customFormat="false" ht="15" hidden="false" customHeight="false" outlineLevel="0" collapsed="false">
      <c r="A1945" s="30"/>
      <c r="B1945" s="21"/>
      <c r="C1945" s="21" t="str">
        <f aca="false">IF(B1945="","",IFERROR(INDEX(代理店一覧!$B$5:$B$204,MATCH(B1945,代理店一覧!$A$5:$A$204,0)),"※未登録のID"))</f>
        <v/>
      </c>
      <c r="D1945" s="20"/>
      <c r="E1945" s="20"/>
      <c r="F1945" s="20"/>
      <c r="G1945" s="20"/>
      <c r="H1945" s="20"/>
      <c r="I1945" s="21"/>
    </row>
    <row r="1946" customFormat="false" ht="15" hidden="false" customHeight="false" outlineLevel="0" collapsed="false">
      <c r="A1946" s="30"/>
      <c r="B1946" s="21"/>
      <c r="C1946" s="21" t="str">
        <f aca="false">IF(B1946="","",IFERROR(INDEX(代理店一覧!$B$5:$B$204,MATCH(B1946,代理店一覧!$A$5:$A$204,0)),"※未登録のID"))</f>
        <v/>
      </c>
      <c r="D1946" s="20"/>
      <c r="E1946" s="20"/>
      <c r="F1946" s="20"/>
      <c r="G1946" s="20"/>
      <c r="H1946" s="20"/>
      <c r="I1946" s="21"/>
    </row>
    <row r="1947" customFormat="false" ht="15" hidden="false" customHeight="false" outlineLevel="0" collapsed="false">
      <c r="A1947" s="30"/>
      <c r="B1947" s="21"/>
      <c r="C1947" s="21" t="str">
        <f aca="false">IF(B1947="","",IFERROR(INDEX(代理店一覧!$B$5:$B$204,MATCH(B1947,代理店一覧!$A$5:$A$204,0)),"※未登録のID"))</f>
        <v/>
      </c>
      <c r="D1947" s="20"/>
      <c r="E1947" s="20"/>
      <c r="F1947" s="20"/>
      <c r="G1947" s="20"/>
      <c r="H1947" s="20"/>
      <c r="I1947" s="21"/>
    </row>
    <row r="1948" customFormat="false" ht="15" hidden="false" customHeight="false" outlineLevel="0" collapsed="false">
      <c r="A1948" s="30"/>
      <c r="B1948" s="21"/>
      <c r="C1948" s="21" t="str">
        <f aca="false">IF(B1948="","",IFERROR(INDEX(代理店一覧!$B$5:$B$204,MATCH(B1948,代理店一覧!$A$5:$A$204,0)),"※未登録のID"))</f>
        <v/>
      </c>
      <c r="D1948" s="20"/>
      <c r="E1948" s="20"/>
      <c r="F1948" s="20"/>
      <c r="G1948" s="20"/>
      <c r="H1948" s="20"/>
      <c r="I1948" s="21"/>
    </row>
    <row r="1949" customFormat="false" ht="15" hidden="false" customHeight="false" outlineLevel="0" collapsed="false">
      <c r="A1949" s="30"/>
      <c r="B1949" s="21"/>
      <c r="C1949" s="21" t="str">
        <f aca="false">IF(B1949="","",IFERROR(INDEX(代理店一覧!$B$5:$B$204,MATCH(B1949,代理店一覧!$A$5:$A$204,0)),"※未登録のID"))</f>
        <v/>
      </c>
      <c r="D1949" s="20"/>
      <c r="E1949" s="20"/>
      <c r="F1949" s="20"/>
      <c r="G1949" s="20"/>
      <c r="H1949" s="20"/>
      <c r="I1949" s="21"/>
    </row>
    <row r="1950" customFormat="false" ht="15" hidden="false" customHeight="false" outlineLevel="0" collapsed="false">
      <c r="A1950" s="30"/>
      <c r="B1950" s="21"/>
      <c r="C1950" s="21" t="str">
        <f aca="false">IF(B1950="","",IFERROR(INDEX(代理店一覧!$B$5:$B$204,MATCH(B1950,代理店一覧!$A$5:$A$204,0)),"※未登録のID"))</f>
        <v/>
      </c>
      <c r="D1950" s="20"/>
      <c r="E1950" s="20"/>
      <c r="F1950" s="20"/>
      <c r="G1950" s="20"/>
      <c r="H1950" s="20"/>
      <c r="I1950" s="21"/>
    </row>
    <row r="1951" customFormat="false" ht="15" hidden="false" customHeight="false" outlineLevel="0" collapsed="false">
      <c r="A1951" s="30"/>
      <c r="B1951" s="21"/>
      <c r="C1951" s="21" t="str">
        <f aca="false">IF(B1951="","",IFERROR(INDEX(代理店一覧!$B$5:$B$204,MATCH(B1951,代理店一覧!$A$5:$A$204,0)),"※未登録のID"))</f>
        <v/>
      </c>
      <c r="D1951" s="20"/>
      <c r="E1951" s="20"/>
      <c r="F1951" s="20"/>
      <c r="G1951" s="20"/>
      <c r="H1951" s="20"/>
      <c r="I1951" s="21"/>
    </row>
    <row r="1952" customFormat="false" ht="15" hidden="false" customHeight="false" outlineLevel="0" collapsed="false">
      <c r="A1952" s="30"/>
      <c r="B1952" s="21"/>
      <c r="C1952" s="21" t="str">
        <f aca="false">IF(B1952="","",IFERROR(INDEX(代理店一覧!$B$5:$B$204,MATCH(B1952,代理店一覧!$A$5:$A$204,0)),"※未登録のID"))</f>
        <v/>
      </c>
      <c r="D1952" s="20"/>
      <c r="E1952" s="20"/>
      <c r="F1952" s="20"/>
      <c r="G1952" s="20"/>
      <c r="H1952" s="20"/>
      <c r="I1952" s="21"/>
    </row>
    <row r="1953" customFormat="false" ht="15" hidden="false" customHeight="false" outlineLevel="0" collapsed="false">
      <c r="A1953" s="30"/>
      <c r="B1953" s="21"/>
      <c r="C1953" s="21" t="str">
        <f aca="false">IF(B1953="","",IFERROR(INDEX(代理店一覧!$B$5:$B$204,MATCH(B1953,代理店一覧!$A$5:$A$204,0)),"※未登録のID"))</f>
        <v/>
      </c>
      <c r="D1953" s="20"/>
      <c r="E1953" s="20"/>
      <c r="F1953" s="20"/>
      <c r="G1953" s="20"/>
      <c r="H1953" s="20"/>
      <c r="I1953" s="21"/>
    </row>
    <row r="1954" customFormat="false" ht="15" hidden="false" customHeight="false" outlineLevel="0" collapsed="false">
      <c r="A1954" s="30"/>
      <c r="B1954" s="21"/>
      <c r="C1954" s="21" t="str">
        <f aca="false">IF(B1954="","",IFERROR(INDEX(代理店一覧!$B$5:$B$204,MATCH(B1954,代理店一覧!$A$5:$A$204,0)),"※未登録のID"))</f>
        <v/>
      </c>
      <c r="D1954" s="20"/>
      <c r="E1954" s="20"/>
      <c r="F1954" s="20"/>
      <c r="G1954" s="20"/>
      <c r="H1954" s="20"/>
      <c r="I1954" s="21"/>
    </row>
    <row r="1955" customFormat="false" ht="15" hidden="false" customHeight="false" outlineLevel="0" collapsed="false">
      <c r="A1955" s="30"/>
      <c r="B1955" s="21"/>
      <c r="C1955" s="21" t="str">
        <f aca="false">IF(B1955="","",IFERROR(INDEX(代理店一覧!$B$5:$B$204,MATCH(B1955,代理店一覧!$A$5:$A$204,0)),"※未登録のID"))</f>
        <v/>
      </c>
      <c r="D1955" s="20"/>
      <c r="E1955" s="20"/>
      <c r="F1955" s="20"/>
      <c r="G1955" s="20"/>
      <c r="H1955" s="20"/>
      <c r="I1955" s="21"/>
    </row>
    <row r="1956" customFormat="false" ht="15" hidden="false" customHeight="false" outlineLevel="0" collapsed="false">
      <c r="A1956" s="30"/>
      <c r="B1956" s="21"/>
      <c r="C1956" s="21" t="str">
        <f aca="false">IF(B1956="","",IFERROR(INDEX(代理店一覧!$B$5:$B$204,MATCH(B1956,代理店一覧!$A$5:$A$204,0)),"※未登録のID"))</f>
        <v/>
      </c>
      <c r="D1956" s="20"/>
      <c r="E1956" s="20"/>
      <c r="F1956" s="20"/>
      <c r="G1956" s="20"/>
      <c r="H1956" s="20"/>
      <c r="I1956" s="21"/>
    </row>
    <row r="1957" customFormat="false" ht="15" hidden="false" customHeight="false" outlineLevel="0" collapsed="false">
      <c r="A1957" s="30"/>
      <c r="B1957" s="21"/>
      <c r="C1957" s="21" t="str">
        <f aca="false">IF(B1957="","",IFERROR(INDEX(代理店一覧!$B$5:$B$204,MATCH(B1957,代理店一覧!$A$5:$A$204,0)),"※未登録のID"))</f>
        <v/>
      </c>
      <c r="D1957" s="20"/>
      <c r="E1957" s="20"/>
      <c r="F1957" s="20"/>
      <c r="G1957" s="20"/>
      <c r="H1957" s="20"/>
      <c r="I1957" s="21"/>
    </row>
    <row r="1958" customFormat="false" ht="15" hidden="false" customHeight="false" outlineLevel="0" collapsed="false">
      <c r="A1958" s="30"/>
      <c r="B1958" s="21"/>
      <c r="C1958" s="21" t="str">
        <f aca="false">IF(B1958="","",IFERROR(INDEX(代理店一覧!$B$5:$B$204,MATCH(B1958,代理店一覧!$A$5:$A$204,0)),"※未登録のID"))</f>
        <v/>
      </c>
      <c r="D1958" s="20"/>
      <c r="E1958" s="20"/>
      <c r="F1958" s="20"/>
      <c r="G1958" s="20"/>
      <c r="H1958" s="20"/>
      <c r="I1958" s="21"/>
    </row>
    <row r="1959" customFormat="false" ht="15" hidden="false" customHeight="false" outlineLevel="0" collapsed="false">
      <c r="A1959" s="30"/>
      <c r="B1959" s="21"/>
      <c r="C1959" s="21" t="str">
        <f aca="false">IF(B1959="","",IFERROR(INDEX(代理店一覧!$B$5:$B$204,MATCH(B1959,代理店一覧!$A$5:$A$204,0)),"※未登録のID"))</f>
        <v/>
      </c>
      <c r="D1959" s="20"/>
      <c r="E1959" s="20"/>
      <c r="F1959" s="20"/>
      <c r="G1959" s="20"/>
      <c r="H1959" s="20"/>
      <c r="I1959" s="21"/>
    </row>
    <row r="1960" customFormat="false" ht="15" hidden="false" customHeight="false" outlineLevel="0" collapsed="false">
      <c r="A1960" s="30"/>
      <c r="B1960" s="21"/>
      <c r="C1960" s="21" t="str">
        <f aca="false">IF(B1960="","",IFERROR(INDEX(代理店一覧!$B$5:$B$204,MATCH(B1960,代理店一覧!$A$5:$A$204,0)),"※未登録のID"))</f>
        <v/>
      </c>
      <c r="D1960" s="20"/>
      <c r="E1960" s="20"/>
      <c r="F1960" s="20"/>
      <c r="G1960" s="20"/>
      <c r="H1960" s="20"/>
      <c r="I1960" s="21"/>
    </row>
    <row r="1961" customFormat="false" ht="15" hidden="false" customHeight="false" outlineLevel="0" collapsed="false">
      <c r="A1961" s="30"/>
      <c r="B1961" s="21"/>
      <c r="C1961" s="21" t="str">
        <f aca="false">IF(B1961="","",IFERROR(INDEX(代理店一覧!$B$5:$B$204,MATCH(B1961,代理店一覧!$A$5:$A$204,0)),"※未登録のID"))</f>
        <v/>
      </c>
      <c r="D1961" s="20"/>
      <c r="E1961" s="20"/>
      <c r="F1961" s="20"/>
      <c r="G1961" s="20"/>
      <c r="H1961" s="20"/>
      <c r="I1961" s="21"/>
    </row>
    <row r="1962" customFormat="false" ht="15" hidden="false" customHeight="false" outlineLevel="0" collapsed="false">
      <c r="A1962" s="30"/>
      <c r="B1962" s="21"/>
      <c r="C1962" s="21" t="str">
        <f aca="false">IF(B1962="","",IFERROR(INDEX(代理店一覧!$B$5:$B$204,MATCH(B1962,代理店一覧!$A$5:$A$204,0)),"※未登録のID"))</f>
        <v/>
      </c>
      <c r="D1962" s="20"/>
      <c r="E1962" s="20"/>
      <c r="F1962" s="20"/>
      <c r="G1962" s="20"/>
      <c r="H1962" s="20"/>
      <c r="I1962" s="21"/>
    </row>
    <row r="1963" customFormat="false" ht="15" hidden="false" customHeight="false" outlineLevel="0" collapsed="false">
      <c r="A1963" s="30"/>
      <c r="B1963" s="21"/>
      <c r="C1963" s="21" t="str">
        <f aca="false">IF(B1963="","",IFERROR(INDEX(代理店一覧!$B$5:$B$204,MATCH(B1963,代理店一覧!$A$5:$A$204,0)),"※未登録のID"))</f>
        <v/>
      </c>
      <c r="D1963" s="20"/>
      <c r="E1963" s="20"/>
      <c r="F1963" s="20"/>
      <c r="G1963" s="20"/>
      <c r="H1963" s="20"/>
      <c r="I1963" s="21"/>
    </row>
    <row r="1964" customFormat="false" ht="15" hidden="false" customHeight="false" outlineLevel="0" collapsed="false">
      <c r="A1964" s="30"/>
      <c r="B1964" s="21"/>
      <c r="C1964" s="21" t="str">
        <f aca="false">IF(B1964="","",IFERROR(INDEX(代理店一覧!$B$5:$B$204,MATCH(B1964,代理店一覧!$A$5:$A$204,0)),"※未登録のID"))</f>
        <v/>
      </c>
      <c r="D1964" s="20"/>
      <c r="E1964" s="20"/>
      <c r="F1964" s="20"/>
      <c r="G1964" s="20"/>
      <c r="H1964" s="20"/>
      <c r="I1964" s="21"/>
    </row>
    <row r="1965" customFormat="false" ht="15" hidden="false" customHeight="false" outlineLevel="0" collapsed="false">
      <c r="A1965" s="30"/>
      <c r="B1965" s="21"/>
      <c r="C1965" s="21" t="str">
        <f aca="false">IF(B1965="","",IFERROR(INDEX(代理店一覧!$B$5:$B$204,MATCH(B1965,代理店一覧!$A$5:$A$204,0)),"※未登録のID"))</f>
        <v/>
      </c>
      <c r="D1965" s="20"/>
      <c r="E1965" s="20"/>
      <c r="F1965" s="20"/>
      <c r="G1965" s="20"/>
      <c r="H1965" s="20"/>
      <c r="I1965" s="21"/>
    </row>
    <row r="1966" customFormat="false" ht="15" hidden="false" customHeight="false" outlineLevel="0" collapsed="false">
      <c r="A1966" s="30"/>
      <c r="B1966" s="21"/>
      <c r="C1966" s="21" t="str">
        <f aca="false">IF(B1966="","",IFERROR(INDEX(代理店一覧!$B$5:$B$204,MATCH(B1966,代理店一覧!$A$5:$A$204,0)),"※未登録のID"))</f>
        <v/>
      </c>
      <c r="D1966" s="20"/>
      <c r="E1966" s="20"/>
      <c r="F1966" s="20"/>
      <c r="G1966" s="20"/>
      <c r="H1966" s="20"/>
      <c r="I1966" s="21"/>
    </row>
    <row r="1967" customFormat="false" ht="15" hidden="false" customHeight="false" outlineLevel="0" collapsed="false">
      <c r="A1967" s="30"/>
      <c r="B1967" s="21"/>
      <c r="C1967" s="21" t="str">
        <f aca="false">IF(B1967="","",IFERROR(INDEX(代理店一覧!$B$5:$B$204,MATCH(B1967,代理店一覧!$A$5:$A$204,0)),"※未登録のID"))</f>
        <v/>
      </c>
      <c r="D1967" s="20"/>
      <c r="E1967" s="20"/>
      <c r="F1967" s="20"/>
      <c r="G1967" s="20"/>
      <c r="H1967" s="20"/>
      <c r="I1967" s="21"/>
    </row>
    <row r="1968" customFormat="false" ht="15" hidden="false" customHeight="false" outlineLevel="0" collapsed="false">
      <c r="A1968" s="30"/>
      <c r="B1968" s="21"/>
      <c r="C1968" s="21" t="str">
        <f aca="false">IF(B1968="","",IFERROR(INDEX(代理店一覧!$B$5:$B$204,MATCH(B1968,代理店一覧!$A$5:$A$204,0)),"※未登録のID"))</f>
        <v/>
      </c>
      <c r="D1968" s="20"/>
      <c r="E1968" s="20"/>
      <c r="F1968" s="20"/>
      <c r="G1968" s="20"/>
      <c r="H1968" s="20"/>
      <c r="I1968" s="21"/>
    </row>
    <row r="1969" customFormat="false" ht="15" hidden="false" customHeight="false" outlineLevel="0" collapsed="false">
      <c r="A1969" s="30"/>
      <c r="B1969" s="21"/>
      <c r="C1969" s="21" t="str">
        <f aca="false">IF(B1969="","",IFERROR(INDEX(代理店一覧!$B$5:$B$204,MATCH(B1969,代理店一覧!$A$5:$A$204,0)),"※未登録のID"))</f>
        <v/>
      </c>
      <c r="D1969" s="20"/>
      <c r="E1969" s="20"/>
      <c r="F1969" s="20"/>
      <c r="G1969" s="20"/>
      <c r="H1969" s="20"/>
      <c r="I1969" s="21"/>
    </row>
    <row r="1970" customFormat="false" ht="15" hidden="false" customHeight="false" outlineLevel="0" collapsed="false">
      <c r="A1970" s="30"/>
      <c r="B1970" s="21"/>
      <c r="C1970" s="21" t="str">
        <f aca="false">IF(B1970="","",IFERROR(INDEX(代理店一覧!$B$5:$B$204,MATCH(B1970,代理店一覧!$A$5:$A$204,0)),"※未登録のID"))</f>
        <v/>
      </c>
      <c r="D1970" s="20"/>
      <c r="E1970" s="20"/>
      <c r="F1970" s="20"/>
      <c r="G1970" s="20"/>
      <c r="H1970" s="20"/>
      <c r="I1970" s="21"/>
    </row>
    <row r="1971" customFormat="false" ht="15" hidden="false" customHeight="false" outlineLevel="0" collapsed="false">
      <c r="A1971" s="30"/>
      <c r="B1971" s="21"/>
      <c r="C1971" s="21" t="str">
        <f aca="false">IF(B1971="","",IFERROR(INDEX(代理店一覧!$B$5:$B$204,MATCH(B1971,代理店一覧!$A$5:$A$204,0)),"※未登録のID"))</f>
        <v/>
      </c>
      <c r="D1971" s="20"/>
      <c r="E1971" s="20"/>
      <c r="F1971" s="20"/>
      <c r="G1971" s="20"/>
      <c r="H1971" s="20"/>
      <c r="I1971" s="21"/>
    </row>
    <row r="1972" customFormat="false" ht="15" hidden="false" customHeight="false" outlineLevel="0" collapsed="false">
      <c r="A1972" s="30"/>
      <c r="B1972" s="21"/>
      <c r="C1972" s="21" t="str">
        <f aca="false">IF(B1972="","",IFERROR(INDEX(代理店一覧!$B$5:$B$204,MATCH(B1972,代理店一覧!$A$5:$A$204,0)),"※未登録のID"))</f>
        <v/>
      </c>
      <c r="D1972" s="20"/>
      <c r="E1972" s="20"/>
      <c r="F1972" s="20"/>
      <c r="G1972" s="20"/>
      <c r="H1972" s="20"/>
      <c r="I1972" s="21"/>
    </row>
    <row r="1973" customFormat="false" ht="15" hidden="false" customHeight="false" outlineLevel="0" collapsed="false">
      <c r="A1973" s="30"/>
      <c r="B1973" s="21"/>
      <c r="C1973" s="21" t="str">
        <f aca="false">IF(B1973="","",IFERROR(INDEX(代理店一覧!$B$5:$B$204,MATCH(B1973,代理店一覧!$A$5:$A$204,0)),"※未登録のID"))</f>
        <v/>
      </c>
      <c r="D1973" s="20"/>
      <c r="E1973" s="20"/>
      <c r="F1973" s="20"/>
      <c r="G1973" s="20"/>
      <c r="H1973" s="20"/>
      <c r="I1973" s="21"/>
    </row>
    <row r="1974" customFormat="false" ht="15" hidden="false" customHeight="false" outlineLevel="0" collapsed="false">
      <c r="A1974" s="30"/>
      <c r="B1974" s="21"/>
      <c r="C1974" s="21" t="str">
        <f aca="false">IF(B1974="","",IFERROR(INDEX(代理店一覧!$B$5:$B$204,MATCH(B1974,代理店一覧!$A$5:$A$204,0)),"※未登録のID"))</f>
        <v/>
      </c>
      <c r="D1974" s="20"/>
      <c r="E1974" s="20"/>
      <c r="F1974" s="20"/>
      <c r="G1974" s="20"/>
      <c r="H1974" s="20"/>
      <c r="I1974" s="21"/>
    </row>
    <row r="1975" customFormat="false" ht="15" hidden="false" customHeight="false" outlineLevel="0" collapsed="false">
      <c r="A1975" s="30"/>
      <c r="B1975" s="21"/>
      <c r="C1975" s="21" t="str">
        <f aca="false">IF(B1975="","",IFERROR(INDEX(代理店一覧!$B$5:$B$204,MATCH(B1975,代理店一覧!$A$5:$A$204,0)),"※未登録のID"))</f>
        <v/>
      </c>
      <c r="D1975" s="20"/>
      <c r="E1975" s="20"/>
      <c r="F1975" s="20"/>
      <c r="G1975" s="20"/>
      <c r="H1975" s="20"/>
      <c r="I1975" s="21"/>
    </row>
    <row r="1976" customFormat="false" ht="15" hidden="false" customHeight="false" outlineLevel="0" collapsed="false">
      <c r="A1976" s="30"/>
      <c r="B1976" s="21"/>
      <c r="C1976" s="21" t="str">
        <f aca="false">IF(B1976="","",IFERROR(INDEX(代理店一覧!$B$5:$B$204,MATCH(B1976,代理店一覧!$A$5:$A$204,0)),"※未登録のID"))</f>
        <v/>
      </c>
      <c r="D1976" s="20"/>
      <c r="E1976" s="20"/>
      <c r="F1976" s="20"/>
      <c r="G1976" s="20"/>
      <c r="H1976" s="20"/>
      <c r="I1976" s="21"/>
    </row>
    <row r="1977" customFormat="false" ht="15" hidden="false" customHeight="false" outlineLevel="0" collapsed="false">
      <c r="A1977" s="30"/>
      <c r="B1977" s="21"/>
      <c r="C1977" s="21" t="str">
        <f aca="false">IF(B1977="","",IFERROR(INDEX(代理店一覧!$B$5:$B$204,MATCH(B1977,代理店一覧!$A$5:$A$204,0)),"※未登録のID"))</f>
        <v/>
      </c>
      <c r="D1977" s="20"/>
      <c r="E1977" s="20"/>
      <c r="F1977" s="20"/>
      <c r="G1977" s="20"/>
      <c r="H1977" s="20"/>
      <c r="I1977" s="21"/>
    </row>
    <row r="1978" customFormat="false" ht="15" hidden="false" customHeight="false" outlineLevel="0" collapsed="false">
      <c r="A1978" s="30"/>
      <c r="B1978" s="21"/>
      <c r="C1978" s="21" t="str">
        <f aca="false">IF(B1978="","",IFERROR(INDEX(代理店一覧!$B$5:$B$204,MATCH(B1978,代理店一覧!$A$5:$A$204,0)),"※未登録のID"))</f>
        <v/>
      </c>
      <c r="D1978" s="20"/>
      <c r="E1978" s="20"/>
      <c r="F1978" s="20"/>
      <c r="G1978" s="20"/>
      <c r="H1978" s="20"/>
      <c r="I1978" s="21"/>
    </row>
    <row r="1979" customFormat="false" ht="15" hidden="false" customHeight="false" outlineLevel="0" collapsed="false">
      <c r="A1979" s="30"/>
      <c r="B1979" s="21"/>
      <c r="C1979" s="21" t="str">
        <f aca="false">IF(B1979="","",IFERROR(INDEX(代理店一覧!$B$5:$B$204,MATCH(B1979,代理店一覧!$A$5:$A$204,0)),"※未登録のID"))</f>
        <v/>
      </c>
      <c r="D1979" s="20"/>
      <c r="E1979" s="20"/>
      <c r="F1979" s="20"/>
      <c r="G1979" s="20"/>
      <c r="H1979" s="20"/>
      <c r="I1979" s="21"/>
    </row>
    <row r="1980" customFormat="false" ht="15" hidden="false" customHeight="false" outlineLevel="0" collapsed="false">
      <c r="A1980" s="30"/>
      <c r="B1980" s="21"/>
      <c r="C1980" s="21" t="str">
        <f aca="false">IF(B1980="","",IFERROR(INDEX(代理店一覧!$B$5:$B$204,MATCH(B1980,代理店一覧!$A$5:$A$204,0)),"※未登録のID"))</f>
        <v/>
      </c>
      <c r="D1980" s="20"/>
      <c r="E1980" s="20"/>
      <c r="F1980" s="20"/>
      <c r="G1980" s="20"/>
      <c r="H1980" s="20"/>
      <c r="I1980" s="21"/>
    </row>
    <row r="1981" customFormat="false" ht="15" hidden="false" customHeight="false" outlineLevel="0" collapsed="false">
      <c r="A1981" s="30"/>
      <c r="B1981" s="21"/>
      <c r="C1981" s="21" t="str">
        <f aca="false">IF(B1981="","",IFERROR(INDEX(代理店一覧!$B$5:$B$204,MATCH(B1981,代理店一覧!$A$5:$A$204,0)),"※未登録のID"))</f>
        <v/>
      </c>
      <c r="D1981" s="20"/>
      <c r="E1981" s="20"/>
      <c r="F1981" s="20"/>
      <c r="G1981" s="20"/>
      <c r="H1981" s="20"/>
      <c r="I1981" s="21"/>
    </row>
    <row r="1982" customFormat="false" ht="15" hidden="false" customHeight="false" outlineLevel="0" collapsed="false">
      <c r="A1982" s="30"/>
      <c r="B1982" s="21"/>
      <c r="C1982" s="21" t="str">
        <f aca="false">IF(B1982="","",IFERROR(INDEX(代理店一覧!$B$5:$B$204,MATCH(B1982,代理店一覧!$A$5:$A$204,0)),"※未登録のID"))</f>
        <v/>
      </c>
      <c r="D1982" s="20"/>
      <c r="E1982" s="20"/>
      <c r="F1982" s="20"/>
      <c r="G1982" s="20"/>
      <c r="H1982" s="20"/>
      <c r="I1982" s="21"/>
    </row>
    <row r="1983" customFormat="false" ht="15" hidden="false" customHeight="false" outlineLevel="0" collapsed="false">
      <c r="A1983" s="30"/>
      <c r="B1983" s="21"/>
      <c r="C1983" s="21" t="str">
        <f aca="false">IF(B1983="","",IFERROR(INDEX(代理店一覧!$B$5:$B$204,MATCH(B1983,代理店一覧!$A$5:$A$204,0)),"※未登録のID"))</f>
        <v/>
      </c>
      <c r="D1983" s="20"/>
      <c r="E1983" s="20"/>
      <c r="F1983" s="20"/>
      <c r="G1983" s="20"/>
      <c r="H1983" s="20"/>
      <c r="I1983" s="21"/>
    </row>
    <row r="1984" customFormat="false" ht="15" hidden="false" customHeight="false" outlineLevel="0" collapsed="false">
      <c r="A1984" s="30"/>
      <c r="B1984" s="21"/>
      <c r="C1984" s="21" t="str">
        <f aca="false">IF(B1984="","",IFERROR(INDEX(代理店一覧!$B$5:$B$204,MATCH(B1984,代理店一覧!$A$5:$A$204,0)),"※未登録のID"))</f>
        <v/>
      </c>
      <c r="D1984" s="20"/>
      <c r="E1984" s="20"/>
      <c r="F1984" s="20"/>
      <c r="G1984" s="20"/>
      <c r="H1984" s="20"/>
      <c r="I1984" s="21"/>
    </row>
    <row r="1985" customFormat="false" ht="15" hidden="false" customHeight="false" outlineLevel="0" collapsed="false">
      <c r="A1985" s="30"/>
      <c r="B1985" s="21"/>
      <c r="C1985" s="21" t="str">
        <f aca="false">IF(B1985="","",IFERROR(INDEX(代理店一覧!$B$5:$B$204,MATCH(B1985,代理店一覧!$A$5:$A$204,0)),"※未登録のID"))</f>
        <v/>
      </c>
      <c r="D1985" s="20"/>
      <c r="E1985" s="20"/>
      <c r="F1985" s="20"/>
      <c r="G1985" s="20"/>
      <c r="H1985" s="20"/>
      <c r="I1985" s="21"/>
    </row>
    <row r="1986" customFormat="false" ht="15" hidden="false" customHeight="false" outlineLevel="0" collapsed="false">
      <c r="A1986" s="30"/>
      <c r="B1986" s="21"/>
      <c r="C1986" s="21" t="str">
        <f aca="false">IF(B1986="","",IFERROR(INDEX(代理店一覧!$B$5:$B$204,MATCH(B1986,代理店一覧!$A$5:$A$204,0)),"※未登録のID"))</f>
        <v/>
      </c>
      <c r="D1986" s="20"/>
      <c r="E1986" s="20"/>
      <c r="F1986" s="20"/>
      <c r="G1986" s="20"/>
      <c r="H1986" s="20"/>
      <c r="I1986" s="21"/>
    </row>
    <row r="1987" customFormat="false" ht="15" hidden="false" customHeight="false" outlineLevel="0" collapsed="false">
      <c r="A1987" s="30"/>
      <c r="B1987" s="21"/>
      <c r="C1987" s="21" t="str">
        <f aca="false">IF(B1987="","",IFERROR(INDEX(代理店一覧!$B$5:$B$204,MATCH(B1987,代理店一覧!$A$5:$A$204,0)),"※未登録のID"))</f>
        <v/>
      </c>
      <c r="D1987" s="20"/>
      <c r="E1987" s="20"/>
      <c r="F1987" s="20"/>
      <c r="G1987" s="20"/>
      <c r="H1987" s="20"/>
      <c r="I1987" s="21"/>
    </row>
    <row r="1988" customFormat="false" ht="15" hidden="false" customHeight="false" outlineLevel="0" collapsed="false">
      <c r="A1988" s="30"/>
      <c r="B1988" s="21"/>
      <c r="C1988" s="21" t="str">
        <f aca="false">IF(B1988="","",IFERROR(INDEX(代理店一覧!$B$5:$B$204,MATCH(B1988,代理店一覧!$A$5:$A$204,0)),"※未登録のID"))</f>
        <v/>
      </c>
      <c r="D1988" s="20"/>
      <c r="E1988" s="20"/>
      <c r="F1988" s="20"/>
      <c r="G1988" s="20"/>
      <c r="H1988" s="20"/>
      <c r="I1988" s="21"/>
    </row>
    <row r="1989" customFormat="false" ht="15" hidden="false" customHeight="false" outlineLevel="0" collapsed="false">
      <c r="A1989" s="30"/>
      <c r="B1989" s="21"/>
      <c r="C1989" s="21" t="str">
        <f aca="false">IF(B1989="","",IFERROR(INDEX(代理店一覧!$B$5:$B$204,MATCH(B1989,代理店一覧!$A$5:$A$204,0)),"※未登録のID"))</f>
        <v/>
      </c>
      <c r="D1989" s="20"/>
      <c r="E1989" s="20"/>
      <c r="F1989" s="20"/>
      <c r="G1989" s="20"/>
      <c r="H1989" s="20"/>
      <c r="I1989" s="21"/>
    </row>
    <row r="1990" customFormat="false" ht="15" hidden="false" customHeight="false" outlineLevel="0" collapsed="false">
      <c r="A1990" s="30"/>
      <c r="B1990" s="21"/>
      <c r="C1990" s="21" t="str">
        <f aca="false">IF(B1990="","",IFERROR(INDEX(代理店一覧!$B$5:$B$204,MATCH(B1990,代理店一覧!$A$5:$A$204,0)),"※未登録のID"))</f>
        <v/>
      </c>
      <c r="D1990" s="20"/>
      <c r="E1990" s="20"/>
      <c r="F1990" s="20"/>
      <c r="G1990" s="20"/>
      <c r="H1990" s="20"/>
      <c r="I1990" s="21"/>
    </row>
    <row r="1991" customFormat="false" ht="15" hidden="false" customHeight="false" outlineLevel="0" collapsed="false">
      <c r="A1991" s="30"/>
      <c r="B1991" s="21"/>
      <c r="C1991" s="21" t="str">
        <f aca="false">IF(B1991="","",IFERROR(INDEX(代理店一覧!$B$5:$B$204,MATCH(B1991,代理店一覧!$A$5:$A$204,0)),"※未登録のID"))</f>
        <v/>
      </c>
      <c r="D1991" s="20"/>
      <c r="E1991" s="20"/>
      <c r="F1991" s="20"/>
      <c r="G1991" s="20"/>
      <c r="H1991" s="20"/>
      <c r="I1991" s="21"/>
    </row>
    <row r="1992" customFormat="false" ht="15" hidden="false" customHeight="false" outlineLevel="0" collapsed="false">
      <c r="A1992" s="30"/>
      <c r="B1992" s="21"/>
      <c r="C1992" s="21" t="str">
        <f aca="false">IF(B1992="","",IFERROR(INDEX(代理店一覧!$B$5:$B$204,MATCH(B1992,代理店一覧!$A$5:$A$204,0)),"※未登録のID"))</f>
        <v/>
      </c>
      <c r="D1992" s="20"/>
      <c r="E1992" s="20"/>
      <c r="F1992" s="20"/>
      <c r="G1992" s="20"/>
      <c r="H1992" s="20"/>
      <c r="I1992" s="21"/>
    </row>
    <row r="1993" customFormat="false" ht="15" hidden="false" customHeight="false" outlineLevel="0" collapsed="false">
      <c r="A1993" s="30"/>
      <c r="B1993" s="21"/>
      <c r="C1993" s="21" t="str">
        <f aca="false">IF(B1993="","",IFERROR(INDEX(代理店一覧!$B$5:$B$204,MATCH(B1993,代理店一覧!$A$5:$A$204,0)),"※未登録のID"))</f>
        <v/>
      </c>
      <c r="D1993" s="20"/>
      <c r="E1993" s="20"/>
      <c r="F1993" s="20"/>
      <c r="G1993" s="20"/>
      <c r="H1993" s="20"/>
      <c r="I1993" s="21"/>
    </row>
    <row r="1994" customFormat="false" ht="15" hidden="false" customHeight="false" outlineLevel="0" collapsed="false">
      <c r="A1994" s="30"/>
      <c r="B1994" s="21"/>
      <c r="C1994" s="21" t="str">
        <f aca="false">IF(B1994="","",IFERROR(INDEX(代理店一覧!$B$5:$B$204,MATCH(B1994,代理店一覧!$A$5:$A$204,0)),"※未登録のID"))</f>
        <v/>
      </c>
      <c r="D1994" s="20"/>
      <c r="E1994" s="20"/>
      <c r="F1994" s="20"/>
      <c r="G1994" s="20"/>
      <c r="H1994" s="20"/>
      <c r="I1994" s="21"/>
    </row>
    <row r="1995" customFormat="false" ht="15" hidden="false" customHeight="false" outlineLevel="0" collapsed="false">
      <c r="A1995" s="30"/>
      <c r="B1995" s="21"/>
      <c r="C1995" s="21" t="str">
        <f aca="false">IF(B1995="","",IFERROR(INDEX(代理店一覧!$B$5:$B$204,MATCH(B1995,代理店一覧!$A$5:$A$204,0)),"※未登録のID"))</f>
        <v/>
      </c>
      <c r="D1995" s="20"/>
      <c r="E1995" s="20"/>
      <c r="F1995" s="20"/>
      <c r="G1995" s="20"/>
      <c r="H1995" s="20"/>
      <c r="I1995" s="21"/>
    </row>
    <row r="1996" customFormat="false" ht="15" hidden="false" customHeight="false" outlineLevel="0" collapsed="false">
      <c r="A1996" s="30"/>
      <c r="B1996" s="21"/>
      <c r="C1996" s="21" t="str">
        <f aca="false">IF(B1996="","",IFERROR(INDEX(代理店一覧!$B$5:$B$204,MATCH(B1996,代理店一覧!$A$5:$A$204,0)),"※未登録のID"))</f>
        <v/>
      </c>
      <c r="D1996" s="20"/>
      <c r="E1996" s="20"/>
      <c r="F1996" s="20"/>
      <c r="G1996" s="20"/>
      <c r="H1996" s="20"/>
      <c r="I1996" s="21"/>
    </row>
    <row r="1997" customFormat="false" ht="15" hidden="false" customHeight="false" outlineLevel="0" collapsed="false">
      <c r="A1997" s="30"/>
      <c r="B1997" s="21"/>
      <c r="C1997" s="21" t="str">
        <f aca="false">IF(B1997="","",IFERROR(INDEX(代理店一覧!$B$5:$B$204,MATCH(B1997,代理店一覧!$A$5:$A$204,0)),"※未登録のID"))</f>
        <v/>
      </c>
      <c r="D1997" s="20"/>
      <c r="E1997" s="20"/>
      <c r="F1997" s="20"/>
      <c r="G1997" s="20"/>
      <c r="H1997" s="20"/>
      <c r="I1997" s="21"/>
    </row>
    <row r="1998" customFormat="false" ht="15" hidden="false" customHeight="false" outlineLevel="0" collapsed="false">
      <c r="A1998" s="30"/>
      <c r="B1998" s="21"/>
      <c r="C1998" s="21" t="str">
        <f aca="false">IF(B1998="","",IFERROR(INDEX(代理店一覧!$B$5:$B$204,MATCH(B1998,代理店一覧!$A$5:$A$204,0)),"※未登録のID"))</f>
        <v/>
      </c>
      <c r="D1998" s="20"/>
      <c r="E1998" s="20"/>
      <c r="F1998" s="20"/>
      <c r="G1998" s="20"/>
      <c r="H1998" s="20"/>
      <c r="I1998" s="21"/>
    </row>
    <row r="1999" customFormat="false" ht="15" hidden="false" customHeight="false" outlineLevel="0" collapsed="false">
      <c r="A1999" s="30"/>
      <c r="B1999" s="21"/>
      <c r="C1999" s="21" t="str">
        <f aca="false">IF(B1999="","",IFERROR(INDEX(代理店一覧!$B$5:$B$204,MATCH(B1999,代理店一覧!$A$5:$A$204,0)),"※未登録のID"))</f>
        <v/>
      </c>
      <c r="D1999" s="20"/>
      <c r="E1999" s="20"/>
      <c r="F1999" s="20"/>
      <c r="G1999" s="20"/>
      <c r="H1999" s="20"/>
      <c r="I1999" s="21"/>
    </row>
    <row r="2000" customFormat="false" ht="15" hidden="false" customHeight="false" outlineLevel="0" collapsed="false">
      <c r="A2000" s="30"/>
      <c r="B2000" s="21"/>
      <c r="C2000" s="21" t="str">
        <f aca="false">IF(B2000="","",IFERROR(INDEX(代理店一覧!$B$5:$B$204,MATCH(B2000,代理店一覧!$A$5:$A$204,0)),"※未登録のID"))</f>
        <v/>
      </c>
      <c r="D2000" s="20"/>
      <c r="E2000" s="20"/>
      <c r="F2000" s="20"/>
      <c r="G2000" s="20"/>
      <c r="H2000" s="20"/>
      <c r="I2000" s="21"/>
    </row>
    <row r="2001" customFormat="false" ht="15" hidden="false" customHeight="false" outlineLevel="0" collapsed="false">
      <c r="A2001" s="30"/>
      <c r="B2001" s="21"/>
      <c r="C2001" s="21" t="str">
        <f aca="false">IF(B2001="","",IFERROR(INDEX(代理店一覧!$B$5:$B$204,MATCH(B2001,代理店一覧!$A$5:$A$204,0)),"※未登録のID"))</f>
        <v/>
      </c>
      <c r="D2001" s="20"/>
      <c r="E2001" s="20"/>
      <c r="F2001" s="20"/>
      <c r="G2001" s="20"/>
      <c r="H2001" s="20"/>
      <c r="I2001" s="21"/>
    </row>
    <row r="2002" customFormat="false" ht="15" hidden="false" customHeight="false" outlineLevel="0" collapsed="false">
      <c r="A2002" s="30"/>
      <c r="B2002" s="21"/>
      <c r="C2002" s="21" t="str">
        <f aca="false">IF(B2002="","",IFERROR(INDEX(代理店一覧!$B$5:$B$204,MATCH(B2002,代理店一覧!$A$5:$A$204,0)),"※未登録のID"))</f>
        <v/>
      </c>
      <c r="D2002" s="20"/>
      <c r="E2002" s="20"/>
      <c r="F2002" s="20"/>
      <c r="G2002" s="20"/>
      <c r="H2002" s="20"/>
      <c r="I2002" s="21"/>
    </row>
    <row r="2003" customFormat="false" ht="15" hidden="false" customHeight="false" outlineLevel="0" collapsed="false">
      <c r="A2003" s="30"/>
      <c r="B2003" s="21"/>
      <c r="C2003" s="21" t="str">
        <f aca="false">IF(B2003="","",IFERROR(INDEX(代理店一覧!$B$5:$B$204,MATCH(B2003,代理店一覧!$A$5:$A$204,0)),"※未登録のID"))</f>
        <v/>
      </c>
      <c r="D2003" s="20"/>
      <c r="E2003" s="20"/>
      <c r="F2003" s="20"/>
      <c r="G2003" s="20"/>
      <c r="H2003" s="20"/>
      <c r="I2003" s="21"/>
    </row>
    <row r="2004" customFormat="false" ht="15" hidden="false" customHeight="false" outlineLevel="0" collapsed="false">
      <c r="A2004" s="30"/>
      <c r="B2004" s="21"/>
      <c r="C2004" s="21" t="str">
        <f aca="false">IF(B2004="","",IFERROR(INDEX(代理店一覧!$B$5:$B$204,MATCH(B2004,代理店一覧!$A$5:$A$204,0)),"※未登録のID"))</f>
        <v/>
      </c>
      <c r="D2004" s="20"/>
      <c r="E2004" s="20"/>
      <c r="F2004" s="20"/>
      <c r="G2004" s="20"/>
      <c r="H2004" s="20"/>
      <c r="I2004" s="21"/>
    </row>
    <row r="2005" customFormat="false" ht="15" hidden="false" customHeight="false" outlineLevel="0" collapsed="false">
      <c r="A2005" s="30"/>
      <c r="B2005" s="21"/>
      <c r="C2005" s="21" t="str">
        <f aca="false">IF(B2005="","",IFERROR(INDEX(代理店一覧!$B$5:$B$204,MATCH(B2005,代理店一覧!$A$5:$A$204,0)),"※未登録のID"))</f>
        <v/>
      </c>
      <c r="D2005" s="20"/>
      <c r="E2005" s="20"/>
      <c r="F2005" s="20"/>
      <c r="G2005" s="20"/>
      <c r="H2005" s="20"/>
      <c r="I2005" s="21"/>
    </row>
    <row r="2006" customFormat="false" ht="15" hidden="false" customHeight="false" outlineLevel="0" collapsed="false">
      <c r="A2006" s="30"/>
      <c r="B2006" s="21"/>
      <c r="C2006" s="21" t="str">
        <f aca="false">IF(B2006="","",IFERROR(INDEX(代理店一覧!$B$5:$B$204,MATCH(B2006,代理店一覧!$A$5:$A$204,0)),"※未登録のID"))</f>
        <v/>
      </c>
      <c r="D2006" s="20"/>
      <c r="E2006" s="20"/>
      <c r="F2006" s="20"/>
      <c r="G2006" s="20"/>
      <c r="H2006" s="20"/>
      <c r="I2006" s="21"/>
    </row>
    <row r="2007" customFormat="false" ht="15" hidden="false" customHeight="false" outlineLevel="0" collapsed="false">
      <c r="A2007" s="30"/>
      <c r="B2007" s="21"/>
      <c r="C2007" s="21" t="str">
        <f aca="false">IF(B2007="","",IFERROR(INDEX(代理店一覧!$B$5:$B$204,MATCH(B2007,代理店一覧!$A$5:$A$204,0)),"※未登録のID"))</f>
        <v/>
      </c>
      <c r="D2007" s="20"/>
      <c r="E2007" s="20"/>
      <c r="F2007" s="20"/>
      <c r="G2007" s="20"/>
      <c r="H2007" s="20"/>
      <c r="I2007" s="21"/>
    </row>
    <row r="2008" customFormat="false" ht="15" hidden="false" customHeight="false" outlineLevel="0" collapsed="false">
      <c r="A2008" s="30"/>
      <c r="B2008" s="21"/>
      <c r="C2008" s="21" t="str">
        <f aca="false">IF(B2008="","",IFERROR(INDEX(代理店一覧!$B$5:$B$204,MATCH(B2008,代理店一覧!$A$5:$A$204,0)),"※未登録のID"))</f>
        <v/>
      </c>
      <c r="D2008" s="20"/>
      <c r="E2008" s="20"/>
      <c r="F2008" s="20"/>
      <c r="G2008" s="20"/>
      <c r="H2008" s="20"/>
      <c r="I2008" s="21"/>
    </row>
    <row r="2009" customFormat="false" ht="15" hidden="false" customHeight="false" outlineLevel="0" collapsed="false">
      <c r="A2009" s="30"/>
      <c r="B2009" s="21"/>
      <c r="C2009" s="21" t="str">
        <f aca="false">IF(B2009="","",IFERROR(INDEX(代理店一覧!$B$5:$B$204,MATCH(B2009,代理店一覧!$A$5:$A$204,0)),"※未登録のID"))</f>
        <v/>
      </c>
      <c r="D2009" s="20"/>
      <c r="E2009" s="20"/>
      <c r="F2009" s="20"/>
      <c r="G2009" s="20"/>
      <c r="H2009" s="20"/>
      <c r="I2009" s="21"/>
    </row>
    <row r="2010" customFormat="false" ht="15" hidden="false" customHeight="false" outlineLevel="0" collapsed="false">
      <c r="A2010" s="30"/>
      <c r="B2010" s="21"/>
      <c r="C2010" s="21" t="str">
        <f aca="false">IF(B2010="","",IFERROR(INDEX(代理店一覧!$B$5:$B$204,MATCH(B2010,代理店一覧!$A$5:$A$204,0)),"※未登録のID"))</f>
        <v/>
      </c>
      <c r="D2010" s="20"/>
      <c r="E2010" s="20"/>
      <c r="F2010" s="20"/>
      <c r="G2010" s="20"/>
      <c r="H2010" s="20"/>
      <c r="I2010" s="21"/>
    </row>
    <row r="2011" customFormat="false" ht="15" hidden="false" customHeight="false" outlineLevel="0" collapsed="false">
      <c r="A2011" s="30"/>
      <c r="B2011" s="21"/>
      <c r="C2011" s="21" t="str">
        <f aca="false">IF(B2011="","",IFERROR(INDEX(代理店一覧!$B$5:$B$204,MATCH(B2011,代理店一覧!$A$5:$A$204,0)),"※未登録のID"))</f>
        <v/>
      </c>
      <c r="D2011" s="20"/>
      <c r="E2011" s="20"/>
      <c r="F2011" s="20"/>
      <c r="G2011" s="20"/>
      <c r="H2011" s="20"/>
      <c r="I2011" s="21"/>
    </row>
    <row r="2012" customFormat="false" ht="15" hidden="false" customHeight="false" outlineLevel="0" collapsed="false">
      <c r="A2012" s="30"/>
      <c r="B2012" s="21"/>
      <c r="C2012" s="21" t="str">
        <f aca="false">IF(B2012="","",IFERROR(INDEX(代理店一覧!$B$5:$B$204,MATCH(B2012,代理店一覧!$A$5:$A$204,0)),"※未登録のID"))</f>
        <v/>
      </c>
      <c r="D2012" s="20"/>
      <c r="E2012" s="20"/>
      <c r="F2012" s="20"/>
      <c r="G2012" s="20"/>
      <c r="H2012" s="20"/>
      <c r="I2012" s="21"/>
    </row>
    <row r="2013" customFormat="false" ht="15" hidden="false" customHeight="false" outlineLevel="0" collapsed="false">
      <c r="A2013" s="30"/>
      <c r="B2013" s="21"/>
      <c r="C2013" s="21" t="str">
        <f aca="false">IF(B2013="","",IFERROR(INDEX(代理店一覧!$B$5:$B$204,MATCH(B2013,代理店一覧!$A$5:$A$204,0)),"※未登録のID"))</f>
        <v/>
      </c>
      <c r="D2013" s="20"/>
      <c r="E2013" s="20"/>
      <c r="F2013" s="20"/>
      <c r="G2013" s="20"/>
      <c r="H2013" s="20"/>
      <c r="I2013" s="21"/>
    </row>
    <row r="2014" customFormat="false" ht="15" hidden="false" customHeight="false" outlineLevel="0" collapsed="false">
      <c r="A2014" s="30"/>
      <c r="B2014" s="21"/>
      <c r="C2014" s="21" t="str">
        <f aca="false">IF(B2014="","",IFERROR(INDEX(代理店一覧!$B$5:$B$204,MATCH(B2014,代理店一覧!$A$5:$A$204,0)),"※未登録のID"))</f>
        <v/>
      </c>
      <c r="D2014" s="20"/>
      <c r="E2014" s="20"/>
      <c r="F2014" s="20"/>
      <c r="G2014" s="20"/>
      <c r="H2014" s="20"/>
      <c r="I2014" s="21"/>
    </row>
    <row r="2015" customFormat="false" ht="15" hidden="false" customHeight="false" outlineLevel="0" collapsed="false">
      <c r="A2015" s="30"/>
      <c r="B2015" s="21"/>
      <c r="C2015" s="21" t="str">
        <f aca="false">IF(B2015="","",IFERROR(INDEX(代理店一覧!$B$5:$B$204,MATCH(B2015,代理店一覧!$A$5:$A$204,0)),"※未登録のID"))</f>
        <v/>
      </c>
      <c r="D2015" s="20"/>
      <c r="E2015" s="20"/>
      <c r="F2015" s="20"/>
      <c r="G2015" s="20"/>
      <c r="H2015" s="20"/>
      <c r="I2015" s="21"/>
    </row>
    <row r="2016" customFormat="false" ht="15" hidden="false" customHeight="false" outlineLevel="0" collapsed="false">
      <c r="A2016" s="30"/>
      <c r="B2016" s="21"/>
      <c r="C2016" s="21" t="str">
        <f aca="false">IF(B2016="","",IFERROR(INDEX(代理店一覧!$B$5:$B$204,MATCH(B2016,代理店一覧!$A$5:$A$204,0)),"※未登録のID"))</f>
        <v/>
      </c>
      <c r="D2016" s="20"/>
      <c r="E2016" s="20"/>
      <c r="F2016" s="20"/>
      <c r="G2016" s="20"/>
      <c r="H2016" s="20"/>
      <c r="I2016" s="21"/>
    </row>
    <row r="2017" customFormat="false" ht="15" hidden="false" customHeight="false" outlineLevel="0" collapsed="false">
      <c r="A2017" s="30"/>
      <c r="B2017" s="21"/>
      <c r="C2017" s="21" t="str">
        <f aca="false">IF(B2017="","",IFERROR(INDEX(代理店一覧!$B$5:$B$204,MATCH(B2017,代理店一覧!$A$5:$A$204,0)),"※未登録のID"))</f>
        <v/>
      </c>
      <c r="D2017" s="20"/>
      <c r="E2017" s="20"/>
      <c r="F2017" s="20"/>
      <c r="G2017" s="20"/>
      <c r="H2017" s="20"/>
      <c r="I2017" s="21"/>
    </row>
    <row r="2018" customFormat="false" ht="15" hidden="false" customHeight="false" outlineLevel="0" collapsed="false">
      <c r="A2018" s="30"/>
      <c r="B2018" s="21"/>
      <c r="C2018" s="21" t="str">
        <f aca="false">IF(B2018="","",IFERROR(INDEX(代理店一覧!$B$5:$B$204,MATCH(B2018,代理店一覧!$A$5:$A$204,0)),"※未登録のID"))</f>
        <v/>
      </c>
      <c r="D2018" s="20"/>
      <c r="E2018" s="20"/>
      <c r="F2018" s="20"/>
      <c r="G2018" s="20"/>
      <c r="H2018" s="20"/>
      <c r="I2018" s="21"/>
    </row>
    <row r="2019" customFormat="false" ht="15" hidden="false" customHeight="false" outlineLevel="0" collapsed="false">
      <c r="A2019" s="30"/>
      <c r="B2019" s="21"/>
      <c r="C2019" s="21" t="str">
        <f aca="false">IF(B2019="","",IFERROR(INDEX(代理店一覧!$B$5:$B$204,MATCH(B2019,代理店一覧!$A$5:$A$204,0)),"※未登録のID"))</f>
        <v/>
      </c>
      <c r="D2019" s="20"/>
      <c r="E2019" s="20"/>
      <c r="F2019" s="20"/>
      <c r="G2019" s="20"/>
      <c r="H2019" s="20"/>
      <c r="I2019" s="21"/>
    </row>
    <row r="2020" customFormat="false" ht="15" hidden="false" customHeight="false" outlineLevel="0" collapsed="false">
      <c r="A2020" s="30"/>
      <c r="B2020" s="21"/>
      <c r="C2020" s="21" t="str">
        <f aca="false">IF(B2020="","",IFERROR(INDEX(代理店一覧!$B$5:$B$204,MATCH(B2020,代理店一覧!$A$5:$A$204,0)),"※未登録のID"))</f>
        <v/>
      </c>
      <c r="D2020" s="20"/>
      <c r="E2020" s="20"/>
      <c r="F2020" s="20"/>
      <c r="G2020" s="20"/>
      <c r="H2020" s="20"/>
      <c r="I2020" s="21"/>
    </row>
    <row r="2021" customFormat="false" ht="15" hidden="false" customHeight="false" outlineLevel="0" collapsed="false">
      <c r="A2021" s="30"/>
      <c r="B2021" s="21"/>
      <c r="C2021" s="21" t="str">
        <f aca="false">IF(B2021="","",IFERROR(INDEX(代理店一覧!$B$5:$B$204,MATCH(B2021,代理店一覧!$A$5:$A$204,0)),"※未登録のID"))</f>
        <v/>
      </c>
      <c r="D2021" s="20"/>
      <c r="E2021" s="20"/>
      <c r="F2021" s="20"/>
      <c r="G2021" s="20"/>
      <c r="H2021" s="20"/>
      <c r="I2021" s="21"/>
    </row>
    <row r="2022" customFormat="false" ht="15" hidden="false" customHeight="false" outlineLevel="0" collapsed="false">
      <c r="A2022" s="30"/>
      <c r="B2022" s="21"/>
      <c r="C2022" s="21" t="str">
        <f aca="false">IF(B2022="","",IFERROR(INDEX(代理店一覧!$B$5:$B$204,MATCH(B2022,代理店一覧!$A$5:$A$204,0)),"※未登録のID"))</f>
        <v/>
      </c>
      <c r="D2022" s="20"/>
      <c r="E2022" s="20"/>
      <c r="F2022" s="20"/>
      <c r="G2022" s="20"/>
      <c r="H2022" s="20"/>
      <c r="I2022" s="21"/>
    </row>
    <row r="2023" customFormat="false" ht="15" hidden="false" customHeight="false" outlineLevel="0" collapsed="false">
      <c r="A2023" s="30"/>
      <c r="B2023" s="21"/>
      <c r="C2023" s="21" t="str">
        <f aca="false">IF(B2023="","",IFERROR(INDEX(代理店一覧!$B$5:$B$204,MATCH(B2023,代理店一覧!$A$5:$A$204,0)),"※未登録のID"))</f>
        <v/>
      </c>
      <c r="D2023" s="20"/>
      <c r="E2023" s="20"/>
      <c r="F2023" s="20"/>
      <c r="G2023" s="20"/>
      <c r="H2023" s="20"/>
      <c r="I2023" s="21"/>
    </row>
    <row r="2024" customFormat="false" ht="15" hidden="false" customHeight="false" outlineLevel="0" collapsed="false">
      <c r="A2024" s="30"/>
      <c r="B2024" s="21"/>
      <c r="C2024" s="21" t="str">
        <f aca="false">IF(B2024="","",IFERROR(INDEX(代理店一覧!$B$5:$B$204,MATCH(B2024,代理店一覧!$A$5:$A$204,0)),"※未登録のID"))</f>
        <v/>
      </c>
      <c r="D2024" s="20"/>
      <c r="E2024" s="20"/>
      <c r="F2024" s="20"/>
      <c r="G2024" s="20"/>
      <c r="H2024" s="20"/>
      <c r="I2024" s="21"/>
    </row>
    <row r="2025" customFormat="false" ht="15" hidden="false" customHeight="false" outlineLevel="0" collapsed="false">
      <c r="A2025" s="30"/>
      <c r="B2025" s="21"/>
      <c r="C2025" s="21" t="str">
        <f aca="false">IF(B2025="","",IFERROR(INDEX(代理店一覧!$B$5:$B$204,MATCH(B2025,代理店一覧!$A$5:$A$204,0)),"※未登録のID"))</f>
        <v/>
      </c>
      <c r="D2025" s="20"/>
      <c r="E2025" s="20"/>
      <c r="F2025" s="20"/>
      <c r="G2025" s="20"/>
      <c r="H2025" s="20"/>
      <c r="I2025" s="21"/>
    </row>
    <row r="2026" customFormat="false" ht="15" hidden="false" customHeight="false" outlineLevel="0" collapsed="false">
      <c r="A2026" s="30"/>
      <c r="B2026" s="21"/>
      <c r="C2026" s="21" t="str">
        <f aca="false">IF(B2026="","",IFERROR(INDEX(代理店一覧!$B$5:$B$204,MATCH(B2026,代理店一覧!$A$5:$A$204,0)),"※未登録のID"))</f>
        <v/>
      </c>
      <c r="D2026" s="20"/>
      <c r="E2026" s="20"/>
      <c r="F2026" s="20"/>
      <c r="G2026" s="20"/>
      <c r="H2026" s="20"/>
      <c r="I2026" s="21"/>
    </row>
    <row r="2027" customFormat="false" ht="15" hidden="false" customHeight="false" outlineLevel="0" collapsed="false">
      <c r="A2027" s="30"/>
      <c r="B2027" s="21"/>
      <c r="C2027" s="21" t="str">
        <f aca="false">IF(B2027="","",IFERROR(INDEX(代理店一覧!$B$5:$B$204,MATCH(B2027,代理店一覧!$A$5:$A$204,0)),"※未登録のID"))</f>
        <v/>
      </c>
      <c r="D2027" s="20"/>
      <c r="E2027" s="20"/>
      <c r="F2027" s="20"/>
      <c r="G2027" s="20"/>
      <c r="H2027" s="20"/>
      <c r="I2027" s="21"/>
    </row>
    <row r="2028" customFormat="false" ht="15" hidden="false" customHeight="false" outlineLevel="0" collapsed="false">
      <c r="A2028" s="30"/>
      <c r="B2028" s="21"/>
      <c r="C2028" s="21" t="str">
        <f aca="false">IF(B2028="","",IFERROR(INDEX(代理店一覧!$B$5:$B$204,MATCH(B2028,代理店一覧!$A$5:$A$204,0)),"※未登録のID"))</f>
        <v/>
      </c>
      <c r="D2028" s="20"/>
      <c r="E2028" s="20"/>
      <c r="F2028" s="20"/>
      <c r="G2028" s="20"/>
      <c r="H2028" s="20"/>
      <c r="I2028" s="21"/>
    </row>
    <row r="2029" customFormat="false" ht="15" hidden="false" customHeight="false" outlineLevel="0" collapsed="false">
      <c r="A2029" s="30"/>
      <c r="B2029" s="21"/>
      <c r="C2029" s="21" t="str">
        <f aca="false">IF(B2029="","",IFERROR(INDEX(代理店一覧!$B$5:$B$204,MATCH(B2029,代理店一覧!$A$5:$A$204,0)),"※未登録のID"))</f>
        <v/>
      </c>
      <c r="D2029" s="20"/>
      <c r="E2029" s="20"/>
      <c r="F2029" s="20"/>
      <c r="G2029" s="20"/>
      <c r="H2029" s="20"/>
      <c r="I2029" s="21"/>
    </row>
    <row r="2030" customFormat="false" ht="15" hidden="false" customHeight="false" outlineLevel="0" collapsed="false">
      <c r="A2030" s="30"/>
      <c r="B2030" s="21"/>
      <c r="C2030" s="21" t="str">
        <f aca="false">IF(B2030="","",IFERROR(INDEX(代理店一覧!$B$5:$B$204,MATCH(B2030,代理店一覧!$A$5:$A$204,0)),"※未登録のID"))</f>
        <v/>
      </c>
      <c r="D2030" s="20"/>
      <c r="E2030" s="20"/>
      <c r="F2030" s="20"/>
      <c r="G2030" s="20"/>
      <c r="H2030" s="20"/>
      <c r="I2030" s="21"/>
    </row>
    <row r="2031" customFormat="false" ht="15" hidden="false" customHeight="false" outlineLevel="0" collapsed="false">
      <c r="A2031" s="30"/>
      <c r="B2031" s="21"/>
      <c r="C2031" s="21" t="str">
        <f aca="false">IF(B2031="","",IFERROR(INDEX(代理店一覧!$B$5:$B$204,MATCH(B2031,代理店一覧!$A$5:$A$204,0)),"※未登録のID"))</f>
        <v/>
      </c>
      <c r="D2031" s="20"/>
      <c r="E2031" s="20"/>
      <c r="F2031" s="20"/>
      <c r="G2031" s="20"/>
      <c r="H2031" s="20"/>
      <c r="I2031" s="21"/>
    </row>
    <row r="2032" customFormat="false" ht="15" hidden="false" customHeight="false" outlineLevel="0" collapsed="false">
      <c r="A2032" s="30"/>
      <c r="B2032" s="21"/>
      <c r="C2032" s="21" t="str">
        <f aca="false">IF(B2032="","",IFERROR(INDEX(代理店一覧!$B$5:$B$204,MATCH(B2032,代理店一覧!$A$5:$A$204,0)),"※未登録のID"))</f>
        <v/>
      </c>
      <c r="D2032" s="20"/>
      <c r="E2032" s="20"/>
      <c r="F2032" s="20"/>
      <c r="G2032" s="20"/>
      <c r="H2032" s="20"/>
      <c r="I2032" s="21"/>
    </row>
    <row r="2033" customFormat="false" ht="15" hidden="false" customHeight="false" outlineLevel="0" collapsed="false">
      <c r="A2033" s="30"/>
      <c r="B2033" s="21"/>
      <c r="C2033" s="21" t="str">
        <f aca="false">IF(B2033="","",IFERROR(INDEX(代理店一覧!$B$5:$B$204,MATCH(B2033,代理店一覧!$A$5:$A$204,0)),"※未登録のID"))</f>
        <v/>
      </c>
      <c r="D2033" s="20"/>
      <c r="E2033" s="20"/>
      <c r="F2033" s="20"/>
      <c r="G2033" s="20"/>
      <c r="H2033" s="20"/>
      <c r="I2033" s="21"/>
    </row>
    <row r="2034" customFormat="false" ht="15" hidden="false" customHeight="false" outlineLevel="0" collapsed="false">
      <c r="A2034" s="30"/>
      <c r="B2034" s="21"/>
      <c r="C2034" s="21" t="str">
        <f aca="false">IF(B2034="","",IFERROR(INDEX(代理店一覧!$B$5:$B$204,MATCH(B2034,代理店一覧!$A$5:$A$204,0)),"※未登録のID"))</f>
        <v/>
      </c>
      <c r="D2034" s="20"/>
      <c r="E2034" s="20"/>
      <c r="F2034" s="20"/>
      <c r="G2034" s="20"/>
      <c r="H2034" s="20"/>
      <c r="I2034" s="21"/>
    </row>
    <row r="2035" customFormat="false" ht="15" hidden="false" customHeight="false" outlineLevel="0" collapsed="false">
      <c r="A2035" s="30"/>
      <c r="B2035" s="21"/>
      <c r="C2035" s="21" t="str">
        <f aca="false">IF(B2035="","",IFERROR(INDEX(代理店一覧!$B$5:$B$204,MATCH(B2035,代理店一覧!$A$5:$A$204,0)),"※未登録のID"))</f>
        <v/>
      </c>
      <c r="D2035" s="20"/>
      <c r="E2035" s="20"/>
      <c r="F2035" s="20"/>
      <c r="G2035" s="20"/>
      <c r="H2035" s="20"/>
      <c r="I2035" s="21"/>
    </row>
    <row r="2036" customFormat="false" ht="15" hidden="false" customHeight="false" outlineLevel="0" collapsed="false">
      <c r="A2036" s="30"/>
      <c r="B2036" s="21"/>
      <c r="C2036" s="21" t="str">
        <f aca="false">IF(B2036="","",IFERROR(INDEX(代理店一覧!$B$5:$B$204,MATCH(B2036,代理店一覧!$A$5:$A$204,0)),"※未登録のID"))</f>
        <v/>
      </c>
      <c r="D2036" s="20"/>
      <c r="E2036" s="20"/>
      <c r="F2036" s="20"/>
      <c r="G2036" s="20"/>
      <c r="H2036" s="20"/>
      <c r="I2036" s="21"/>
    </row>
    <row r="2037" customFormat="false" ht="15" hidden="false" customHeight="false" outlineLevel="0" collapsed="false">
      <c r="A2037" s="30"/>
      <c r="B2037" s="21"/>
      <c r="C2037" s="21" t="str">
        <f aca="false">IF(B2037="","",IFERROR(INDEX(代理店一覧!$B$5:$B$204,MATCH(B2037,代理店一覧!$A$5:$A$204,0)),"※未登録のID"))</f>
        <v/>
      </c>
      <c r="D2037" s="20"/>
      <c r="E2037" s="20"/>
      <c r="F2037" s="20"/>
      <c r="G2037" s="20"/>
      <c r="H2037" s="20"/>
      <c r="I2037" s="21"/>
    </row>
    <row r="2038" customFormat="false" ht="15" hidden="false" customHeight="false" outlineLevel="0" collapsed="false">
      <c r="A2038" s="30"/>
      <c r="B2038" s="21"/>
      <c r="C2038" s="21" t="str">
        <f aca="false">IF(B2038="","",IFERROR(INDEX(代理店一覧!$B$5:$B$204,MATCH(B2038,代理店一覧!$A$5:$A$204,0)),"※未登録のID"))</f>
        <v/>
      </c>
      <c r="D2038" s="20"/>
      <c r="E2038" s="20"/>
      <c r="F2038" s="20"/>
      <c r="G2038" s="20"/>
      <c r="H2038" s="20"/>
      <c r="I2038" s="21"/>
    </row>
    <row r="2039" customFormat="false" ht="15" hidden="false" customHeight="false" outlineLevel="0" collapsed="false">
      <c r="A2039" s="30"/>
      <c r="B2039" s="21"/>
      <c r="C2039" s="21" t="str">
        <f aca="false">IF(B2039="","",IFERROR(INDEX(代理店一覧!$B$5:$B$204,MATCH(B2039,代理店一覧!$A$5:$A$204,0)),"※未登録のID"))</f>
        <v/>
      </c>
      <c r="D2039" s="20"/>
      <c r="E2039" s="20"/>
      <c r="F2039" s="20"/>
      <c r="G2039" s="20"/>
      <c r="H2039" s="20"/>
      <c r="I2039" s="21"/>
    </row>
    <row r="2040" customFormat="false" ht="15" hidden="false" customHeight="false" outlineLevel="0" collapsed="false">
      <c r="A2040" s="30"/>
      <c r="B2040" s="21"/>
      <c r="C2040" s="21" t="str">
        <f aca="false">IF(B2040="","",IFERROR(INDEX(代理店一覧!$B$5:$B$204,MATCH(B2040,代理店一覧!$A$5:$A$204,0)),"※未登録のID"))</f>
        <v/>
      </c>
      <c r="D2040" s="20"/>
      <c r="E2040" s="20"/>
      <c r="F2040" s="20"/>
      <c r="G2040" s="20"/>
      <c r="H2040" s="20"/>
      <c r="I2040" s="21"/>
    </row>
    <row r="2041" customFormat="false" ht="15" hidden="false" customHeight="false" outlineLevel="0" collapsed="false">
      <c r="A2041" s="30"/>
      <c r="B2041" s="21"/>
      <c r="C2041" s="21" t="str">
        <f aca="false">IF(B2041="","",IFERROR(INDEX(代理店一覧!$B$5:$B$204,MATCH(B2041,代理店一覧!$A$5:$A$204,0)),"※未登録のID"))</f>
        <v/>
      </c>
      <c r="D2041" s="20"/>
      <c r="E2041" s="20"/>
      <c r="F2041" s="20"/>
      <c r="G2041" s="20"/>
      <c r="H2041" s="20"/>
      <c r="I2041" s="21"/>
    </row>
    <row r="2042" customFormat="false" ht="15" hidden="false" customHeight="false" outlineLevel="0" collapsed="false">
      <c r="A2042" s="30"/>
      <c r="B2042" s="21"/>
      <c r="C2042" s="21" t="str">
        <f aca="false">IF(B2042="","",IFERROR(INDEX(代理店一覧!$B$5:$B$204,MATCH(B2042,代理店一覧!$A$5:$A$204,0)),"※未登録のID"))</f>
        <v/>
      </c>
      <c r="D2042" s="20"/>
      <c r="E2042" s="20"/>
      <c r="F2042" s="20"/>
      <c r="G2042" s="20"/>
      <c r="H2042" s="20"/>
      <c r="I2042" s="21"/>
    </row>
    <row r="2043" customFormat="false" ht="15" hidden="false" customHeight="false" outlineLevel="0" collapsed="false">
      <c r="A2043" s="30"/>
      <c r="B2043" s="21"/>
      <c r="C2043" s="21" t="str">
        <f aca="false">IF(B2043="","",IFERROR(INDEX(代理店一覧!$B$5:$B$204,MATCH(B2043,代理店一覧!$A$5:$A$204,0)),"※未登録のID"))</f>
        <v/>
      </c>
      <c r="D2043" s="20"/>
      <c r="E2043" s="20"/>
      <c r="F2043" s="20"/>
      <c r="G2043" s="20"/>
      <c r="H2043" s="20"/>
      <c r="I2043" s="21"/>
    </row>
    <row r="2044" customFormat="false" ht="15" hidden="false" customHeight="false" outlineLevel="0" collapsed="false">
      <c r="A2044" s="30"/>
      <c r="B2044" s="21"/>
      <c r="C2044" s="21" t="str">
        <f aca="false">IF(B2044="","",IFERROR(INDEX(代理店一覧!$B$5:$B$204,MATCH(B2044,代理店一覧!$A$5:$A$204,0)),"※未登録のID"))</f>
        <v/>
      </c>
      <c r="D2044" s="20"/>
      <c r="E2044" s="20"/>
      <c r="F2044" s="20"/>
      <c r="G2044" s="20"/>
      <c r="H2044" s="20"/>
      <c r="I2044" s="21"/>
    </row>
    <row r="2045" customFormat="false" ht="15" hidden="false" customHeight="false" outlineLevel="0" collapsed="false">
      <c r="A2045" s="30"/>
      <c r="B2045" s="21"/>
      <c r="C2045" s="21" t="str">
        <f aca="false">IF(B2045="","",IFERROR(INDEX(代理店一覧!$B$5:$B$204,MATCH(B2045,代理店一覧!$A$5:$A$204,0)),"※未登録のID"))</f>
        <v/>
      </c>
      <c r="D2045" s="20"/>
      <c r="E2045" s="20"/>
      <c r="F2045" s="20"/>
      <c r="G2045" s="20"/>
      <c r="H2045" s="20"/>
      <c r="I2045" s="21"/>
    </row>
    <row r="2046" customFormat="false" ht="15" hidden="false" customHeight="false" outlineLevel="0" collapsed="false">
      <c r="A2046" s="30"/>
      <c r="B2046" s="21"/>
      <c r="C2046" s="21" t="str">
        <f aca="false">IF(B2046="","",IFERROR(INDEX(代理店一覧!$B$5:$B$204,MATCH(B2046,代理店一覧!$A$5:$A$204,0)),"※未登録のID"))</f>
        <v/>
      </c>
      <c r="D2046" s="20"/>
      <c r="E2046" s="20"/>
      <c r="F2046" s="20"/>
      <c r="G2046" s="20"/>
      <c r="H2046" s="20"/>
      <c r="I2046" s="21"/>
    </row>
    <row r="2047" customFormat="false" ht="15" hidden="false" customHeight="false" outlineLevel="0" collapsed="false">
      <c r="A2047" s="30"/>
      <c r="B2047" s="21"/>
      <c r="C2047" s="21" t="str">
        <f aca="false">IF(B2047="","",IFERROR(INDEX(代理店一覧!$B$5:$B$204,MATCH(B2047,代理店一覧!$A$5:$A$204,0)),"※未登録のID"))</f>
        <v/>
      </c>
      <c r="D2047" s="20"/>
      <c r="E2047" s="20"/>
      <c r="F2047" s="20"/>
      <c r="G2047" s="20"/>
      <c r="H2047" s="20"/>
      <c r="I2047" s="21"/>
    </row>
    <row r="2048" customFormat="false" ht="15" hidden="false" customHeight="false" outlineLevel="0" collapsed="false">
      <c r="A2048" s="30"/>
      <c r="B2048" s="21"/>
      <c r="C2048" s="21" t="str">
        <f aca="false">IF(B2048="","",IFERROR(INDEX(代理店一覧!$B$5:$B$204,MATCH(B2048,代理店一覧!$A$5:$A$204,0)),"※未登録のID"))</f>
        <v/>
      </c>
      <c r="D2048" s="20"/>
      <c r="E2048" s="20"/>
      <c r="F2048" s="20"/>
      <c r="G2048" s="20"/>
      <c r="H2048" s="20"/>
      <c r="I2048" s="21"/>
    </row>
    <row r="2049" customFormat="false" ht="15" hidden="false" customHeight="false" outlineLevel="0" collapsed="false">
      <c r="A2049" s="30"/>
      <c r="B2049" s="21"/>
      <c r="C2049" s="21" t="str">
        <f aca="false">IF(B2049="","",IFERROR(INDEX(代理店一覧!$B$5:$B$204,MATCH(B2049,代理店一覧!$A$5:$A$204,0)),"※未登録のID"))</f>
        <v/>
      </c>
      <c r="D2049" s="20"/>
      <c r="E2049" s="20"/>
      <c r="F2049" s="20"/>
      <c r="G2049" s="20"/>
      <c r="H2049" s="20"/>
      <c r="I2049" s="21"/>
    </row>
    <row r="2050" customFormat="false" ht="15" hidden="false" customHeight="false" outlineLevel="0" collapsed="false">
      <c r="A2050" s="30"/>
      <c r="B2050" s="21"/>
      <c r="C2050" s="21" t="str">
        <f aca="false">IF(B2050="","",IFERROR(INDEX(代理店一覧!$B$5:$B$204,MATCH(B2050,代理店一覧!$A$5:$A$204,0)),"※未登録のID"))</f>
        <v/>
      </c>
      <c r="D2050" s="20"/>
      <c r="E2050" s="20"/>
      <c r="F2050" s="20"/>
      <c r="G2050" s="20"/>
      <c r="H2050" s="20"/>
      <c r="I2050" s="21"/>
    </row>
    <row r="2051" customFormat="false" ht="15" hidden="false" customHeight="false" outlineLevel="0" collapsed="false">
      <c r="A2051" s="30"/>
      <c r="B2051" s="21"/>
      <c r="C2051" s="21" t="str">
        <f aca="false">IF(B2051="","",IFERROR(INDEX(代理店一覧!$B$5:$B$204,MATCH(B2051,代理店一覧!$A$5:$A$204,0)),"※未登録のID"))</f>
        <v/>
      </c>
      <c r="D2051" s="20"/>
      <c r="E2051" s="20"/>
      <c r="F2051" s="20"/>
      <c r="G2051" s="20"/>
      <c r="H2051" s="20"/>
      <c r="I2051" s="21"/>
    </row>
    <row r="2052" customFormat="false" ht="15" hidden="false" customHeight="false" outlineLevel="0" collapsed="false">
      <c r="A2052" s="30"/>
      <c r="B2052" s="21"/>
      <c r="C2052" s="21" t="str">
        <f aca="false">IF(B2052="","",IFERROR(INDEX(代理店一覧!$B$5:$B$204,MATCH(B2052,代理店一覧!$A$5:$A$204,0)),"※未登録のID"))</f>
        <v/>
      </c>
      <c r="D2052" s="20"/>
      <c r="E2052" s="20"/>
      <c r="F2052" s="20"/>
      <c r="G2052" s="20"/>
      <c r="H2052" s="20"/>
      <c r="I2052" s="21"/>
    </row>
    <row r="2053" customFormat="false" ht="15" hidden="false" customHeight="false" outlineLevel="0" collapsed="false">
      <c r="A2053" s="30"/>
      <c r="B2053" s="21"/>
      <c r="C2053" s="21" t="str">
        <f aca="false">IF(B2053="","",IFERROR(INDEX(代理店一覧!$B$5:$B$204,MATCH(B2053,代理店一覧!$A$5:$A$204,0)),"※未登録のID"))</f>
        <v/>
      </c>
      <c r="D2053" s="20"/>
      <c r="E2053" s="20"/>
      <c r="F2053" s="20"/>
      <c r="G2053" s="20"/>
      <c r="H2053" s="20"/>
      <c r="I2053" s="21"/>
    </row>
    <row r="2054" customFormat="false" ht="15" hidden="false" customHeight="false" outlineLevel="0" collapsed="false">
      <c r="A2054" s="30"/>
      <c r="B2054" s="21"/>
      <c r="C2054" s="21" t="str">
        <f aca="false">IF(B2054="","",IFERROR(INDEX(代理店一覧!$B$5:$B$204,MATCH(B2054,代理店一覧!$A$5:$A$204,0)),"※未登録のID"))</f>
        <v/>
      </c>
      <c r="D2054" s="20"/>
      <c r="E2054" s="20"/>
      <c r="F2054" s="20"/>
      <c r="G2054" s="20"/>
      <c r="H2054" s="20"/>
      <c r="I2054" s="21"/>
    </row>
    <row r="2055" customFormat="false" ht="15" hidden="false" customHeight="false" outlineLevel="0" collapsed="false">
      <c r="A2055" s="30"/>
      <c r="B2055" s="21"/>
      <c r="C2055" s="21" t="str">
        <f aca="false">IF(B2055="","",IFERROR(INDEX(代理店一覧!$B$5:$B$204,MATCH(B2055,代理店一覧!$A$5:$A$204,0)),"※未登録のID"))</f>
        <v/>
      </c>
      <c r="D2055" s="20"/>
      <c r="E2055" s="20"/>
      <c r="F2055" s="20"/>
      <c r="G2055" s="20"/>
      <c r="H2055" s="20"/>
      <c r="I2055" s="21"/>
    </row>
    <row r="2056" customFormat="false" ht="15" hidden="false" customHeight="false" outlineLevel="0" collapsed="false">
      <c r="A2056" s="30"/>
      <c r="B2056" s="21"/>
      <c r="C2056" s="21" t="str">
        <f aca="false">IF(B2056="","",IFERROR(INDEX(代理店一覧!$B$5:$B$204,MATCH(B2056,代理店一覧!$A$5:$A$204,0)),"※未登録のID"))</f>
        <v/>
      </c>
      <c r="D2056" s="20"/>
      <c r="E2056" s="20"/>
      <c r="F2056" s="20"/>
      <c r="G2056" s="20"/>
      <c r="H2056" s="20"/>
      <c r="I2056" s="21"/>
    </row>
    <row r="2057" customFormat="false" ht="15" hidden="false" customHeight="false" outlineLevel="0" collapsed="false">
      <c r="A2057" s="30"/>
      <c r="B2057" s="21"/>
      <c r="C2057" s="21" t="str">
        <f aca="false">IF(B2057="","",IFERROR(INDEX(代理店一覧!$B$5:$B$204,MATCH(B2057,代理店一覧!$A$5:$A$204,0)),"※未登録のID"))</f>
        <v/>
      </c>
      <c r="D2057" s="20"/>
      <c r="E2057" s="20"/>
      <c r="F2057" s="20"/>
      <c r="G2057" s="20"/>
      <c r="H2057" s="20"/>
      <c r="I2057" s="21"/>
    </row>
    <row r="2058" customFormat="false" ht="15" hidden="false" customHeight="false" outlineLevel="0" collapsed="false">
      <c r="A2058" s="30"/>
      <c r="B2058" s="21"/>
      <c r="C2058" s="21" t="str">
        <f aca="false">IF(B2058="","",IFERROR(INDEX(代理店一覧!$B$5:$B$204,MATCH(B2058,代理店一覧!$A$5:$A$204,0)),"※未登録のID"))</f>
        <v/>
      </c>
      <c r="D2058" s="20"/>
      <c r="E2058" s="20"/>
      <c r="F2058" s="20"/>
      <c r="G2058" s="20"/>
      <c r="H2058" s="20"/>
      <c r="I2058" s="21"/>
    </row>
    <row r="2059" customFormat="false" ht="15" hidden="false" customHeight="false" outlineLevel="0" collapsed="false">
      <c r="A2059" s="30"/>
      <c r="B2059" s="21"/>
      <c r="C2059" s="21" t="str">
        <f aca="false">IF(B2059="","",IFERROR(INDEX(代理店一覧!$B$5:$B$204,MATCH(B2059,代理店一覧!$A$5:$A$204,0)),"※未登録のID"))</f>
        <v/>
      </c>
      <c r="D2059" s="20"/>
      <c r="E2059" s="20"/>
      <c r="F2059" s="20"/>
      <c r="G2059" s="20"/>
      <c r="H2059" s="20"/>
      <c r="I2059" s="21"/>
    </row>
    <row r="2060" customFormat="false" ht="15" hidden="false" customHeight="false" outlineLevel="0" collapsed="false">
      <c r="A2060" s="30"/>
      <c r="B2060" s="21"/>
      <c r="C2060" s="21" t="str">
        <f aca="false">IF(B2060="","",IFERROR(INDEX(代理店一覧!$B$5:$B$204,MATCH(B2060,代理店一覧!$A$5:$A$204,0)),"※未登録のID"))</f>
        <v/>
      </c>
      <c r="D2060" s="20"/>
      <c r="E2060" s="20"/>
      <c r="F2060" s="20"/>
      <c r="G2060" s="20"/>
      <c r="H2060" s="20"/>
      <c r="I2060" s="21"/>
    </row>
    <row r="2061" customFormat="false" ht="15" hidden="false" customHeight="false" outlineLevel="0" collapsed="false">
      <c r="A2061" s="30"/>
      <c r="B2061" s="21"/>
      <c r="C2061" s="21" t="str">
        <f aca="false">IF(B2061="","",IFERROR(INDEX(代理店一覧!$B$5:$B$204,MATCH(B2061,代理店一覧!$A$5:$A$204,0)),"※未登録のID"))</f>
        <v/>
      </c>
      <c r="D2061" s="20"/>
      <c r="E2061" s="20"/>
      <c r="F2061" s="20"/>
      <c r="G2061" s="20"/>
      <c r="H2061" s="20"/>
      <c r="I2061" s="21"/>
    </row>
    <row r="2062" customFormat="false" ht="15" hidden="false" customHeight="false" outlineLevel="0" collapsed="false">
      <c r="A2062" s="30"/>
      <c r="B2062" s="21"/>
      <c r="C2062" s="21" t="str">
        <f aca="false">IF(B2062="","",IFERROR(INDEX(代理店一覧!$B$5:$B$204,MATCH(B2062,代理店一覧!$A$5:$A$204,0)),"※未登録のID"))</f>
        <v/>
      </c>
      <c r="D2062" s="20"/>
      <c r="E2062" s="20"/>
      <c r="F2062" s="20"/>
      <c r="G2062" s="20"/>
      <c r="H2062" s="20"/>
      <c r="I2062" s="21"/>
    </row>
    <row r="2063" customFormat="false" ht="15" hidden="false" customHeight="false" outlineLevel="0" collapsed="false">
      <c r="A2063" s="30"/>
      <c r="B2063" s="21"/>
      <c r="C2063" s="21" t="str">
        <f aca="false">IF(B2063="","",IFERROR(INDEX(代理店一覧!$B$5:$B$204,MATCH(B2063,代理店一覧!$A$5:$A$204,0)),"※未登録のID"))</f>
        <v/>
      </c>
      <c r="D2063" s="20"/>
      <c r="E2063" s="20"/>
      <c r="F2063" s="20"/>
      <c r="G2063" s="20"/>
      <c r="H2063" s="20"/>
      <c r="I2063" s="21"/>
    </row>
    <row r="2064" customFormat="false" ht="15" hidden="false" customHeight="false" outlineLevel="0" collapsed="false">
      <c r="A2064" s="30"/>
      <c r="B2064" s="21"/>
      <c r="C2064" s="21" t="str">
        <f aca="false">IF(B2064="","",IFERROR(INDEX(代理店一覧!$B$5:$B$204,MATCH(B2064,代理店一覧!$A$5:$A$204,0)),"※未登録のID"))</f>
        <v/>
      </c>
      <c r="D2064" s="20"/>
      <c r="E2064" s="20"/>
      <c r="F2064" s="20"/>
      <c r="G2064" s="20"/>
      <c r="H2064" s="20"/>
      <c r="I2064" s="21"/>
    </row>
    <row r="2065" customFormat="false" ht="15" hidden="false" customHeight="false" outlineLevel="0" collapsed="false">
      <c r="A2065" s="30"/>
      <c r="B2065" s="21"/>
      <c r="C2065" s="21" t="str">
        <f aca="false">IF(B2065="","",IFERROR(INDEX(代理店一覧!$B$5:$B$204,MATCH(B2065,代理店一覧!$A$5:$A$204,0)),"※未登録のID"))</f>
        <v/>
      </c>
      <c r="D2065" s="20"/>
      <c r="E2065" s="20"/>
      <c r="F2065" s="20"/>
      <c r="G2065" s="20"/>
      <c r="H2065" s="20"/>
      <c r="I2065" s="21"/>
    </row>
    <row r="2066" customFormat="false" ht="15" hidden="false" customHeight="false" outlineLevel="0" collapsed="false">
      <c r="A2066" s="30"/>
      <c r="B2066" s="21"/>
      <c r="C2066" s="21" t="str">
        <f aca="false">IF(B2066="","",IFERROR(INDEX(代理店一覧!$B$5:$B$204,MATCH(B2066,代理店一覧!$A$5:$A$204,0)),"※未登録のID"))</f>
        <v/>
      </c>
      <c r="D2066" s="20"/>
      <c r="E2066" s="20"/>
      <c r="F2066" s="20"/>
      <c r="G2066" s="20"/>
      <c r="H2066" s="20"/>
      <c r="I2066" s="21"/>
    </row>
    <row r="2067" customFormat="false" ht="15" hidden="false" customHeight="false" outlineLevel="0" collapsed="false">
      <c r="A2067" s="30"/>
      <c r="B2067" s="21"/>
      <c r="C2067" s="21" t="str">
        <f aca="false">IF(B2067="","",IFERROR(INDEX(代理店一覧!$B$5:$B$204,MATCH(B2067,代理店一覧!$A$5:$A$204,0)),"※未登録のID"))</f>
        <v/>
      </c>
      <c r="D2067" s="20"/>
      <c r="E2067" s="20"/>
      <c r="F2067" s="20"/>
      <c r="G2067" s="20"/>
      <c r="H2067" s="20"/>
      <c r="I2067" s="21"/>
    </row>
    <row r="2068" customFormat="false" ht="15" hidden="false" customHeight="false" outlineLevel="0" collapsed="false">
      <c r="A2068" s="30"/>
      <c r="B2068" s="21"/>
      <c r="C2068" s="21" t="str">
        <f aca="false">IF(B2068="","",IFERROR(INDEX(代理店一覧!$B$5:$B$204,MATCH(B2068,代理店一覧!$A$5:$A$204,0)),"※未登録のID"))</f>
        <v/>
      </c>
      <c r="D2068" s="20"/>
      <c r="E2068" s="20"/>
      <c r="F2068" s="20"/>
      <c r="G2068" s="20"/>
      <c r="H2068" s="20"/>
      <c r="I2068" s="21"/>
    </row>
    <row r="2069" customFormat="false" ht="15" hidden="false" customHeight="false" outlineLevel="0" collapsed="false">
      <c r="A2069" s="30"/>
      <c r="B2069" s="21"/>
      <c r="C2069" s="21" t="str">
        <f aca="false">IF(B2069="","",IFERROR(INDEX(代理店一覧!$B$5:$B$204,MATCH(B2069,代理店一覧!$A$5:$A$204,0)),"※未登録のID"))</f>
        <v/>
      </c>
      <c r="D2069" s="20"/>
      <c r="E2069" s="20"/>
      <c r="F2069" s="20"/>
      <c r="G2069" s="20"/>
      <c r="H2069" s="20"/>
      <c r="I2069" s="21"/>
    </row>
    <row r="2070" customFormat="false" ht="15" hidden="false" customHeight="false" outlineLevel="0" collapsed="false">
      <c r="A2070" s="30"/>
      <c r="B2070" s="21"/>
      <c r="C2070" s="21" t="str">
        <f aca="false">IF(B2070="","",IFERROR(INDEX(代理店一覧!$B$5:$B$204,MATCH(B2070,代理店一覧!$A$5:$A$204,0)),"※未登録のID"))</f>
        <v/>
      </c>
      <c r="D2070" s="20"/>
      <c r="E2070" s="20"/>
      <c r="F2070" s="20"/>
      <c r="G2070" s="20"/>
      <c r="H2070" s="20"/>
      <c r="I2070" s="21"/>
    </row>
    <row r="2071" customFormat="false" ht="15" hidden="false" customHeight="false" outlineLevel="0" collapsed="false">
      <c r="A2071" s="30"/>
      <c r="B2071" s="21"/>
      <c r="C2071" s="21" t="str">
        <f aca="false">IF(B2071="","",IFERROR(INDEX(代理店一覧!$B$5:$B$204,MATCH(B2071,代理店一覧!$A$5:$A$204,0)),"※未登録のID"))</f>
        <v/>
      </c>
      <c r="D2071" s="20"/>
      <c r="E2071" s="20"/>
      <c r="F2071" s="20"/>
      <c r="G2071" s="20"/>
      <c r="H2071" s="20"/>
      <c r="I2071" s="21"/>
    </row>
    <row r="2072" customFormat="false" ht="15" hidden="false" customHeight="false" outlineLevel="0" collapsed="false">
      <c r="A2072" s="30"/>
      <c r="B2072" s="21"/>
      <c r="C2072" s="21" t="str">
        <f aca="false">IF(B2072="","",IFERROR(INDEX(代理店一覧!$B$5:$B$204,MATCH(B2072,代理店一覧!$A$5:$A$204,0)),"※未登録のID"))</f>
        <v/>
      </c>
      <c r="D2072" s="20"/>
      <c r="E2072" s="20"/>
      <c r="F2072" s="20"/>
      <c r="G2072" s="20"/>
      <c r="H2072" s="20"/>
      <c r="I2072" s="21"/>
    </row>
    <row r="2073" customFormat="false" ht="15" hidden="false" customHeight="false" outlineLevel="0" collapsed="false">
      <c r="A2073" s="30"/>
      <c r="B2073" s="21"/>
      <c r="C2073" s="21" t="str">
        <f aca="false">IF(B2073="","",IFERROR(INDEX(代理店一覧!$B$5:$B$204,MATCH(B2073,代理店一覧!$A$5:$A$204,0)),"※未登録のID"))</f>
        <v/>
      </c>
      <c r="D2073" s="20"/>
      <c r="E2073" s="20"/>
      <c r="F2073" s="20"/>
      <c r="G2073" s="20"/>
      <c r="H2073" s="20"/>
      <c r="I2073" s="21"/>
    </row>
    <row r="2074" customFormat="false" ht="15" hidden="false" customHeight="false" outlineLevel="0" collapsed="false">
      <c r="A2074" s="30"/>
      <c r="B2074" s="21"/>
      <c r="C2074" s="21" t="str">
        <f aca="false">IF(B2074="","",IFERROR(INDEX(代理店一覧!$B$5:$B$204,MATCH(B2074,代理店一覧!$A$5:$A$204,0)),"※未登録のID"))</f>
        <v/>
      </c>
      <c r="D2074" s="20"/>
      <c r="E2074" s="20"/>
      <c r="F2074" s="20"/>
      <c r="G2074" s="20"/>
      <c r="H2074" s="20"/>
      <c r="I2074" s="21"/>
    </row>
    <row r="2075" customFormat="false" ht="15" hidden="false" customHeight="false" outlineLevel="0" collapsed="false">
      <c r="A2075" s="30"/>
      <c r="B2075" s="21"/>
      <c r="C2075" s="21" t="str">
        <f aca="false">IF(B2075="","",IFERROR(INDEX(代理店一覧!$B$5:$B$204,MATCH(B2075,代理店一覧!$A$5:$A$204,0)),"※未登録のID"))</f>
        <v/>
      </c>
      <c r="D2075" s="20"/>
      <c r="E2075" s="20"/>
      <c r="F2075" s="20"/>
      <c r="G2075" s="20"/>
      <c r="H2075" s="20"/>
      <c r="I2075" s="21"/>
    </row>
    <row r="2076" customFormat="false" ht="15" hidden="false" customHeight="false" outlineLevel="0" collapsed="false">
      <c r="A2076" s="30"/>
      <c r="B2076" s="21"/>
      <c r="C2076" s="21" t="str">
        <f aca="false">IF(B2076="","",IFERROR(INDEX(代理店一覧!$B$5:$B$204,MATCH(B2076,代理店一覧!$A$5:$A$204,0)),"※未登録のID"))</f>
        <v/>
      </c>
      <c r="D2076" s="20"/>
      <c r="E2076" s="20"/>
      <c r="F2076" s="20"/>
      <c r="G2076" s="20"/>
      <c r="H2076" s="20"/>
      <c r="I2076" s="21"/>
    </row>
    <row r="2077" customFormat="false" ht="15" hidden="false" customHeight="false" outlineLevel="0" collapsed="false">
      <c r="A2077" s="30"/>
      <c r="B2077" s="21"/>
      <c r="C2077" s="21" t="str">
        <f aca="false">IF(B2077="","",IFERROR(INDEX(代理店一覧!$B$5:$B$204,MATCH(B2077,代理店一覧!$A$5:$A$204,0)),"※未登録のID"))</f>
        <v/>
      </c>
      <c r="D2077" s="20"/>
      <c r="E2077" s="20"/>
      <c r="F2077" s="20"/>
      <c r="G2077" s="20"/>
      <c r="H2077" s="20"/>
      <c r="I2077" s="21"/>
    </row>
    <row r="2078" customFormat="false" ht="15" hidden="false" customHeight="false" outlineLevel="0" collapsed="false">
      <c r="A2078" s="30"/>
      <c r="B2078" s="21"/>
      <c r="C2078" s="21" t="str">
        <f aca="false">IF(B2078="","",IFERROR(INDEX(代理店一覧!$B$5:$B$204,MATCH(B2078,代理店一覧!$A$5:$A$204,0)),"※未登録のID"))</f>
        <v/>
      </c>
      <c r="D2078" s="20"/>
      <c r="E2078" s="20"/>
      <c r="F2078" s="20"/>
      <c r="G2078" s="20"/>
      <c r="H2078" s="20"/>
      <c r="I2078" s="21"/>
    </row>
    <row r="2079" customFormat="false" ht="15" hidden="false" customHeight="false" outlineLevel="0" collapsed="false">
      <c r="A2079" s="30"/>
      <c r="B2079" s="21"/>
      <c r="C2079" s="21" t="str">
        <f aca="false">IF(B2079="","",IFERROR(INDEX(代理店一覧!$B$5:$B$204,MATCH(B2079,代理店一覧!$A$5:$A$204,0)),"※未登録のID"))</f>
        <v/>
      </c>
      <c r="D2079" s="20"/>
      <c r="E2079" s="20"/>
      <c r="F2079" s="20"/>
      <c r="G2079" s="20"/>
      <c r="H2079" s="20"/>
      <c r="I2079" s="21"/>
    </row>
    <row r="2080" customFormat="false" ht="15" hidden="false" customHeight="false" outlineLevel="0" collapsed="false">
      <c r="A2080" s="30"/>
      <c r="B2080" s="21"/>
      <c r="C2080" s="21" t="str">
        <f aca="false">IF(B2080="","",IFERROR(INDEX(代理店一覧!$B$5:$B$204,MATCH(B2080,代理店一覧!$A$5:$A$204,0)),"※未登録のID"))</f>
        <v/>
      </c>
      <c r="D2080" s="20"/>
      <c r="E2080" s="20"/>
      <c r="F2080" s="20"/>
      <c r="G2080" s="20"/>
      <c r="H2080" s="20"/>
      <c r="I2080" s="21"/>
    </row>
    <row r="2081" customFormat="false" ht="15" hidden="false" customHeight="false" outlineLevel="0" collapsed="false">
      <c r="A2081" s="30"/>
      <c r="B2081" s="21"/>
      <c r="C2081" s="21" t="str">
        <f aca="false">IF(B2081="","",IFERROR(INDEX(代理店一覧!$B$5:$B$204,MATCH(B2081,代理店一覧!$A$5:$A$204,0)),"※未登録のID"))</f>
        <v/>
      </c>
      <c r="D2081" s="20"/>
      <c r="E2081" s="20"/>
      <c r="F2081" s="20"/>
      <c r="G2081" s="20"/>
      <c r="H2081" s="20"/>
      <c r="I2081" s="21"/>
    </row>
    <row r="2082" customFormat="false" ht="15" hidden="false" customHeight="false" outlineLevel="0" collapsed="false">
      <c r="A2082" s="30"/>
      <c r="B2082" s="21"/>
      <c r="C2082" s="21" t="str">
        <f aca="false">IF(B2082="","",IFERROR(INDEX(代理店一覧!$B$5:$B$204,MATCH(B2082,代理店一覧!$A$5:$A$204,0)),"※未登録のID"))</f>
        <v/>
      </c>
      <c r="D2082" s="20"/>
      <c r="E2082" s="20"/>
      <c r="F2082" s="20"/>
      <c r="G2082" s="20"/>
      <c r="H2082" s="20"/>
      <c r="I2082" s="21"/>
    </row>
    <row r="2083" customFormat="false" ht="15" hidden="false" customHeight="false" outlineLevel="0" collapsed="false">
      <c r="A2083" s="30"/>
      <c r="B2083" s="21"/>
      <c r="C2083" s="21" t="str">
        <f aca="false">IF(B2083="","",IFERROR(INDEX(代理店一覧!$B$5:$B$204,MATCH(B2083,代理店一覧!$A$5:$A$204,0)),"※未登録のID"))</f>
        <v/>
      </c>
      <c r="D2083" s="20"/>
      <c r="E2083" s="20"/>
      <c r="F2083" s="20"/>
      <c r="G2083" s="20"/>
      <c r="H2083" s="20"/>
      <c r="I2083" s="21"/>
    </row>
    <row r="2084" customFormat="false" ht="15" hidden="false" customHeight="false" outlineLevel="0" collapsed="false">
      <c r="A2084" s="30"/>
      <c r="B2084" s="21"/>
      <c r="C2084" s="21" t="str">
        <f aca="false">IF(B2084="","",IFERROR(INDEX(代理店一覧!$B$5:$B$204,MATCH(B2084,代理店一覧!$A$5:$A$204,0)),"※未登録のID"))</f>
        <v/>
      </c>
      <c r="D2084" s="20"/>
      <c r="E2084" s="20"/>
      <c r="F2084" s="20"/>
      <c r="G2084" s="20"/>
      <c r="H2084" s="20"/>
      <c r="I2084" s="21"/>
    </row>
    <row r="2085" customFormat="false" ht="15" hidden="false" customHeight="false" outlineLevel="0" collapsed="false">
      <c r="A2085" s="30"/>
      <c r="B2085" s="21"/>
      <c r="C2085" s="21" t="str">
        <f aca="false">IF(B2085="","",IFERROR(INDEX(代理店一覧!$B$5:$B$204,MATCH(B2085,代理店一覧!$A$5:$A$204,0)),"※未登録のID"))</f>
        <v/>
      </c>
      <c r="D2085" s="20"/>
      <c r="E2085" s="20"/>
      <c r="F2085" s="20"/>
      <c r="G2085" s="20"/>
      <c r="H2085" s="20"/>
      <c r="I2085" s="21"/>
    </row>
    <row r="2086" customFormat="false" ht="15" hidden="false" customHeight="false" outlineLevel="0" collapsed="false">
      <c r="A2086" s="30"/>
      <c r="B2086" s="21"/>
      <c r="C2086" s="21" t="str">
        <f aca="false">IF(B2086="","",IFERROR(INDEX(代理店一覧!$B$5:$B$204,MATCH(B2086,代理店一覧!$A$5:$A$204,0)),"※未登録のID"))</f>
        <v/>
      </c>
      <c r="D2086" s="20"/>
      <c r="E2086" s="20"/>
      <c r="F2086" s="20"/>
      <c r="G2086" s="20"/>
      <c r="H2086" s="20"/>
      <c r="I2086" s="21"/>
    </row>
    <row r="2087" customFormat="false" ht="15" hidden="false" customHeight="false" outlineLevel="0" collapsed="false">
      <c r="A2087" s="30"/>
      <c r="B2087" s="21"/>
      <c r="C2087" s="21" t="str">
        <f aca="false">IF(B2087="","",IFERROR(INDEX(代理店一覧!$B$5:$B$204,MATCH(B2087,代理店一覧!$A$5:$A$204,0)),"※未登録のID"))</f>
        <v/>
      </c>
      <c r="D2087" s="20"/>
      <c r="E2087" s="20"/>
      <c r="F2087" s="20"/>
      <c r="G2087" s="20"/>
      <c r="H2087" s="20"/>
      <c r="I2087" s="21"/>
    </row>
    <row r="2088" customFormat="false" ht="15" hidden="false" customHeight="false" outlineLevel="0" collapsed="false">
      <c r="A2088" s="30"/>
      <c r="B2088" s="21"/>
      <c r="C2088" s="21" t="str">
        <f aca="false">IF(B2088="","",IFERROR(INDEX(代理店一覧!$B$5:$B$204,MATCH(B2088,代理店一覧!$A$5:$A$204,0)),"※未登録のID"))</f>
        <v/>
      </c>
      <c r="D2088" s="20"/>
      <c r="E2088" s="20"/>
      <c r="F2088" s="20"/>
      <c r="G2088" s="20"/>
      <c r="H2088" s="20"/>
      <c r="I2088" s="21"/>
    </row>
    <row r="2089" customFormat="false" ht="15" hidden="false" customHeight="false" outlineLevel="0" collapsed="false">
      <c r="A2089" s="30"/>
      <c r="B2089" s="21"/>
      <c r="C2089" s="21" t="str">
        <f aca="false">IF(B2089="","",IFERROR(INDEX(代理店一覧!$B$5:$B$204,MATCH(B2089,代理店一覧!$A$5:$A$204,0)),"※未登録のID"))</f>
        <v/>
      </c>
      <c r="D2089" s="20"/>
      <c r="E2089" s="20"/>
      <c r="F2089" s="20"/>
      <c r="G2089" s="20"/>
      <c r="H2089" s="20"/>
      <c r="I2089" s="21"/>
    </row>
    <row r="2090" customFormat="false" ht="15" hidden="false" customHeight="false" outlineLevel="0" collapsed="false">
      <c r="A2090" s="30"/>
      <c r="B2090" s="21"/>
      <c r="C2090" s="21" t="str">
        <f aca="false">IF(B2090="","",IFERROR(INDEX(代理店一覧!$B$5:$B$204,MATCH(B2090,代理店一覧!$A$5:$A$204,0)),"※未登録のID"))</f>
        <v/>
      </c>
      <c r="D2090" s="20"/>
      <c r="E2090" s="20"/>
      <c r="F2090" s="20"/>
      <c r="G2090" s="20"/>
      <c r="H2090" s="20"/>
      <c r="I2090" s="21"/>
    </row>
    <row r="2091" customFormat="false" ht="15" hidden="false" customHeight="false" outlineLevel="0" collapsed="false">
      <c r="A2091" s="30"/>
      <c r="B2091" s="21"/>
      <c r="C2091" s="21" t="str">
        <f aca="false">IF(B2091="","",IFERROR(INDEX(代理店一覧!$B$5:$B$204,MATCH(B2091,代理店一覧!$A$5:$A$204,0)),"※未登録のID"))</f>
        <v/>
      </c>
      <c r="D2091" s="20"/>
      <c r="E2091" s="20"/>
      <c r="F2091" s="20"/>
      <c r="G2091" s="20"/>
      <c r="H2091" s="20"/>
      <c r="I2091" s="21"/>
    </row>
    <row r="2092" customFormat="false" ht="15" hidden="false" customHeight="false" outlineLevel="0" collapsed="false">
      <c r="A2092" s="30"/>
      <c r="B2092" s="21"/>
      <c r="C2092" s="21" t="str">
        <f aca="false">IF(B2092="","",IFERROR(INDEX(代理店一覧!$B$5:$B$204,MATCH(B2092,代理店一覧!$A$5:$A$204,0)),"※未登録のID"))</f>
        <v/>
      </c>
      <c r="D2092" s="20"/>
      <c r="E2092" s="20"/>
      <c r="F2092" s="20"/>
      <c r="G2092" s="20"/>
      <c r="H2092" s="20"/>
      <c r="I2092" s="21"/>
    </row>
    <row r="2093" customFormat="false" ht="15" hidden="false" customHeight="false" outlineLevel="0" collapsed="false">
      <c r="A2093" s="30"/>
      <c r="B2093" s="21"/>
      <c r="C2093" s="21" t="str">
        <f aca="false">IF(B2093="","",IFERROR(INDEX(代理店一覧!$B$5:$B$204,MATCH(B2093,代理店一覧!$A$5:$A$204,0)),"※未登録のID"))</f>
        <v/>
      </c>
      <c r="D2093" s="20"/>
      <c r="E2093" s="20"/>
      <c r="F2093" s="20"/>
      <c r="G2093" s="20"/>
      <c r="H2093" s="20"/>
      <c r="I2093" s="21"/>
    </row>
    <row r="2094" customFormat="false" ht="15" hidden="false" customHeight="false" outlineLevel="0" collapsed="false">
      <c r="A2094" s="30"/>
      <c r="B2094" s="21"/>
      <c r="C2094" s="21" t="str">
        <f aca="false">IF(B2094="","",IFERROR(INDEX(代理店一覧!$B$5:$B$204,MATCH(B2094,代理店一覧!$A$5:$A$204,0)),"※未登録のID"))</f>
        <v/>
      </c>
      <c r="D2094" s="20"/>
      <c r="E2094" s="20"/>
      <c r="F2094" s="20"/>
      <c r="G2094" s="20"/>
      <c r="H2094" s="20"/>
      <c r="I2094" s="21"/>
    </row>
    <row r="2095" customFormat="false" ht="15" hidden="false" customHeight="false" outlineLevel="0" collapsed="false">
      <c r="A2095" s="30"/>
      <c r="B2095" s="21"/>
      <c r="C2095" s="21" t="str">
        <f aca="false">IF(B2095="","",IFERROR(INDEX(代理店一覧!$B$5:$B$204,MATCH(B2095,代理店一覧!$A$5:$A$204,0)),"※未登録のID"))</f>
        <v/>
      </c>
      <c r="D2095" s="20"/>
      <c r="E2095" s="20"/>
      <c r="F2095" s="20"/>
      <c r="G2095" s="20"/>
      <c r="H2095" s="20"/>
      <c r="I2095" s="21"/>
    </row>
    <row r="2096" customFormat="false" ht="15" hidden="false" customHeight="false" outlineLevel="0" collapsed="false">
      <c r="A2096" s="30"/>
      <c r="B2096" s="21"/>
      <c r="C2096" s="21" t="str">
        <f aca="false">IF(B2096="","",IFERROR(INDEX(代理店一覧!$B$5:$B$204,MATCH(B2096,代理店一覧!$A$5:$A$204,0)),"※未登録のID"))</f>
        <v/>
      </c>
      <c r="D2096" s="20"/>
      <c r="E2096" s="20"/>
      <c r="F2096" s="20"/>
      <c r="G2096" s="20"/>
      <c r="H2096" s="20"/>
      <c r="I2096" s="21"/>
    </row>
    <row r="2097" customFormat="false" ht="15" hidden="false" customHeight="false" outlineLevel="0" collapsed="false">
      <c r="A2097" s="30"/>
      <c r="B2097" s="21"/>
      <c r="C2097" s="21" t="str">
        <f aca="false">IF(B2097="","",IFERROR(INDEX(代理店一覧!$B$5:$B$204,MATCH(B2097,代理店一覧!$A$5:$A$204,0)),"※未登録のID"))</f>
        <v/>
      </c>
      <c r="D2097" s="20"/>
      <c r="E2097" s="20"/>
      <c r="F2097" s="20"/>
      <c r="G2097" s="20"/>
      <c r="H2097" s="20"/>
      <c r="I2097" s="21"/>
    </row>
    <row r="2098" customFormat="false" ht="15" hidden="false" customHeight="false" outlineLevel="0" collapsed="false">
      <c r="A2098" s="30"/>
      <c r="B2098" s="21"/>
      <c r="C2098" s="21" t="str">
        <f aca="false">IF(B2098="","",IFERROR(INDEX(代理店一覧!$B$5:$B$204,MATCH(B2098,代理店一覧!$A$5:$A$204,0)),"※未登録のID"))</f>
        <v/>
      </c>
      <c r="D2098" s="20"/>
      <c r="E2098" s="20"/>
      <c r="F2098" s="20"/>
      <c r="G2098" s="20"/>
      <c r="H2098" s="20"/>
      <c r="I2098" s="21"/>
    </row>
    <row r="2099" customFormat="false" ht="15" hidden="false" customHeight="false" outlineLevel="0" collapsed="false">
      <c r="A2099" s="30"/>
      <c r="B2099" s="21"/>
      <c r="C2099" s="21" t="str">
        <f aca="false">IF(B2099="","",IFERROR(INDEX(代理店一覧!$B$5:$B$204,MATCH(B2099,代理店一覧!$A$5:$A$204,0)),"※未登録のID"))</f>
        <v/>
      </c>
      <c r="D2099" s="20"/>
      <c r="E2099" s="20"/>
      <c r="F2099" s="20"/>
      <c r="G2099" s="20"/>
      <c r="H2099" s="20"/>
      <c r="I2099" s="21"/>
    </row>
    <row r="2100" customFormat="false" ht="15" hidden="false" customHeight="false" outlineLevel="0" collapsed="false">
      <c r="A2100" s="30"/>
      <c r="B2100" s="21"/>
      <c r="C2100" s="21" t="str">
        <f aca="false">IF(B2100="","",IFERROR(INDEX(代理店一覧!$B$5:$B$204,MATCH(B2100,代理店一覧!$A$5:$A$204,0)),"※未登録のID"))</f>
        <v/>
      </c>
      <c r="D2100" s="20"/>
      <c r="E2100" s="20"/>
      <c r="F2100" s="20"/>
      <c r="G2100" s="20"/>
      <c r="H2100" s="20"/>
      <c r="I2100" s="21"/>
    </row>
    <row r="2101" customFormat="false" ht="15" hidden="false" customHeight="false" outlineLevel="0" collapsed="false">
      <c r="A2101" s="30"/>
      <c r="B2101" s="21"/>
      <c r="C2101" s="21" t="str">
        <f aca="false">IF(B2101="","",IFERROR(INDEX(代理店一覧!$B$5:$B$204,MATCH(B2101,代理店一覧!$A$5:$A$204,0)),"※未登録のID"))</f>
        <v/>
      </c>
      <c r="D2101" s="20"/>
      <c r="E2101" s="20"/>
      <c r="F2101" s="20"/>
      <c r="G2101" s="20"/>
      <c r="H2101" s="20"/>
      <c r="I2101" s="21"/>
    </row>
    <row r="2102" customFormat="false" ht="15" hidden="false" customHeight="false" outlineLevel="0" collapsed="false">
      <c r="A2102" s="30"/>
      <c r="B2102" s="21"/>
      <c r="C2102" s="21" t="str">
        <f aca="false">IF(B2102="","",IFERROR(INDEX(代理店一覧!$B$5:$B$204,MATCH(B2102,代理店一覧!$A$5:$A$204,0)),"※未登録のID"))</f>
        <v/>
      </c>
      <c r="D2102" s="20"/>
      <c r="E2102" s="20"/>
      <c r="F2102" s="20"/>
      <c r="G2102" s="20"/>
      <c r="H2102" s="20"/>
      <c r="I2102" s="21"/>
    </row>
    <row r="2103" customFormat="false" ht="15" hidden="false" customHeight="false" outlineLevel="0" collapsed="false">
      <c r="A2103" s="30"/>
      <c r="B2103" s="21"/>
      <c r="C2103" s="21" t="str">
        <f aca="false">IF(B2103="","",IFERROR(INDEX(代理店一覧!$B$5:$B$204,MATCH(B2103,代理店一覧!$A$5:$A$204,0)),"※未登録のID"))</f>
        <v/>
      </c>
      <c r="D2103" s="20"/>
      <c r="E2103" s="20"/>
      <c r="F2103" s="20"/>
      <c r="G2103" s="20"/>
      <c r="H2103" s="20"/>
      <c r="I2103" s="21"/>
    </row>
    <row r="2104" customFormat="false" ht="15" hidden="false" customHeight="false" outlineLevel="0" collapsed="false">
      <c r="A2104" s="30"/>
      <c r="B2104" s="21"/>
      <c r="C2104" s="21" t="str">
        <f aca="false">IF(B2104="","",IFERROR(INDEX(代理店一覧!$B$5:$B$204,MATCH(B2104,代理店一覧!$A$5:$A$204,0)),"※未登録のID"))</f>
        <v/>
      </c>
      <c r="D2104" s="20"/>
      <c r="E2104" s="20"/>
      <c r="F2104" s="20"/>
      <c r="G2104" s="20"/>
      <c r="H2104" s="20"/>
      <c r="I2104" s="21"/>
    </row>
    <row r="2105" customFormat="false" ht="15" hidden="false" customHeight="false" outlineLevel="0" collapsed="false">
      <c r="A2105" s="30"/>
      <c r="B2105" s="21"/>
      <c r="C2105" s="21" t="str">
        <f aca="false">IF(B2105="","",IFERROR(INDEX(代理店一覧!$B$5:$B$204,MATCH(B2105,代理店一覧!$A$5:$A$204,0)),"※未登録のID"))</f>
        <v/>
      </c>
      <c r="D2105" s="20"/>
      <c r="E2105" s="20"/>
      <c r="F2105" s="20"/>
      <c r="G2105" s="20"/>
      <c r="H2105" s="20"/>
      <c r="I2105" s="21"/>
    </row>
    <row r="2106" customFormat="false" ht="15" hidden="false" customHeight="false" outlineLevel="0" collapsed="false">
      <c r="A2106" s="30"/>
      <c r="B2106" s="21"/>
      <c r="C2106" s="21" t="str">
        <f aca="false">IF(B2106="","",IFERROR(INDEX(代理店一覧!$B$5:$B$204,MATCH(B2106,代理店一覧!$A$5:$A$204,0)),"※未登録のID"))</f>
        <v/>
      </c>
      <c r="D2106" s="20"/>
      <c r="E2106" s="20"/>
      <c r="F2106" s="20"/>
      <c r="G2106" s="20"/>
      <c r="H2106" s="20"/>
      <c r="I2106" s="21"/>
    </row>
    <row r="2107" customFormat="false" ht="15" hidden="false" customHeight="false" outlineLevel="0" collapsed="false">
      <c r="A2107" s="30"/>
      <c r="B2107" s="21"/>
      <c r="C2107" s="21" t="str">
        <f aca="false">IF(B2107="","",IFERROR(INDEX(代理店一覧!$B$5:$B$204,MATCH(B2107,代理店一覧!$A$5:$A$204,0)),"※未登録のID"))</f>
        <v/>
      </c>
      <c r="D2107" s="20"/>
      <c r="E2107" s="20"/>
      <c r="F2107" s="20"/>
      <c r="G2107" s="20"/>
      <c r="H2107" s="20"/>
      <c r="I2107" s="21"/>
    </row>
    <row r="2108" customFormat="false" ht="15" hidden="false" customHeight="false" outlineLevel="0" collapsed="false">
      <c r="A2108" s="30"/>
      <c r="B2108" s="21"/>
      <c r="C2108" s="21" t="str">
        <f aca="false">IF(B2108="","",IFERROR(INDEX(代理店一覧!$B$5:$B$204,MATCH(B2108,代理店一覧!$A$5:$A$204,0)),"※未登録のID"))</f>
        <v/>
      </c>
      <c r="D2108" s="20"/>
      <c r="E2108" s="20"/>
      <c r="F2108" s="20"/>
      <c r="G2108" s="20"/>
      <c r="H2108" s="20"/>
      <c r="I2108" s="21"/>
    </row>
    <row r="2109" customFormat="false" ht="15" hidden="false" customHeight="false" outlineLevel="0" collapsed="false">
      <c r="A2109" s="30"/>
      <c r="B2109" s="21"/>
      <c r="C2109" s="21" t="str">
        <f aca="false">IF(B2109="","",IFERROR(INDEX(代理店一覧!$B$5:$B$204,MATCH(B2109,代理店一覧!$A$5:$A$204,0)),"※未登録のID"))</f>
        <v/>
      </c>
      <c r="D2109" s="20"/>
      <c r="E2109" s="20"/>
      <c r="F2109" s="20"/>
      <c r="G2109" s="20"/>
      <c r="H2109" s="20"/>
      <c r="I2109" s="21"/>
    </row>
    <row r="2110" customFormat="false" ht="15" hidden="false" customHeight="false" outlineLevel="0" collapsed="false">
      <c r="A2110" s="30"/>
      <c r="B2110" s="21"/>
      <c r="C2110" s="21" t="str">
        <f aca="false">IF(B2110="","",IFERROR(INDEX(代理店一覧!$B$5:$B$204,MATCH(B2110,代理店一覧!$A$5:$A$204,0)),"※未登録のID"))</f>
        <v/>
      </c>
      <c r="D2110" s="20"/>
      <c r="E2110" s="20"/>
      <c r="F2110" s="20"/>
      <c r="G2110" s="20"/>
      <c r="H2110" s="20"/>
      <c r="I2110" s="21"/>
    </row>
    <row r="2111" customFormat="false" ht="15" hidden="false" customHeight="false" outlineLevel="0" collapsed="false">
      <c r="A2111" s="30"/>
      <c r="B2111" s="21"/>
      <c r="C2111" s="21" t="str">
        <f aca="false">IF(B2111="","",IFERROR(INDEX(代理店一覧!$B$5:$B$204,MATCH(B2111,代理店一覧!$A$5:$A$204,0)),"※未登録のID"))</f>
        <v/>
      </c>
      <c r="D2111" s="20"/>
      <c r="E2111" s="20"/>
      <c r="F2111" s="20"/>
      <c r="G2111" s="20"/>
      <c r="H2111" s="20"/>
      <c r="I2111" s="21"/>
    </row>
    <row r="2112" customFormat="false" ht="15" hidden="false" customHeight="false" outlineLevel="0" collapsed="false">
      <c r="A2112" s="30"/>
      <c r="B2112" s="21"/>
      <c r="C2112" s="21" t="str">
        <f aca="false">IF(B2112="","",IFERROR(INDEX(代理店一覧!$B$5:$B$204,MATCH(B2112,代理店一覧!$A$5:$A$204,0)),"※未登録のID"))</f>
        <v/>
      </c>
      <c r="D2112" s="20"/>
      <c r="E2112" s="20"/>
      <c r="F2112" s="20"/>
      <c r="G2112" s="20"/>
      <c r="H2112" s="20"/>
      <c r="I2112" s="21"/>
    </row>
    <row r="2113" customFormat="false" ht="15" hidden="false" customHeight="false" outlineLevel="0" collapsed="false">
      <c r="A2113" s="30"/>
      <c r="B2113" s="21"/>
      <c r="C2113" s="21" t="str">
        <f aca="false">IF(B2113="","",IFERROR(INDEX(代理店一覧!$B$5:$B$204,MATCH(B2113,代理店一覧!$A$5:$A$204,0)),"※未登録のID"))</f>
        <v/>
      </c>
      <c r="D2113" s="20"/>
      <c r="E2113" s="20"/>
      <c r="F2113" s="20"/>
      <c r="G2113" s="20"/>
      <c r="H2113" s="20"/>
      <c r="I2113" s="21"/>
    </row>
    <row r="2114" customFormat="false" ht="15" hidden="false" customHeight="false" outlineLevel="0" collapsed="false">
      <c r="A2114" s="30"/>
      <c r="B2114" s="21"/>
      <c r="C2114" s="21" t="str">
        <f aca="false">IF(B2114="","",IFERROR(INDEX(代理店一覧!$B$5:$B$204,MATCH(B2114,代理店一覧!$A$5:$A$204,0)),"※未登録のID"))</f>
        <v/>
      </c>
      <c r="D2114" s="20"/>
      <c r="E2114" s="20"/>
      <c r="F2114" s="20"/>
      <c r="G2114" s="20"/>
      <c r="H2114" s="20"/>
      <c r="I2114" s="21"/>
    </row>
    <row r="2115" customFormat="false" ht="15" hidden="false" customHeight="false" outlineLevel="0" collapsed="false">
      <c r="A2115" s="30"/>
      <c r="B2115" s="21"/>
      <c r="C2115" s="21" t="str">
        <f aca="false">IF(B2115="","",IFERROR(INDEX(代理店一覧!$B$5:$B$204,MATCH(B2115,代理店一覧!$A$5:$A$204,0)),"※未登録のID"))</f>
        <v/>
      </c>
      <c r="D2115" s="20"/>
      <c r="E2115" s="20"/>
      <c r="F2115" s="20"/>
      <c r="G2115" s="20"/>
      <c r="H2115" s="20"/>
      <c r="I2115" s="21"/>
    </row>
    <row r="2116" customFormat="false" ht="15" hidden="false" customHeight="false" outlineLevel="0" collapsed="false">
      <c r="A2116" s="30"/>
      <c r="B2116" s="21"/>
      <c r="C2116" s="21" t="str">
        <f aca="false">IF(B2116="","",IFERROR(INDEX(代理店一覧!$B$5:$B$204,MATCH(B2116,代理店一覧!$A$5:$A$204,0)),"※未登録のID"))</f>
        <v/>
      </c>
      <c r="D2116" s="20"/>
      <c r="E2116" s="20"/>
      <c r="F2116" s="20"/>
      <c r="G2116" s="20"/>
      <c r="H2116" s="20"/>
      <c r="I2116" s="21"/>
    </row>
    <row r="2117" customFormat="false" ht="15" hidden="false" customHeight="false" outlineLevel="0" collapsed="false">
      <c r="A2117" s="30"/>
      <c r="B2117" s="21"/>
      <c r="C2117" s="21" t="str">
        <f aca="false">IF(B2117="","",IFERROR(INDEX(代理店一覧!$B$5:$B$204,MATCH(B2117,代理店一覧!$A$5:$A$204,0)),"※未登録のID"))</f>
        <v/>
      </c>
      <c r="D2117" s="20"/>
      <c r="E2117" s="20"/>
      <c r="F2117" s="20"/>
      <c r="G2117" s="20"/>
      <c r="H2117" s="20"/>
      <c r="I2117" s="21"/>
    </row>
    <row r="2118" customFormat="false" ht="15" hidden="false" customHeight="false" outlineLevel="0" collapsed="false">
      <c r="A2118" s="30"/>
      <c r="B2118" s="21"/>
      <c r="C2118" s="21" t="str">
        <f aca="false">IF(B2118="","",IFERROR(INDEX(代理店一覧!$B$5:$B$204,MATCH(B2118,代理店一覧!$A$5:$A$204,0)),"※未登録のID"))</f>
        <v/>
      </c>
      <c r="D2118" s="20"/>
      <c r="E2118" s="20"/>
      <c r="F2118" s="20"/>
      <c r="G2118" s="20"/>
      <c r="H2118" s="20"/>
      <c r="I2118" s="21"/>
    </row>
    <row r="2119" customFormat="false" ht="15" hidden="false" customHeight="false" outlineLevel="0" collapsed="false">
      <c r="A2119" s="30"/>
      <c r="B2119" s="21"/>
      <c r="C2119" s="21" t="str">
        <f aca="false">IF(B2119="","",IFERROR(INDEX(代理店一覧!$B$5:$B$204,MATCH(B2119,代理店一覧!$A$5:$A$204,0)),"※未登録のID"))</f>
        <v/>
      </c>
      <c r="D2119" s="20"/>
      <c r="E2119" s="20"/>
      <c r="F2119" s="20"/>
      <c r="G2119" s="20"/>
      <c r="H2119" s="20"/>
      <c r="I2119" s="21"/>
    </row>
    <row r="2120" customFormat="false" ht="15" hidden="false" customHeight="false" outlineLevel="0" collapsed="false">
      <c r="A2120" s="30"/>
      <c r="B2120" s="21"/>
      <c r="C2120" s="21" t="str">
        <f aca="false">IF(B2120="","",IFERROR(INDEX(代理店一覧!$B$5:$B$204,MATCH(B2120,代理店一覧!$A$5:$A$204,0)),"※未登録のID"))</f>
        <v/>
      </c>
      <c r="D2120" s="20"/>
      <c r="E2120" s="20"/>
      <c r="F2120" s="20"/>
      <c r="G2120" s="20"/>
      <c r="H2120" s="20"/>
      <c r="I2120" s="21"/>
    </row>
    <row r="2121" customFormat="false" ht="15" hidden="false" customHeight="false" outlineLevel="0" collapsed="false">
      <c r="A2121" s="30"/>
      <c r="B2121" s="21"/>
      <c r="C2121" s="21" t="str">
        <f aca="false">IF(B2121="","",IFERROR(INDEX(代理店一覧!$B$5:$B$204,MATCH(B2121,代理店一覧!$A$5:$A$204,0)),"※未登録のID"))</f>
        <v/>
      </c>
      <c r="D2121" s="20"/>
      <c r="E2121" s="20"/>
      <c r="F2121" s="20"/>
      <c r="G2121" s="20"/>
      <c r="H2121" s="20"/>
      <c r="I2121" s="21"/>
    </row>
    <row r="2122" customFormat="false" ht="15" hidden="false" customHeight="false" outlineLevel="0" collapsed="false">
      <c r="A2122" s="30"/>
      <c r="B2122" s="21"/>
      <c r="C2122" s="21" t="str">
        <f aca="false">IF(B2122="","",IFERROR(INDEX(代理店一覧!$B$5:$B$204,MATCH(B2122,代理店一覧!$A$5:$A$204,0)),"※未登録のID"))</f>
        <v/>
      </c>
      <c r="D2122" s="20"/>
      <c r="E2122" s="20"/>
      <c r="F2122" s="20"/>
      <c r="G2122" s="20"/>
      <c r="H2122" s="20"/>
      <c r="I2122" s="21"/>
    </row>
    <row r="2123" customFormat="false" ht="15" hidden="false" customHeight="false" outlineLevel="0" collapsed="false">
      <c r="A2123" s="30"/>
      <c r="B2123" s="21"/>
      <c r="C2123" s="21" t="str">
        <f aca="false">IF(B2123="","",IFERROR(INDEX(代理店一覧!$B$5:$B$204,MATCH(B2123,代理店一覧!$A$5:$A$204,0)),"※未登録のID"))</f>
        <v/>
      </c>
      <c r="D2123" s="20"/>
      <c r="E2123" s="20"/>
      <c r="F2123" s="20"/>
      <c r="G2123" s="20"/>
      <c r="H2123" s="20"/>
      <c r="I2123" s="21"/>
    </row>
    <row r="2124" customFormat="false" ht="15" hidden="false" customHeight="false" outlineLevel="0" collapsed="false">
      <c r="A2124" s="30"/>
      <c r="B2124" s="21"/>
      <c r="C2124" s="21" t="str">
        <f aca="false">IF(B2124="","",IFERROR(INDEX(代理店一覧!$B$5:$B$204,MATCH(B2124,代理店一覧!$A$5:$A$204,0)),"※未登録のID"))</f>
        <v/>
      </c>
      <c r="D2124" s="20"/>
      <c r="E2124" s="20"/>
      <c r="F2124" s="20"/>
      <c r="G2124" s="20"/>
      <c r="H2124" s="20"/>
      <c r="I2124" s="21"/>
    </row>
    <row r="2125" customFormat="false" ht="15" hidden="false" customHeight="false" outlineLevel="0" collapsed="false">
      <c r="A2125" s="30"/>
      <c r="B2125" s="21"/>
      <c r="C2125" s="21" t="str">
        <f aca="false">IF(B2125="","",IFERROR(INDEX(代理店一覧!$B$5:$B$204,MATCH(B2125,代理店一覧!$A$5:$A$204,0)),"※未登録のID"))</f>
        <v/>
      </c>
      <c r="D2125" s="20"/>
      <c r="E2125" s="20"/>
      <c r="F2125" s="20"/>
      <c r="G2125" s="20"/>
      <c r="H2125" s="20"/>
      <c r="I2125" s="21"/>
    </row>
    <row r="2126" customFormat="false" ht="15" hidden="false" customHeight="false" outlineLevel="0" collapsed="false">
      <c r="A2126" s="30"/>
      <c r="B2126" s="21"/>
      <c r="C2126" s="21" t="str">
        <f aca="false">IF(B2126="","",IFERROR(INDEX(代理店一覧!$B$5:$B$204,MATCH(B2126,代理店一覧!$A$5:$A$204,0)),"※未登録のID"))</f>
        <v/>
      </c>
      <c r="D2126" s="20"/>
      <c r="E2126" s="20"/>
      <c r="F2126" s="20"/>
      <c r="G2126" s="20"/>
      <c r="H2126" s="20"/>
      <c r="I2126" s="21"/>
    </row>
    <row r="2127" customFormat="false" ht="15" hidden="false" customHeight="false" outlineLevel="0" collapsed="false">
      <c r="A2127" s="30"/>
      <c r="B2127" s="21"/>
      <c r="C2127" s="21" t="str">
        <f aca="false">IF(B2127="","",IFERROR(INDEX(代理店一覧!$B$5:$B$204,MATCH(B2127,代理店一覧!$A$5:$A$204,0)),"※未登録のID"))</f>
        <v/>
      </c>
      <c r="D2127" s="20"/>
      <c r="E2127" s="20"/>
      <c r="F2127" s="20"/>
      <c r="G2127" s="20"/>
      <c r="H2127" s="20"/>
      <c r="I2127" s="21"/>
    </row>
    <row r="2128" customFormat="false" ht="15" hidden="false" customHeight="false" outlineLevel="0" collapsed="false">
      <c r="A2128" s="30"/>
      <c r="B2128" s="21"/>
      <c r="C2128" s="21" t="str">
        <f aca="false">IF(B2128="","",IFERROR(INDEX(代理店一覧!$B$5:$B$204,MATCH(B2128,代理店一覧!$A$5:$A$204,0)),"※未登録のID"))</f>
        <v/>
      </c>
      <c r="D2128" s="20"/>
      <c r="E2128" s="20"/>
      <c r="F2128" s="20"/>
      <c r="G2128" s="20"/>
      <c r="H2128" s="20"/>
      <c r="I2128" s="21"/>
    </row>
    <row r="2129" customFormat="false" ht="15" hidden="false" customHeight="false" outlineLevel="0" collapsed="false">
      <c r="A2129" s="30"/>
      <c r="B2129" s="21"/>
      <c r="C2129" s="21" t="str">
        <f aca="false">IF(B2129="","",IFERROR(INDEX(代理店一覧!$B$5:$B$204,MATCH(B2129,代理店一覧!$A$5:$A$204,0)),"※未登録のID"))</f>
        <v/>
      </c>
      <c r="D2129" s="20"/>
      <c r="E2129" s="20"/>
      <c r="F2129" s="20"/>
      <c r="G2129" s="20"/>
      <c r="H2129" s="20"/>
      <c r="I2129" s="21"/>
    </row>
    <row r="2130" customFormat="false" ht="15" hidden="false" customHeight="false" outlineLevel="0" collapsed="false">
      <c r="A2130" s="30"/>
      <c r="B2130" s="21"/>
      <c r="C2130" s="21" t="str">
        <f aca="false">IF(B2130="","",IFERROR(INDEX(代理店一覧!$B$5:$B$204,MATCH(B2130,代理店一覧!$A$5:$A$204,0)),"※未登録のID"))</f>
        <v/>
      </c>
      <c r="D2130" s="20"/>
      <c r="E2130" s="20"/>
      <c r="F2130" s="20"/>
      <c r="G2130" s="20"/>
      <c r="H2130" s="20"/>
      <c r="I2130" s="21"/>
    </row>
    <row r="2131" customFormat="false" ht="15" hidden="false" customHeight="false" outlineLevel="0" collapsed="false">
      <c r="A2131" s="30"/>
      <c r="B2131" s="21"/>
      <c r="C2131" s="21" t="str">
        <f aca="false">IF(B2131="","",IFERROR(INDEX(代理店一覧!$B$5:$B$204,MATCH(B2131,代理店一覧!$A$5:$A$204,0)),"※未登録のID"))</f>
        <v/>
      </c>
      <c r="D2131" s="20"/>
      <c r="E2131" s="20"/>
      <c r="F2131" s="20"/>
      <c r="G2131" s="20"/>
      <c r="H2131" s="20"/>
      <c r="I2131" s="21"/>
    </row>
    <row r="2132" customFormat="false" ht="15" hidden="false" customHeight="false" outlineLevel="0" collapsed="false">
      <c r="A2132" s="30"/>
      <c r="B2132" s="21"/>
      <c r="C2132" s="21" t="str">
        <f aca="false">IF(B2132="","",IFERROR(INDEX(代理店一覧!$B$5:$B$204,MATCH(B2132,代理店一覧!$A$5:$A$204,0)),"※未登録のID"))</f>
        <v/>
      </c>
      <c r="D2132" s="20"/>
      <c r="E2132" s="20"/>
      <c r="F2132" s="20"/>
      <c r="G2132" s="20"/>
      <c r="H2132" s="20"/>
      <c r="I2132" s="21"/>
    </row>
    <row r="2133" customFormat="false" ht="15" hidden="false" customHeight="false" outlineLevel="0" collapsed="false">
      <c r="A2133" s="30"/>
      <c r="B2133" s="21"/>
      <c r="C2133" s="21" t="str">
        <f aca="false">IF(B2133="","",IFERROR(INDEX(代理店一覧!$B$5:$B$204,MATCH(B2133,代理店一覧!$A$5:$A$204,0)),"※未登録のID"))</f>
        <v/>
      </c>
      <c r="D2133" s="20"/>
      <c r="E2133" s="20"/>
      <c r="F2133" s="20"/>
      <c r="G2133" s="20"/>
      <c r="H2133" s="20"/>
      <c r="I2133" s="21"/>
    </row>
    <row r="2134" customFormat="false" ht="15" hidden="false" customHeight="false" outlineLevel="0" collapsed="false">
      <c r="A2134" s="30"/>
      <c r="B2134" s="21"/>
      <c r="C2134" s="21" t="str">
        <f aca="false">IF(B2134="","",IFERROR(INDEX(代理店一覧!$B$5:$B$204,MATCH(B2134,代理店一覧!$A$5:$A$204,0)),"※未登録のID"))</f>
        <v/>
      </c>
      <c r="D2134" s="20"/>
      <c r="E2134" s="20"/>
      <c r="F2134" s="20"/>
      <c r="G2134" s="20"/>
      <c r="H2134" s="20"/>
      <c r="I2134" s="21"/>
    </row>
    <row r="2135" customFormat="false" ht="15" hidden="false" customHeight="false" outlineLevel="0" collapsed="false">
      <c r="A2135" s="30"/>
      <c r="B2135" s="21"/>
      <c r="C2135" s="21" t="str">
        <f aca="false">IF(B2135="","",IFERROR(INDEX(代理店一覧!$B$5:$B$204,MATCH(B2135,代理店一覧!$A$5:$A$204,0)),"※未登録のID"))</f>
        <v/>
      </c>
      <c r="D2135" s="20"/>
      <c r="E2135" s="20"/>
      <c r="F2135" s="20"/>
      <c r="G2135" s="20"/>
      <c r="H2135" s="20"/>
      <c r="I2135" s="21"/>
    </row>
    <row r="2136" customFormat="false" ht="15" hidden="false" customHeight="false" outlineLevel="0" collapsed="false">
      <c r="A2136" s="30"/>
      <c r="B2136" s="21"/>
      <c r="C2136" s="21" t="str">
        <f aca="false">IF(B2136="","",IFERROR(INDEX(代理店一覧!$B$5:$B$204,MATCH(B2136,代理店一覧!$A$5:$A$204,0)),"※未登録のID"))</f>
        <v/>
      </c>
      <c r="D2136" s="20"/>
      <c r="E2136" s="20"/>
      <c r="F2136" s="20"/>
      <c r="G2136" s="20"/>
      <c r="H2136" s="20"/>
      <c r="I2136" s="21"/>
    </row>
    <row r="2137" customFormat="false" ht="15" hidden="false" customHeight="false" outlineLevel="0" collapsed="false">
      <c r="A2137" s="30"/>
      <c r="B2137" s="21"/>
      <c r="C2137" s="21" t="str">
        <f aca="false">IF(B2137="","",IFERROR(INDEX(代理店一覧!$B$5:$B$204,MATCH(B2137,代理店一覧!$A$5:$A$204,0)),"※未登録のID"))</f>
        <v/>
      </c>
      <c r="D2137" s="20"/>
      <c r="E2137" s="20"/>
      <c r="F2137" s="20"/>
      <c r="G2137" s="20"/>
      <c r="H2137" s="20"/>
      <c r="I2137" s="21"/>
    </row>
    <row r="2138" customFormat="false" ht="15" hidden="false" customHeight="false" outlineLevel="0" collapsed="false">
      <c r="A2138" s="30"/>
      <c r="B2138" s="21"/>
      <c r="C2138" s="21" t="str">
        <f aca="false">IF(B2138="","",IFERROR(INDEX(代理店一覧!$B$5:$B$204,MATCH(B2138,代理店一覧!$A$5:$A$204,0)),"※未登録のID"))</f>
        <v/>
      </c>
      <c r="D2138" s="20"/>
      <c r="E2138" s="20"/>
      <c r="F2138" s="20"/>
      <c r="G2138" s="20"/>
      <c r="H2138" s="20"/>
      <c r="I2138" s="21"/>
    </row>
    <row r="2139" customFormat="false" ht="15" hidden="false" customHeight="false" outlineLevel="0" collapsed="false">
      <c r="A2139" s="30"/>
      <c r="B2139" s="21"/>
      <c r="C2139" s="21" t="str">
        <f aca="false">IF(B2139="","",IFERROR(INDEX(代理店一覧!$B$5:$B$204,MATCH(B2139,代理店一覧!$A$5:$A$204,0)),"※未登録のID"))</f>
        <v/>
      </c>
      <c r="D2139" s="20"/>
      <c r="E2139" s="20"/>
      <c r="F2139" s="20"/>
      <c r="G2139" s="20"/>
      <c r="H2139" s="20"/>
      <c r="I2139" s="21"/>
    </row>
    <row r="2140" customFormat="false" ht="15" hidden="false" customHeight="false" outlineLevel="0" collapsed="false">
      <c r="A2140" s="30"/>
      <c r="B2140" s="21"/>
      <c r="C2140" s="21" t="str">
        <f aca="false">IF(B2140="","",IFERROR(INDEX(代理店一覧!$B$5:$B$204,MATCH(B2140,代理店一覧!$A$5:$A$204,0)),"※未登録のID"))</f>
        <v/>
      </c>
      <c r="D2140" s="20"/>
      <c r="E2140" s="20"/>
      <c r="F2140" s="20"/>
      <c r="G2140" s="20"/>
      <c r="H2140" s="20"/>
      <c r="I2140" s="21"/>
    </row>
    <row r="2141" customFormat="false" ht="15" hidden="false" customHeight="false" outlineLevel="0" collapsed="false">
      <c r="A2141" s="30"/>
      <c r="B2141" s="21"/>
      <c r="C2141" s="21" t="str">
        <f aca="false">IF(B2141="","",IFERROR(INDEX(代理店一覧!$B$5:$B$204,MATCH(B2141,代理店一覧!$A$5:$A$204,0)),"※未登録のID"))</f>
        <v/>
      </c>
      <c r="D2141" s="20"/>
      <c r="E2141" s="20"/>
      <c r="F2141" s="20"/>
      <c r="G2141" s="20"/>
      <c r="H2141" s="20"/>
      <c r="I2141" s="21"/>
    </row>
    <row r="2142" customFormat="false" ht="15" hidden="false" customHeight="false" outlineLevel="0" collapsed="false">
      <c r="A2142" s="30"/>
      <c r="B2142" s="21"/>
      <c r="C2142" s="21" t="str">
        <f aca="false">IF(B2142="","",IFERROR(INDEX(代理店一覧!$B$5:$B$204,MATCH(B2142,代理店一覧!$A$5:$A$204,0)),"※未登録のID"))</f>
        <v/>
      </c>
      <c r="D2142" s="20"/>
      <c r="E2142" s="20"/>
      <c r="F2142" s="20"/>
      <c r="G2142" s="20"/>
      <c r="H2142" s="20"/>
      <c r="I2142" s="21"/>
    </row>
    <row r="2143" customFormat="false" ht="15" hidden="false" customHeight="false" outlineLevel="0" collapsed="false">
      <c r="A2143" s="30"/>
      <c r="B2143" s="21"/>
      <c r="C2143" s="21" t="str">
        <f aca="false">IF(B2143="","",IFERROR(INDEX(代理店一覧!$B$5:$B$204,MATCH(B2143,代理店一覧!$A$5:$A$204,0)),"※未登録のID"))</f>
        <v/>
      </c>
      <c r="D2143" s="20"/>
      <c r="E2143" s="20"/>
      <c r="F2143" s="20"/>
      <c r="G2143" s="20"/>
      <c r="H2143" s="20"/>
      <c r="I2143" s="21"/>
    </row>
    <row r="2144" customFormat="false" ht="15" hidden="false" customHeight="false" outlineLevel="0" collapsed="false">
      <c r="A2144" s="30"/>
      <c r="B2144" s="21"/>
      <c r="C2144" s="21" t="str">
        <f aca="false">IF(B2144="","",IFERROR(INDEX(代理店一覧!$B$5:$B$204,MATCH(B2144,代理店一覧!$A$5:$A$204,0)),"※未登録のID"))</f>
        <v/>
      </c>
      <c r="D2144" s="20"/>
      <c r="E2144" s="20"/>
      <c r="F2144" s="20"/>
      <c r="G2144" s="20"/>
      <c r="H2144" s="20"/>
      <c r="I2144" s="21"/>
    </row>
    <row r="2145" customFormat="false" ht="15" hidden="false" customHeight="false" outlineLevel="0" collapsed="false">
      <c r="A2145" s="30"/>
      <c r="B2145" s="21"/>
      <c r="C2145" s="21" t="str">
        <f aca="false">IF(B2145="","",IFERROR(INDEX(代理店一覧!$B$5:$B$204,MATCH(B2145,代理店一覧!$A$5:$A$204,0)),"※未登録のID"))</f>
        <v/>
      </c>
      <c r="D2145" s="20"/>
      <c r="E2145" s="20"/>
      <c r="F2145" s="20"/>
      <c r="G2145" s="20"/>
      <c r="H2145" s="20"/>
      <c r="I2145" s="21"/>
    </row>
    <row r="2146" customFormat="false" ht="15" hidden="false" customHeight="false" outlineLevel="0" collapsed="false">
      <c r="A2146" s="30"/>
      <c r="B2146" s="21"/>
      <c r="C2146" s="21" t="str">
        <f aca="false">IF(B2146="","",IFERROR(INDEX(代理店一覧!$B$5:$B$204,MATCH(B2146,代理店一覧!$A$5:$A$204,0)),"※未登録のID"))</f>
        <v/>
      </c>
      <c r="D2146" s="20"/>
      <c r="E2146" s="20"/>
      <c r="F2146" s="20"/>
      <c r="G2146" s="20"/>
      <c r="H2146" s="20"/>
      <c r="I2146" s="21"/>
    </row>
    <row r="2147" customFormat="false" ht="15" hidden="false" customHeight="false" outlineLevel="0" collapsed="false">
      <c r="A2147" s="30"/>
      <c r="B2147" s="21"/>
      <c r="C2147" s="21" t="str">
        <f aca="false">IF(B2147="","",IFERROR(INDEX(代理店一覧!$B$5:$B$204,MATCH(B2147,代理店一覧!$A$5:$A$204,0)),"※未登録のID"))</f>
        <v/>
      </c>
      <c r="D2147" s="20"/>
      <c r="E2147" s="20"/>
      <c r="F2147" s="20"/>
      <c r="G2147" s="20"/>
      <c r="H2147" s="20"/>
      <c r="I2147" s="21"/>
    </row>
    <row r="2148" customFormat="false" ht="15" hidden="false" customHeight="false" outlineLevel="0" collapsed="false">
      <c r="A2148" s="30"/>
      <c r="B2148" s="21"/>
      <c r="C2148" s="21" t="str">
        <f aca="false">IF(B2148="","",IFERROR(INDEX(代理店一覧!$B$5:$B$204,MATCH(B2148,代理店一覧!$A$5:$A$204,0)),"※未登録のID"))</f>
        <v/>
      </c>
      <c r="D2148" s="20"/>
      <c r="E2148" s="20"/>
      <c r="F2148" s="20"/>
      <c r="G2148" s="20"/>
      <c r="H2148" s="20"/>
      <c r="I2148" s="21"/>
    </row>
    <row r="2149" customFormat="false" ht="15" hidden="false" customHeight="false" outlineLevel="0" collapsed="false">
      <c r="A2149" s="30"/>
      <c r="B2149" s="21"/>
      <c r="C2149" s="21" t="str">
        <f aca="false">IF(B2149="","",IFERROR(INDEX(代理店一覧!$B$5:$B$204,MATCH(B2149,代理店一覧!$A$5:$A$204,0)),"※未登録のID"))</f>
        <v/>
      </c>
      <c r="D2149" s="20"/>
      <c r="E2149" s="20"/>
      <c r="F2149" s="20"/>
      <c r="G2149" s="20"/>
      <c r="H2149" s="20"/>
      <c r="I2149" s="21"/>
    </row>
    <row r="2150" customFormat="false" ht="15" hidden="false" customHeight="false" outlineLevel="0" collapsed="false">
      <c r="A2150" s="30"/>
      <c r="B2150" s="21"/>
      <c r="C2150" s="21" t="str">
        <f aca="false">IF(B2150="","",IFERROR(INDEX(代理店一覧!$B$5:$B$204,MATCH(B2150,代理店一覧!$A$5:$A$204,0)),"※未登録のID"))</f>
        <v/>
      </c>
      <c r="D2150" s="20"/>
      <c r="E2150" s="20"/>
      <c r="F2150" s="20"/>
      <c r="G2150" s="20"/>
      <c r="H2150" s="20"/>
      <c r="I2150" s="21"/>
    </row>
    <row r="2151" customFormat="false" ht="15" hidden="false" customHeight="false" outlineLevel="0" collapsed="false">
      <c r="A2151" s="30"/>
      <c r="B2151" s="21"/>
      <c r="C2151" s="21" t="str">
        <f aca="false">IF(B2151="","",IFERROR(INDEX(代理店一覧!$B$5:$B$204,MATCH(B2151,代理店一覧!$A$5:$A$204,0)),"※未登録のID"))</f>
        <v/>
      </c>
      <c r="D2151" s="20"/>
      <c r="E2151" s="20"/>
      <c r="F2151" s="20"/>
      <c r="G2151" s="20"/>
      <c r="H2151" s="20"/>
      <c r="I2151" s="21"/>
    </row>
    <row r="2152" customFormat="false" ht="15" hidden="false" customHeight="false" outlineLevel="0" collapsed="false">
      <c r="A2152" s="30"/>
      <c r="B2152" s="21"/>
      <c r="C2152" s="21" t="str">
        <f aca="false">IF(B2152="","",IFERROR(INDEX(代理店一覧!$B$5:$B$204,MATCH(B2152,代理店一覧!$A$5:$A$204,0)),"※未登録のID"))</f>
        <v/>
      </c>
      <c r="D2152" s="20"/>
      <c r="E2152" s="20"/>
      <c r="F2152" s="20"/>
      <c r="G2152" s="20"/>
      <c r="H2152" s="20"/>
      <c r="I2152" s="21"/>
    </row>
    <row r="2153" customFormat="false" ht="15" hidden="false" customHeight="false" outlineLevel="0" collapsed="false">
      <c r="A2153" s="30"/>
      <c r="B2153" s="21"/>
      <c r="C2153" s="21" t="str">
        <f aca="false">IF(B2153="","",IFERROR(INDEX(代理店一覧!$B$5:$B$204,MATCH(B2153,代理店一覧!$A$5:$A$204,0)),"※未登録のID"))</f>
        <v/>
      </c>
      <c r="D2153" s="20"/>
      <c r="E2153" s="20"/>
      <c r="F2153" s="20"/>
      <c r="G2153" s="20"/>
      <c r="H2153" s="20"/>
      <c r="I2153" s="21"/>
    </row>
    <row r="2154" customFormat="false" ht="15" hidden="false" customHeight="false" outlineLevel="0" collapsed="false">
      <c r="A2154" s="30"/>
      <c r="B2154" s="21"/>
      <c r="C2154" s="21" t="str">
        <f aca="false">IF(B2154="","",IFERROR(INDEX(代理店一覧!$B$5:$B$204,MATCH(B2154,代理店一覧!$A$5:$A$204,0)),"※未登録のID"))</f>
        <v/>
      </c>
      <c r="D2154" s="20"/>
      <c r="E2154" s="20"/>
      <c r="F2154" s="20"/>
      <c r="G2154" s="20"/>
      <c r="H2154" s="20"/>
      <c r="I2154" s="21"/>
    </row>
    <row r="2155" customFormat="false" ht="15" hidden="false" customHeight="false" outlineLevel="0" collapsed="false">
      <c r="A2155" s="30"/>
      <c r="B2155" s="21"/>
      <c r="C2155" s="21" t="str">
        <f aca="false">IF(B2155="","",IFERROR(INDEX(代理店一覧!$B$5:$B$204,MATCH(B2155,代理店一覧!$A$5:$A$204,0)),"※未登録のID"))</f>
        <v/>
      </c>
      <c r="D2155" s="20"/>
      <c r="E2155" s="20"/>
      <c r="F2155" s="20"/>
      <c r="G2155" s="20"/>
      <c r="H2155" s="20"/>
      <c r="I2155" s="21"/>
    </row>
    <row r="2156" customFormat="false" ht="15" hidden="false" customHeight="false" outlineLevel="0" collapsed="false">
      <c r="A2156" s="30"/>
      <c r="B2156" s="21"/>
      <c r="C2156" s="21" t="str">
        <f aca="false">IF(B2156="","",IFERROR(INDEX(代理店一覧!$B$5:$B$204,MATCH(B2156,代理店一覧!$A$5:$A$204,0)),"※未登録のID"))</f>
        <v/>
      </c>
      <c r="D2156" s="20"/>
      <c r="E2156" s="20"/>
      <c r="F2156" s="20"/>
      <c r="G2156" s="20"/>
      <c r="H2156" s="20"/>
      <c r="I2156" s="21"/>
    </row>
    <row r="2157" customFormat="false" ht="15" hidden="false" customHeight="false" outlineLevel="0" collapsed="false">
      <c r="A2157" s="30"/>
      <c r="B2157" s="21"/>
      <c r="C2157" s="21" t="str">
        <f aca="false">IF(B2157="","",IFERROR(INDEX(代理店一覧!$B$5:$B$204,MATCH(B2157,代理店一覧!$A$5:$A$204,0)),"※未登録のID"))</f>
        <v/>
      </c>
      <c r="D2157" s="20"/>
      <c r="E2157" s="20"/>
      <c r="F2157" s="20"/>
      <c r="G2157" s="20"/>
      <c r="H2157" s="20"/>
      <c r="I2157" s="21"/>
    </row>
    <row r="2158" customFormat="false" ht="15" hidden="false" customHeight="false" outlineLevel="0" collapsed="false">
      <c r="A2158" s="30"/>
      <c r="B2158" s="21"/>
      <c r="C2158" s="21" t="str">
        <f aca="false">IF(B2158="","",IFERROR(INDEX(代理店一覧!$B$5:$B$204,MATCH(B2158,代理店一覧!$A$5:$A$204,0)),"※未登録のID"))</f>
        <v/>
      </c>
      <c r="D2158" s="20"/>
      <c r="E2158" s="20"/>
      <c r="F2158" s="20"/>
      <c r="G2158" s="20"/>
      <c r="H2158" s="20"/>
      <c r="I2158" s="21"/>
    </row>
    <row r="2159" customFormat="false" ht="15" hidden="false" customHeight="false" outlineLevel="0" collapsed="false">
      <c r="A2159" s="30"/>
      <c r="B2159" s="21"/>
      <c r="C2159" s="21" t="str">
        <f aca="false">IF(B2159="","",IFERROR(INDEX(代理店一覧!$B$5:$B$204,MATCH(B2159,代理店一覧!$A$5:$A$204,0)),"※未登録のID"))</f>
        <v/>
      </c>
      <c r="D2159" s="20"/>
      <c r="E2159" s="20"/>
      <c r="F2159" s="20"/>
      <c r="G2159" s="20"/>
      <c r="H2159" s="20"/>
      <c r="I2159" s="21"/>
    </row>
    <row r="2160" customFormat="false" ht="15" hidden="false" customHeight="false" outlineLevel="0" collapsed="false">
      <c r="A2160" s="30"/>
      <c r="B2160" s="21"/>
      <c r="C2160" s="21" t="str">
        <f aca="false">IF(B2160="","",IFERROR(INDEX(代理店一覧!$B$5:$B$204,MATCH(B2160,代理店一覧!$A$5:$A$204,0)),"※未登録のID"))</f>
        <v/>
      </c>
      <c r="D2160" s="20"/>
      <c r="E2160" s="20"/>
      <c r="F2160" s="20"/>
      <c r="G2160" s="20"/>
      <c r="H2160" s="20"/>
      <c r="I2160" s="21"/>
    </row>
    <row r="2161" customFormat="false" ht="15" hidden="false" customHeight="false" outlineLevel="0" collapsed="false">
      <c r="A2161" s="30"/>
      <c r="B2161" s="21"/>
      <c r="C2161" s="21" t="str">
        <f aca="false">IF(B2161="","",IFERROR(INDEX(代理店一覧!$B$5:$B$204,MATCH(B2161,代理店一覧!$A$5:$A$204,0)),"※未登録のID"))</f>
        <v/>
      </c>
      <c r="D2161" s="20"/>
      <c r="E2161" s="20"/>
      <c r="F2161" s="20"/>
      <c r="G2161" s="20"/>
      <c r="H2161" s="20"/>
      <c r="I2161" s="21"/>
    </row>
    <row r="2162" customFormat="false" ht="15" hidden="false" customHeight="false" outlineLevel="0" collapsed="false">
      <c r="A2162" s="30"/>
      <c r="B2162" s="21"/>
      <c r="C2162" s="21" t="str">
        <f aca="false">IF(B2162="","",IFERROR(INDEX(代理店一覧!$B$5:$B$204,MATCH(B2162,代理店一覧!$A$5:$A$204,0)),"※未登録のID"))</f>
        <v/>
      </c>
      <c r="D2162" s="20"/>
      <c r="E2162" s="20"/>
      <c r="F2162" s="20"/>
      <c r="G2162" s="20"/>
      <c r="H2162" s="20"/>
      <c r="I2162" s="21"/>
    </row>
    <row r="2163" customFormat="false" ht="15" hidden="false" customHeight="false" outlineLevel="0" collapsed="false">
      <c r="A2163" s="30"/>
      <c r="B2163" s="21"/>
      <c r="C2163" s="21" t="str">
        <f aca="false">IF(B2163="","",IFERROR(INDEX(代理店一覧!$B$5:$B$204,MATCH(B2163,代理店一覧!$A$5:$A$204,0)),"※未登録のID"))</f>
        <v/>
      </c>
      <c r="D2163" s="20"/>
      <c r="E2163" s="20"/>
      <c r="F2163" s="20"/>
      <c r="G2163" s="20"/>
      <c r="H2163" s="20"/>
      <c r="I2163" s="21"/>
    </row>
    <row r="2164" customFormat="false" ht="15" hidden="false" customHeight="false" outlineLevel="0" collapsed="false">
      <c r="A2164" s="30"/>
      <c r="B2164" s="21"/>
      <c r="C2164" s="21" t="str">
        <f aca="false">IF(B2164="","",IFERROR(INDEX(代理店一覧!$B$5:$B$204,MATCH(B2164,代理店一覧!$A$5:$A$204,0)),"※未登録のID"))</f>
        <v/>
      </c>
      <c r="D2164" s="20"/>
      <c r="E2164" s="20"/>
      <c r="F2164" s="20"/>
      <c r="G2164" s="20"/>
      <c r="H2164" s="20"/>
      <c r="I2164" s="21"/>
    </row>
    <row r="2165" customFormat="false" ht="15" hidden="false" customHeight="false" outlineLevel="0" collapsed="false">
      <c r="A2165" s="30"/>
      <c r="B2165" s="21"/>
      <c r="C2165" s="21" t="str">
        <f aca="false">IF(B2165="","",IFERROR(INDEX(代理店一覧!$B$5:$B$204,MATCH(B2165,代理店一覧!$A$5:$A$204,0)),"※未登録のID"))</f>
        <v/>
      </c>
      <c r="D2165" s="20"/>
      <c r="E2165" s="20"/>
      <c r="F2165" s="20"/>
      <c r="G2165" s="20"/>
      <c r="H2165" s="20"/>
      <c r="I2165" s="21"/>
    </row>
    <row r="2166" customFormat="false" ht="15" hidden="false" customHeight="false" outlineLevel="0" collapsed="false">
      <c r="A2166" s="30"/>
      <c r="B2166" s="21"/>
      <c r="C2166" s="21" t="str">
        <f aca="false">IF(B2166="","",IFERROR(INDEX(代理店一覧!$B$5:$B$204,MATCH(B2166,代理店一覧!$A$5:$A$204,0)),"※未登録のID"))</f>
        <v/>
      </c>
      <c r="D2166" s="20"/>
      <c r="E2166" s="20"/>
      <c r="F2166" s="20"/>
      <c r="G2166" s="20"/>
      <c r="H2166" s="20"/>
      <c r="I2166" s="21"/>
    </row>
    <row r="2167" customFormat="false" ht="15" hidden="false" customHeight="false" outlineLevel="0" collapsed="false">
      <c r="A2167" s="30"/>
      <c r="B2167" s="21"/>
      <c r="C2167" s="21" t="str">
        <f aca="false">IF(B2167="","",IFERROR(INDEX(代理店一覧!$B$5:$B$204,MATCH(B2167,代理店一覧!$A$5:$A$204,0)),"※未登録のID"))</f>
        <v/>
      </c>
      <c r="D2167" s="20"/>
      <c r="E2167" s="20"/>
      <c r="F2167" s="20"/>
      <c r="G2167" s="20"/>
      <c r="H2167" s="20"/>
      <c r="I2167" s="21"/>
    </row>
    <row r="2168" customFormat="false" ht="15" hidden="false" customHeight="false" outlineLevel="0" collapsed="false">
      <c r="A2168" s="30"/>
      <c r="B2168" s="21"/>
      <c r="C2168" s="21" t="str">
        <f aca="false">IF(B2168="","",IFERROR(INDEX(代理店一覧!$B$5:$B$204,MATCH(B2168,代理店一覧!$A$5:$A$204,0)),"※未登録のID"))</f>
        <v/>
      </c>
      <c r="D2168" s="20"/>
      <c r="E2168" s="20"/>
      <c r="F2168" s="20"/>
      <c r="G2168" s="20"/>
      <c r="H2168" s="20"/>
      <c r="I2168" s="21"/>
    </row>
    <row r="2169" customFormat="false" ht="15" hidden="false" customHeight="false" outlineLevel="0" collapsed="false">
      <c r="A2169" s="30"/>
      <c r="B2169" s="21"/>
      <c r="C2169" s="21" t="str">
        <f aca="false">IF(B2169="","",IFERROR(INDEX(代理店一覧!$B$5:$B$204,MATCH(B2169,代理店一覧!$A$5:$A$204,0)),"※未登録のID"))</f>
        <v/>
      </c>
      <c r="D2169" s="20"/>
      <c r="E2169" s="20"/>
      <c r="F2169" s="20"/>
      <c r="G2169" s="20"/>
      <c r="H2169" s="20"/>
      <c r="I2169" s="21"/>
    </row>
    <row r="2170" customFormat="false" ht="15" hidden="false" customHeight="false" outlineLevel="0" collapsed="false">
      <c r="A2170" s="30"/>
      <c r="B2170" s="21"/>
      <c r="C2170" s="21" t="str">
        <f aca="false">IF(B2170="","",IFERROR(INDEX(代理店一覧!$B$5:$B$204,MATCH(B2170,代理店一覧!$A$5:$A$204,0)),"※未登録のID"))</f>
        <v/>
      </c>
      <c r="D2170" s="20"/>
      <c r="E2170" s="20"/>
      <c r="F2170" s="20"/>
      <c r="G2170" s="20"/>
      <c r="H2170" s="20"/>
      <c r="I2170" s="21"/>
    </row>
    <row r="2171" customFormat="false" ht="15" hidden="false" customHeight="false" outlineLevel="0" collapsed="false">
      <c r="A2171" s="30"/>
      <c r="B2171" s="21"/>
      <c r="C2171" s="21" t="str">
        <f aca="false">IF(B2171="","",IFERROR(INDEX(代理店一覧!$B$5:$B$204,MATCH(B2171,代理店一覧!$A$5:$A$204,0)),"※未登録のID"))</f>
        <v/>
      </c>
      <c r="D2171" s="20"/>
      <c r="E2171" s="20"/>
      <c r="F2171" s="20"/>
      <c r="G2171" s="20"/>
      <c r="H2171" s="20"/>
      <c r="I2171" s="21"/>
    </row>
    <row r="2172" customFormat="false" ht="15" hidden="false" customHeight="false" outlineLevel="0" collapsed="false">
      <c r="A2172" s="30"/>
      <c r="B2172" s="21"/>
      <c r="C2172" s="21" t="str">
        <f aca="false">IF(B2172="","",IFERROR(INDEX(代理店一覧!$B$5:$B$204,MATCH(B2172,代理店一覧!$A$5:$A$204,0)),"※未登録のID"))</f>
        <v/>
      </c>
      <c r="D2172" s="20"/>
      <c r="E2172" s="20"/>
      <c r="F2172" s="20"/>
      <c r="G2172" s="20"/>
      <c r="H2172" s="20"/>
      <c r="I2172" s="21"/>
    </row>
    <row r="2173" customFormat="false" ht="15" hidden="false" customHeight="false" outlineLevel="0" collapsed="false">
      <c r="A2173" s="30"/>
      <c r="B2173" s="21"/>
      <c r="C2173" s="21" t="str">
        <f aca="false">IF(B2173="","",IFERROR(INDEX(代理店一覧!$B$5:$B$204,MATCH(B2173,代理店一覧!$A$5:$A$204,0)),"※未登録のID"))</f>
        <v/>
      </c>
      <c r="D2173" s="20"/>
      <c r="E2173" s="20"/>
      <c r="F2173" s="20"/>
      <c r="G2173" s="20"/>
      <c r="H2173" s="20"/>
      <c r="I2173" s="21"/>
    </row>
    <row r="2174" customFormat="false" ht="15" hidden="false" customHeight="false" outlineLevel="0" collapsed="false">
      <c r="A2174" s="30"/>
      <c r="B2174" s="21"/>
      <c r="C2174" s="21" t="str">
        <f aca="false">IF(B2174="","",IFERROR(INDEX(代理店一覧!$B$5:$B$204,MATCH(B2174,代理店一覧!$A$5:$A$204,0)),"※未登録のID"))</f>
        <v/>
      </c>
      <c r="D2174" s="20"/>
      <c r="E2174" s="20"/>
      <c r="F2174" s="20"/>
      <c r="G2174" s="20"/>
      <c r="H2174" s="20"/>
      <c r="I2174" s="21"/>
    </row>
    <row r="2175" customFormat="false" ht="15" hidden="false" customHeight="false" outlineLevel="0" collapsed="false">
      <c r="A2175" s="30"/>
      <c r="B2175" s="21"/>
      <c r="C2175" s="21" t="str">
        <f aca="false">IF(B2175="","",IFERROR(INDEX(代理店一覧!$B$5:$B$204,MATCH(B2175,代理店一覧!$A$5:$A$204,0)),"※未登録のID"))</f>
        <v/>
      </c>
      <c r="D2175" s="20"/>
      <c r="E2175" s="20"/>
      <c r="F2175" s="20"/>
      <c r="G2175" s="20"/>
      <c r="H2175" s="20"/>
      <c r="I2175" s="21"/>
    </row>
    <row r="2176" customFormat="false" ht="15" hidden="false" customHeight="false" outlineLevel="0" collapsed="false">
      <c r="A2176" s="30"/>
      <c r="B2176" s="21"/>
      <c r="C2176" s="21" t="str">
        <f aca="false">IF(B2176="","",IFERROR(INDEX(代理店一覧!$B$5:$B$204,MATCH(B2176,代理店一覧!$A$5:$A$204,0)),"※未登録のID"))</f>
        <v/>
      </c>
      <c r="D2176" s="20"/>
      <c r="E2176" s="20"/>
      <c r="F2176" s="20"/>
      <c r="G2176" s="20"/>
      <c r="H2176" s="20"/>
      <c r="I2176" s="21"/>
    </row>
    <row r="2177" customFormat="false" ht="15" hidden="false" customHeight="false" outlineLevel="0" collapsed="false">
      <c r="A2177" s="30"/>
      <c r="B2177" s="21"/>
      <c r="C2177" s="21" t="str">
        <f aca="false">IF(B2177="","",IFERROR(INDEX(代理店一覧!$B$5:$B$204,MATCH(B2177,代理店一覧!$A$5:$A$204,0)),"※未登録のID"))</f>
        <v/>
      </c>
      <c r="D2177" s="20"/>
      <c r="E2177" s="20"/>
      <c r="F2177" s="20"/>
      <c r="G2177" s="20"/>
      <c r="H2177" s="20"/>
      <c r="I2177" s="21"/>
    </row>
    <row r="2178" customFormat="false" ht="15" hidden="false" customHeight="false" outlineLevel="0" collapsed="false">
      <c r="A2178" s="30"/>
      <c r="B2178" s="21"/>
      <c r="C2178" s="21" t="str">
        <f aca="false">IF(B2178="","",IFERROR(INDEX(代理店一覧!$B$5:$B$204,MATCH(B2178,代理店一覧!$A$5:$A$204,0)),"※未登録のID"))</f>
        <v/>
      </c>
      <c r="D2178" s="20"/>
      <c r="E2178" s="20"/>
      <c r="F2178" s="20"/>
      <c r="G2178" s="20"/>
      <c r="H2178" s="20"/>
      <c r="I2178" s="21"/>
    </row>
    <row r="2179" customFormat="false" ht="15" hidden="false" customHeight="false" outlineLevel="0" collapsed="false">
      <c r="A2179" s="30"/>
      <c r="B2179" s="21"/>
      <c r="C2179" s="21" t="str">
        <f aca="false">IF(B2179="","",IFERROR(INDEX(代理店一覧!$B$5:$B$204,MATCH(B2179,代理店一覧!$A$5:$A$204,0)),"※未登録のID"))</f>
        <v/>
      </c>
      <c r="D2179" s="20"/>
      <c r="E2179" s="20"/>
      <c r="F2179" s="20"/>
      <c r="G2179" s="20"/>
      <c r="H2179" s="20"/>
      <c r="I2179" s="21"/>
    </row>
    <row r="2180" customFormat="false" ht="15" hidden="false" customHeight="false" outlineLevel="0" collapsed="false">
      <c r="A2180" s="30"/>
      <c r="B2180" s="21"/>
      <c r="C2180" s="21" t="str">
        <f aca="false">IF(B2180="","",IFERROR(INDEX(代理店一覧!$B$5:$B$204,MATCH(B2180,代理店一覧!$A$5:$A$204,0)),"※未登録のID"))</f>
        <v/>
      </c>
      <c r="D2180" s="20"/>
      <c r="E2180" s="20"/>
      <c r="F2180" s="20"/>
      <c r="G2180" s="20"/>
      <c r="H2180" s="20"/>
      <c r="I2180" s="21"/>
    </row>
    <row r="2181" customFormat="false" ht="15" hidden="false" customHeight="false" outlineLevel="0" collapsed="false">
      <c r="A2181" s="30"/>
      <c r="B2181" s="21"/>
      <c r="C2181" s="21" t="str">
        <f aca="false">IF(B2181="","",IFERROR(INDEX(代理店一覧!$B$5:$B$204,MATCH(B2181,代理店一覧!$A$5:$A$204,0)),"※未登録のID"))</f>
        <v/>
      </c>
      <c r="D2181" s="20"/>
      <c r="E2181" s="20"/>
      <c r="F2181" s="20"/>
      <c r="G2181" s="20"/>
      <c r="H2181" s="20"/>
      <c r="I2181" s="21"/>
    </row>
    <row r="2182" customFormat="false" ht="15" hidden="false" customHeight="false" outlineLevel="0" collapsed="false">
      <c r="A2182" s="30"/>
      <c r="B2182" s="21"/>
      <c r="C2182" s="21" t="str">
        <f aca="false">IF(B2182="","",IFERROR(INDEX(代理店一覧!$B$5:$B$204,MATCH(B2182,代理店一覧!$A$5:$A$204,0)),"※未登録のID"))</f>
        <v/>
      </c>
      <c r="D2182" s="20"/>
      <c r="E2182" s="20"/>
      <c r="F2182" s="20"/>
      <c r="G2182" s="20"/>
      <c r="H2182" s="20"/>
      <c r="I2182" s="21"/>
    </row>
    <row r="2183" customFormat="false" ht="15" hidden="false" customHeight="false" outlineLevel="0" collapsed="false">
      <c r="A2183" s="30"/>
      <c r="B2183" s="21"/>
      <c r="C2183" s="21" t="str">
        <f aca="false">IF(B2183="","",IFERROR(INDEX(代理店一覧!$B$5:$B$204,MATCH(B2183,代理店一覧!$A$5:$A$204,0)),"※未登録のID"))</f>
        <v/>
      </c>
      <c r="D2183" s="20"/>
      <c r="E2183" s="20"/>
      <c r="F2183" s="20"/>
      <c r="G2183" s="20"/>
      <c r="H2183" s="20"/>
      <c r="I2183" s="21"/>
    </row>
    <row r="2184" customFormat="false" ht="15" hidden="false" customHeight="false" outlineLevel="0" collapsed="false">
      <c r="A2184" s="30"/>
      <c r="B2184" s="21"/>
      <c r="C2184" s="21" t="str">
        <f aca="false">IF(B2184="","",IFERROR(INDEX(代理店一覧!$B$5:$B$204,MATCH(B2184,代理店一覧!$A$5:$A$204,0)),"※未登録のID"))</f>
        <v/>
      </c>
      <c r="D2184" s="20"/>
      <c r="E2184" s="20"/>
      <c r="F2184" s="20"/>
      <c r="G2184" s="20"/>
      <c r="H2184" s="20"/>
      <c r="I2184" s="21"/>
    </row>
    <row r="2185" customFormat="false" ht="15" hidden="false" customHeight="false" outlineLevel="0" collapsed="false">
      <c r="A2185" s="30"/>
      <c r="B2185" s="21"/>
      <c r="C2185" s="21" t="str">
        <f aca="false">IF(B2185="","",IFERROR(INDEX(代理店一覧!$B$5:$B$204,MATCH(B2185,代理店一覧!$A$5:$A$204,0)),"※未登録のID"))</f>
        <v/>
      </c>
      <c r="D2185" s="20"/>
      <c r="E2185" s="20"/>
      <c r="F2185" s="20"/>
      <c r="G2185" s="20"/>
      <c r="H2185" s="20"/>
      <c r="I2185" s="21"/>
    </row>
    <row r="2186" customFormat="false" ht="15" hidden="false" customHeight="false" outlineLevel="0" collapsed="false">
      <c r="A2186" s="30"/>
      <c r="B2186" s="21"/>
      <c r="C2186" s="21" t="str">
        <f aca="false">IF(B2186="","",IFERROR(INDEX(代理店一覧!$B$5:$B$204,MATCH(B2186,代理店一覧!$A$5:$A$204,0)),"※未登録のID"))</f>
        <v/>
      </c>
      <c r="D2186" s="20"/>
      <c r="E2186" s="20"/>
      <c r="F2186" s="20"/>
      <c r="G2186" s="20"/>
      <c r="H2186" s="20"/>
      <c r="I2186" s="21"/>
    </row>
    <row r="2187" customFormat="false" ht="15" hidden="false" customHeight="false" outlineLevel="0" collapsed="false">
      <c r="A2187" s="30"/>
      <c r="B2187" s="21"/>
      <c r="C2187" s="21" t="str">
        <f aca="false">IF(B2187="","",IFERROR(INDEX(代理店一覧!$B$5:$B$204,MATCH(B2187,代理店一覧!$A$5:$A$204,0)),"※未登録のID"))</f>
        <v/>
      </c>
      <c r="D2187" s="20"/>
      <c r="E2187" s="20"/>
      <c r="F2187" s="20"/>
      <c r="G2187" s="20"/>
      <c r="H2187" s="20"/>
      <c r="I2187" s="21"/>
    </row>
    <row r="2188" customFormat="false" ht="15" hidden="false" customHeight="false" outlineLevel="0" collapsed="false">
      <c r="A2188" s="30"/>
      <c r="B2188" s="21"/>
      <c r="C2188" s="21" t="str">
        <f aca="false">IF(B2188="","",IFERROR(INDEX(代理店一覧!$B$5:$B$204,MATCH(B2188,代理店一覧!$A$5:$A$204,0)),"※未登録のID"))</f>
        <v/>
      </c>
      <c r="D2188" s="20"/>
      <c r="E2188" s="20"/>
      <c r="F2188" s="20"/>
      <c r="G2188" s="20"/>
      <c r="H2188" s="20"/>
      <c r="I2188" s="21"/>
    </row>
    <row r="2189" customFormat="false" ht="15" hidden="false" customHeight="false" outlineLevel="0" collapsed="false">
      <c r="A2189" s="30"/>
      <c r="B2189" s="21"/>
      <c r="C2189" s="21" t="str">
        <f aca="false">IF(B2189="","",IFERROR(INDEX(代理店一覧!$B$5:$B$204,MATCH(B2189,代理店一覧!$A$5:$A$204,0)),"※未登録のID"))</f>
        <v/>
      </c>
      <c r="D2189" s="20"/>
      <c r="E2189" s="20"/>
      <c r="F2189" s="20"/>
      <c r="G2189" s="20"/>
      <c r="H2189" s="20"/>
      <c r="I2189" s="21"/>
    </row>
    <row r="2190" customFormat="false" ht="15" hidden="false" customHeight="false" outlineLevel="0" collapsed="false">
      <c r="A2190" s="30"/>
      <c r="B2190" s="21"/>
      <c r="C2190" s="21" t="str">
        <f aca="false">IF(B2190="","",IFERROR(INDEX(代理店一覧!$B$5:$B$204,MATCH(B2190,代理店一覧!$A$5:$A$204,0)),"※未登録のID"))</f>
        <v/>
      </c>
      <c r="D2190" s="20"/>
      <c r="E2190" s="20"/>
      <c r="F2190" s="20"/>
      <c r="G2190" s="20"/>
      <c r="H2190" s="20"/>
      <c r="I2190" s="21"/>
    </row>
    <row r="2191" customFormat="false" ht="15" hidden="false" customHeight="false" outlineLevel="0" collapsed="false">
      <c r="A2191" s="30"/>
      <c r="B2191" s="21"/>
      <c r="C2191" s="21" t="str">
        <f aca="false">IF(B2191="","",IFERROR(INDEX(代理店一覧!$B$5:$B$204,MATCH(B2191,代理店一覧!$A$5:$A$204,0)),"※未登録のID"))</f>
        <v/>
      </c>
      <c r="D2191" s="20"/>
      <c r="E2191" s="20"/>
      <c r="F2191" s="20"/>
      <c r="G2191" s="20"/>
      <c r="H2191" s="20"/>
      <c r="I2191" s="21"/>
    </row>
    <row r="2192" customFormat="false" ht="15" hidden="false" customHeight="false" outlineLevel="0" collapsed="false">
      <c r="A2192" s="30"/>
      <c r="B2192" s="21"/>
      <c r="C2192" s="21" t="str">
        <f aca="false">IF(B2192="","",IFERROR(INDEX(代理店一覧!$B$5:$B$204,MATCH(B2192,代理店一覧!$A$5:$A$204,0)),"※未登録のID"))</f>
        <v/>
      </c>
      <c r="D2192" s="20"/>
      <c r="E2192" s="20"/>
      <c r="F2192" s="20"/>
      <c r="G2192" s="20"/>
      <c r="H2192" s="20"/>
      <c r="I2192" s="21"/>
    </row>
    <row r="2193" customFormat="false" ht="15" hidden="false" customHeight="false" outlineLevel="0" collapsed="false">
      <c r="A2193" s="30"/>
      <c r="B2193" s="21"/>
      <c r="C2193" s="21" t="str">
        <f aca="false">IF(B2193="","",IFERROR(INDEX(代理店一覧!$B$5:$B$204,MATCH(B2193,代理店一覧!$A$5:$A$204,0)),"※未登録のID"))</f>
        <v/>
      </c>
      <c r="D2193" s="20"/>
      <c r="E2193" s="20"/>
      <c r="F2193" s="20"/>
      <c r="G2193" s="20"/>
      <c r="H2193" s="20"/>
      <c r="I2193" s="21"/>
    </row>
    <row r="2194" customFormat="false" ht="15" hidden="false" customHeight="false" outlineLevel="0" collapsed="false">
      <c r="A2194" s="30"/>
      <c r="B2194" s="21"/>
      <c r="C2194" s="21" t="str">
        <f aca="false">IF(B2194="","",IFERROR(INDEX(代理店一覧!$B$5:$B$204,MATCH(B2194,代理店一覧!$A$5:$A$204,0)),"※未登録のID"))</f>
        <v/>
      </c>
      <c r="D2194" s="20"/>
      <c r="E2194" s="20"/>
      <c r="F2194" s="20"/>
      <c r="G2194" s="20"/>
      <c r="H2194" s="20"/>
      <c r="I2194" s="21"/>
    </row>
    <row r="2195" customFormat="false" ht="15" hidden="false" customHeight="false" outlineLevel="0" collapsed="false">
      <c r="A2195" s="30"/>
      <c r="B2195" s="21"/>
      <c r="C2195" s="21" t="str">
        <f aca="false">IF(B2195="","",IFERROR(INDEX(代理店一覧!$B$5:$B$204,MATCH(B2195,代理店一覧!$A$5:$A$204,0)),"※未登録のID"))</f>
        <v/>
      </c>
      <c r="D2195" s="20"/>
      <c r="E2195" s="20"/>
      <c r="F2195" s="20"/>
      <c r="G2195" s="20"/>
      <c r="H2195" s="20"/>
      <c r="I2195" s="21"/>
    </row>
    <row r="2196" customFormat="false" ht="15" hidden="false" customHeight="false" outlineLevel="0" collapsed="false">
      <c r="A2196" s="30"/>
      <c r="B2196" s="21"/>
      <c r="C2196" s="21" t="str">
        <f aca="false">IF(B2196="","",IFERROR(INDEX(代理店一覧!$B$5:$B$204,MATCH(B2196,代理店一覧!$A$5:$A$204,0)),"※未登録のID"))</f>
        <v/>
      </c>
      <c r="D2196" s="20"/>
      <c r="E2196" s="20"/>
      <c r="F2196" s="20"/>
      <c r="G2196" s="20"/>
      <c r="H2196" s="20"/>
      <c r="I2196" s="21"/>
    </row>
    <row r="2197" customFormat="false" ht="15" hidden="false" customHeight="false" outlineLevel="0" collapsed="false">
      <c r="A2197" s="30"/>
      <c r="B2197" s="21"/>
      <c r="C2197" s="21" t="str">
        <f aca="false">IF(B2197="","",IFERROR(INDEX(代理店一覧!$B$5:$B$204,MATCH(B2197,代理店一覧!$A$5:$A$204,0)),"※未登録のID"))</f>
        <v/>
      </c>
      <c r="D2197" s="20"/>
      <c r="E2197" s="20"/>
      <c r="F2197" s="20"/>
      <c r="G2197" s="20"/>
      <c r="H2197" s="20"/>
      <c r="I2197" s="21"/>
    </row>
    <row r="2198" customFormat="false" ht="15" hidden="false" customHeight="false" outlineLevel="0" collapsed="false">
      <c r="A2198" s="30"/>
      <c r="B2198" s="21"/>
      <c r="C2198" s="21" t="str">
        <f aca="false">IF(B2198="","",IFERROR(INDEX(代理店一覧!$B$5:$B$204,MATCH(B2198,代理店一覧!$A$5:$A$204,0)),"※未登録のID"))</f>
        <v/>
      </c>
      <c r="D2198" s="20"/>
      <c r="E2198" s="20"/>
      <c r="F2198" s="20"/>
      <c r="G2198" s="20"/>
      <c r="H2198" s="20"/>
      <c r="I2198" s="21"/>
    </row>
    <row r="2199" customFormat="false" ht="15" hidden="false" customHeight="false" outlineLevel="0" collapsed="false">
      <c r="A2199" s="30"/>
      <c r="B2199" s="21"/>
      <c r="C2199" s="21" t="str">
        <f aca="false">IF(B2199="","",IFERROR(INDEX(代理店一覧!$B$5:$B$204,MATCH(B2199,代理店一覧!$A$5:$A$204,0)),"※未登録のID"))</f>
        <v/>
      </c>
      <c r="D2199" s="20"/>
      <c r="E2199" s="20"/>
      <c r="F2199" s="20"/>
      <c r="G2199" s="20"/>
      <c r="H2199" s="20"/>
      <c r="I2199" s="21"/>
    </row>
    <row r="2200" customFormat="false" ht="15" hidden="false" customHeight="false" outlineLevel="0" collapsed="false">
      <c r="A2200" s="30"/>
      <c r="B2200" s="21"/>
      <c r="C2200" s="21" t="str">
        <f aca="false">IF(B2200="","",IFERROR(INDEX(代理店一覧!$B$5:$B$204,MATCH(B2200,代理店一覧!$A$5:$A$204,0)),"※未登録のID"))</f>
        <v/>
      </c>
      <c r="D2200" s="20"/>
      <c r="E2200" s="20"/>
      <c r="F2200" s="20"/>
      <c r="G2200" s="20"/>
      <c r="H2200" s="20"/>
      <c r="I2200" s="21"/>
    </row>
    <row r="2201" customFormat="false" ht="15" hidden="false" customHeight="false" outlineLevel="0" collapsed="false">
      <c r="A2201" s="30"/>
      <c r="B2201" s="21"/>
      <c r="C2201" s="21" t="str">
        <f aca="false">IF(B2201="","",IFERROR(INDEX(代理店一覧!$B$5:$B$204,MATCH(B2201,代理店一覧!$A$5:$A$204,0)),"※未登録のID"))</f>
        <v/>
      </c>
      <c r="D2201" s="20"/>
      <c r="E2201" s="20"/>
      <c r="F2201" s="20"/>
      <c r="G2201" s="20"/>
      <c r="H2201" s="20"/>
      <c r="I2201" s="21"/>
    </row>
    <row r="2202" customFormat="false" ht="15" hidden="false" customHeight="false" outlineLevel="0" collapsed="false">
      <c r="A2202" s="30"/>
      <c r="B2202" s="21"/>
      <c r="C2202" s="21" t="str">
        <f aca="false">IF(B2202="","",IFERROR(INDEX(代理店一覧!$B$5:$B$204,MATCH(B2202,代理店一覧!$A$5:$A$204,0)),"※未登録のID"))</f>
        <v/>
      </c>
      <c r="D2202" s="20"/>
      <c r="E2202" s="20"/>
      <c r="F2202" s="20"/>
      <c r="G2202" s="20"/>
      <c r="H2202" s="20"/>
      <c r="I2202" s="21"/>
    </row>
    <row r="2203" customFormat="false" ht="15" hidden="false" customHeight="false" outlineLevel="0" collapsed="false">
      <c r="A2203" s="30"/>
      <c r="B2203" s="21"/>
      <c r="C2203" s="21" t="str">
        <f aca="false">IF(B2203="","",IFERROR(INDEX(代理店一覧!$B$5:$B$204,MATCH(B2203,代理店一覧!$A$5:$A$204,0)),"※未登録のID"))</f>
        <v/>
      </c>
      <c r="D2203" s="20"/>
      <c r="E2203" s="20"/>
      <c r="F2203" s="20"/>
      <c r="G2203" s="20"/>
      <c r="H2203" s="20"/>
      <c r="I2203" s="21"/>
    </row>
    <row r="2204" customFormat="false" ht="15" hidden="false" customHeight="false" outlineLevel="0" collapsed="false">
      <c r="A2204" s="30"/>
      <c r="B2204" s="21"/>
      <c r="C2204" s="21" t="str">
        <f aca="false">IF(B2204="","",IFERROR(INDEX(代理店一覧!$B$5:$B$204,MATCH(B2204,代理店一覧!$A$5:$A$204,0)),"※未登録のID"))</f>
        <v/>
      </c>
      <c r="D2204" s="20"/>
      <c r="E2204" s="20"/>
      <c r="F2204" s="20"/>
      <c r="G2204" s="20"/>
      <c r="H2204" s="20"/>
      <c r="I2204" s="21"/>
    </row>
    <row r="2205" customFormat="false" ht="15" hidden="false" customHeight="false" outlineLevel="0" collapsed="false">
      <c r="A2205" s="30"/>
      <c r="B2205" s="21"/>
      <c r="C2205" s="21" t="str">
        <f aca="false">IF(B2205="","",IFERROR(INDEX(代理店一覧!$B$5:$B$204,MATCH(B2205,代理店一覧!$A$5:$A$204,0)),"※未登録のID"))</f>
        <v/>
      </c>
      <c r="D2205" s="20"/>
      <c r="E2205" s="20"/>
      <c r="F2205" s="20"/>
      <c r="G2205" s="20"/>
      <c r="H2205" s="20"/>
      <c r="I2205" s="21"/>
    </row>
    <row r="2206" customFormat="false" ht="15" hidden="false" customHeight="false" outlineLevel="0" collapsed="false">
      <c r="A2206" s="30"/>
      <c r="B2206" s="21"/>
      <c r="C2206" s="21" t="str">
        <f aca="false">IF(B2206="","",IFERROR(INDEX(代理店一覧!$B$5:$B$204,MATCH(B2206,代理店一覧!$A$5:$A$204,0)),"※未登録のID"))</f>
        <v/>
      </c>
      <c r="D2206" s="20"/>
      <c r="E2206" s="20"/>
      <c r="F2206" s="20"/>
      <c r="G2206" s="20"/>
      <c r="H2206" s="20"/>
      <c r="I2206" s="21"/>
    </row>
    <row r="2207" customFormat="false" ht="15" hidden="false" customHeight="false" outlineLevel="0" collapsed="false">
      <c r="A2207" s="30"/>
      <c r="B2207" s="21"/>
      <c r="C2207" s="21" t="str">
        <f aca="false">IF(B2207="","",IFERROR(INDEX(代理店一覧!$B$5:$B$204,MATCH(B2207,代理店一覧!$A$5:$A$204,0)),"※未登録のID"))</f>
        <v/>
      </c>
      <c r="D2207" s="20"/>
      <c r="E2207" s="20"/>
      <c r="F2207" s="20"/>
      <c r="G2207" s="20"/>
      <c r="H2207" s="20"/>
      <c r="I2207" s="21"/>
    </row>
    <row r="2208" customFormat="false" ht="15" hidden="false" customHeight="false" outlineLevel="0" collapsed="false">
      <c r="A2208" s="30"/>
      <c r="B2208" s="21"/>
      <c r="C2208" s="21" t="str">
        <f aca="false">IF(B2208="","",IFERROR(INDEX(代理店一覧!$B$5:$B$204,MATCH(B2208,代理店一覧!$A$5:$A$204,0)),"※未登録のID"))</f>
        <v/>
      </c>
      <c r="D2208" s="20"/>
      <c r="E2208" s="20"/>
      <c r="F2208" s="20"/>
      <c r="G2208" s="20"/>
      <c r="H2208" s="20"/>
      <c r="I2208" s="21"/>
    </row>
    <row r="2209" customFormat="false" ht="15" hidden="false" customHeight="false" outlineLevel="0" collapsed="false">
      <c r="A2209" s="30"/>
      <c r="B2209" s="21"/>
      <c r="C2209" s="21" t="str">
        <f aca="false">IF(B2209="","",IFERROR(INDEX(代理店一覧!$B$5:$B$204,MATCH(B2209,代理店一覧!$A$5:$A$204,0)),"※未登録のID"))</f>
        <v/>
      </c>
      <c r="D2209" s="20"/>
      <c r="E2209" s="20"/>
      <c r="F2209" s="20"/>
      <c r="G2209" s="20"/>
      <c r="H2209" s="20"/>
      <c r="I2209" s="21"/>
    </row>
    <row r="2210" customFormat="false" ht="15" hidden="false" customHeight="false" outlineLevel="0" collapsed="false">
      <c r="A2210" s="30"/>
      <c r="B2210" s="21"/>
      <c r="C2210" s="21" t="str">
        <f aca="false">IF(B2210="","",IFERROR(INDEX(代理店一覧!$B$5:$B$204,MATCH(B2210,代理店一覧!$A$5:$A$204,0)),"※未登録のID"))</f>
        <v/>
      </c>
      <c r="D2210" s="20"/>
      <c r="E2210" s="20"/>
      <c r="F2210" s="20"/>
      <c r="G2210" s="20"/>
      <c r="H2210" s="20"/>
      <c r="I2210" s="21"/>
    </row>
    <row r="2211" customFormat="false" ht="15" hidden="false" customHeight="false" outlineLevel="0" collapsed="false">
      <c r="A2211" s="30"/>
      <c r="B2211" s="21"/>
      <c r="C2211" s="21" t="str">
        <f aca="false">IF(B2211="","",IFERROR(INDEX(代理店一覧!$B$5:$B$204,MATCH(B2211,代理店一覧!$A$5:$A$204,0)),"※未登録のID"))</f>
        <v/>
      </c>
      <c r="D2211" s="20"/>
      <c r="E2211" s="20"/>
      <c r="F2211" s="20"/>
      <c r="G2211" s="20"/>
      <c r="H2211" s="20"/>
      <c r="I2211" s="21"/>
    </row>
    <row r="2212" customFormat="false" ht="15" hidden="false" customHeight="false" outlineLevel="0" collapsed="false">
      <c r="A2212" s="30"/>
      <c r="B2212" s="21"/>
      <c r="C2212" s="21" t="str">
        <f aca="false">IF(B2212="","",IFERROR(INDEX(代理店一覧!$B$5:$B$204,MATCH(B2212,代理店一覧!$A$5:$A$204,0)),"※未登録のID"))</f>
        <v/>
      </c>
      <c r="D2212" s="20"/>
      <c r="E2212" s="20"/>
      <c r="F2212" s="20"/>
      <c r="G2212" s="20"/>
      <c r="H2212" s="20"/>
      <c r="I2212" s="21"/>
    </row>
    <row r="2213" customFormat="false" ht="15" hidden="false" customHeight="false" outlineLevel="0" collapsed="false">
      <c r="A2213" s="30"/>
      <c r="B2213" s="21"/>
      <c r="C2213" s="21" t="str">
        <f aca="false">IF(B2213="","",IFERROR(INDEX(代理店一覧!$B$5:$B$204,MATCH(B2213,代理店一覧!$A$5:$A$204,0)),"※未登録のID"))</f>
        <v/>
      </c>
      <c r="D2213" s="20"/>
      <c r="E2213" s="20"/>
      <c r="F2213" s="20"/>
      <c r="G2213" s="20"/>
      <c r="H2213" s="20"/>
      <c r="I2213" s="21"/>
    </row>
    <row r="2214" customFormat="false" ht="15" hidden="false" customHeight="false" outlineLevel="0" collapsed="false">
      <c r="A2214" s="30"/>
      <c r="B2214" s="21"/>
      <c r="C2214" s="21" t="str">
        <f aca="false">IF(B2214="","",IFERROR(INDEX(代理店一覧!$B$5:$B$204,MATCH(B2214,代理店一覧!$A$5:$A$204,0)),"※未登録のID"))</f>
        <v/>
      </c>
      <c r="D2214" s="20"/>
      <c r="E2214" s="20"/>
      <c r="F2214" s="20"/>
      <c r="G2214" s="20"/>
      <c r="H2214" s="20"/>
      <c r="I2214" s="21"/>
    </row>
    <row r="2215" customFormat="false" ht="15" hidden="false" customHeight="false" outlineLevel="0" collapsed="false">
      <c r="A2215" s="30"/>
      <c r="B2215" s="21"/>
      <c r="C2215" s="21" t="str">
        <f aca="false">IF(B2215="","",IFERROR(INDEX(代理店一覧!$B$5:$B$204,MATCH(B2215,代理店一覧!$A$5:$A$204,0)),"※未登録のID"))</f>
        <v/>
      </c>
      <c r="D2215" s="20"/>
      <c r="E2215" s="20"/>
      <c r="F2215" s="20"/>
      <c r="G2215" s="20"/>
      <c r="H2215" s="20"/>
      <c r="I2215" s="21"/>
    </row>
    <row r="2216" customFormat="false" ht="15" hidden="false" customHeight="false" outlineLevel="0" collapsed="false">
      <c r="A2216" s="30"/>
      <c r="B2216" s="21"/>
      <c r="C2216" s="21" t="str">
        <f aca="false">IF(B2216="","",IFERROR(INDEX(代理店一覧!$B$5:$B$204,MATCH(B2216,代理店一覧!$A$5:$A$204,0)),"※未登録のID"))</f>
        <v/>
      </c>
      <c r="D2216" s="20"/>
      <c r="E2216" s="20"/>
      <c r="F2216" s="20"/>
      <c r="G2216" s="20"/>
      <c r="H2216" s="20"/>
      <c r="I2216" s="21"/>
    </row>
    <row r="2217" customFormat="false" ht="15" hidden="false" customHeight="false" outlineLevel="0" collapsed="false">
      <c r="A2217" s="30"/>
      <c r="B2217" s="21"/>
      <c r="C2217" s="21" t="str">
        <f aca="false">IF(B2217="","",IFERROR(INDEX(代理店一覧!$B$5:$B$204,MATCH(B2217,代理店一覧!$A$5:$A$204,0)),"※未登録のID"))</f>
        <v/>
      </c>
      <c r="D2217" s="20"/>
      <c r="E2217" s="20"/>
      <c r="F2217" s="20"/>
      <c r="G2217" s="20"/>
      <c r="H2217" s="20"/>
      <c r="I2217" s="21"/>
    </row>
    <row r="2218" customFormat="false" ht="15" hidden="false" customHeight="false" outlineLevel="0" collapsed="false">
      <c r="A2218" s="30"/>
      <c r="B2218" s="21"/>
      <c r="C2218" s="21" t="str">
        <f aca="false">IF(B2218="","",IFERROR(INDEX(代理店一覧!$B$5:$B$204,MATCH(B2218,代理店一覧!$A$5:$A$204,0)),"※未登録のID"))</f>
        <v/>
      </c>
      <c r="D2218" s="20"/>
      <c r="E2218" s="20"/>
      <c r="F2218" s="20"/>
      <c r="G2218" s="20"/>
      <c r="H2218" s="20"/>
      <c r="I2218" s="21"/>
    </row>
    <row r="2219" customFormat="false" ht="15" hidden="false" customHeight="false" outlineLevel="0" collapsed="false">
      <c r="A2219" s="30"/>
      <c r="B2219" s="21"/>
      <c r="C2219" s="21" t="str">
        <f aca="false">IF(B2219="","",IFERROR(INDEX(代理店一覧!$B$5:$B$204,MATCH(B2219,代理店一覧!$A$5:$A$204,0)),"※未登録のID"))</f>
        <v/>
      </c>
      <c r="D2219" s="20"/>
      <c r="E2219" s="20"/>
      <c r="F2219" s="20"/>
      <c r="G2219" s="20"/>
      <c r="H2219" s="20"/>
      <c r="I2219" s="21"/>
    </row>
    <row r="2220" customFormat="false" ht="15" hidden="false" customHeight="false" outlineLevel="0" collapsed="false">
      <c r="A2220" s="30"/>
      <c r="B2220" s="21"/>
      <c r="C2220" s="21" t="str">
        <f aca="false">IF(B2220="","",IFERROR(INDEX(代理店一覧!$B$5:$B$204,MATCH(B2220,代理店一覧!$A$5:$A$204,0)),"※未登録のID"))</f>
        <v/>
      </c>
      <c r="D2220" s="20"/>
      <c r="E2220" s="20"/>
      <c r="F2220" s="20"/>
      <c r="G2220" s="20"/>
      <c r="H2220" s="20"/>
      <c r="I2220" s="21"/>
    </row>
    <row r="2221" customFormat="false" ht="15" hidden="false" customHeight="false" outlineLevel="0" collapsed="false">
      <c r="A2221" s="30"/>
      <c r="B2221" s="21"/>
      <c r="C2221" s="21" t="str">
        <f aca="false">IF(B2221="","",IFERROR(INDEX(代理店一覧!$B$5:$B$204,MATCH(B2221,代理店一覧!$A$5:$A$204,0)),"※未登録のID"))</f>
        <v/>
      </c>
      <c r="D2221" s="20"/>
      <c r="E2221" s="20"/>
      <c r="F2221" s="20"/>
      <c r="G2221" s="20"/>
      <c r="H2221" s="20"/>
      <c r="I2221" s="21"/>
    </row>
    <row r="2222" customFormat="false" ht="15" hidden="false" customHeight="false" outlineLevel="0" collapsed="false">
      <c r="A2222" s="30"/>
      <c r="B2222" s="21"/>
      <c r="C2222" s="21" t="str">
        <f aca="false">IF(B2222="","",IFERROR(INDEX(代理店一覧!$B$5:$B$204,MATCH(B2222,代理店一覧!$A$5:$A$204,0)),"※未登録のID"))</f>
        <v/>
      </c>
      <c r="D2222" s="20"/>
      <c r="E2222" s="20"/>
      <c r="F2222" s="20"/>
      <c r="G2222" s="20"/>
      <c r="H2222" s="20"/>
      <c r="I2222" s="21"/>
    </row>
    <row r="2223" customFormat="false" ht="15" hidden="false" customHeight="false" outlineLevel="0" collapsed="false">
      <c r="A2223" s="30"/>
      <c r="B2223" s="21"/>
      <c r="C2223" s="21" t="str">
        <f aca="false">IF(B2223="","",IFERROR(INDEX(代理店一覧!$B$5:$B$204,MATCH(B2223,代理店一覧!$A$5:$A$204,0)),"※未登録のID"))</f>
        <v/>
      </c>
      <c r="D2223" s="20"/>
      <c r="E2223" s="20"/>
      <c r="F2223" s="20"/>
      <c r="G2223" s="20"/>
      <c r="H2223" s="20"/>
      <c r="I2223" s="21"/>
    </row>
    <row r="2224" customFormat="false" ht="15" hidden="false" customHeight="false" outlineLevel="0" collapsed="false">
      <c r="A2224" s="30"/>
      <c r="B2224" s="21"/>
      <c r="C2224" s="21" t="str">
        <f aca="false">IF(B2224="","",IFERROR(INDEX(代理店一覧!$B$5:$B$204,MATCH(B2224,代理店一覧!$A$5:$A$204,0)),"※未登録のID"))</f>
        <v/>
      </c>
      <c r="D2224" s="20"/>
      <c r="E2224" s="20"/>
      <c r="F2224" s="20"/>
      <c r="G2224" s="20"/>
      <c r="H2224" s="20"/>
      <c r="I2224" s="21"/>
    </row>
    <row r="2225" customFormat="false" ht="15" hidden="false" customHeight="false" outlineLevel="0" collapsed="false">
      <c r="A2225" s="30"/>
      <c r="B2225" s="21"/>
      <c r="C2225" s="21" t="str">
        <f aca="false">IF(B2225="","",IFERROR(INDEX(代理店一覧!$B$5:$B$204,MATCH(B2225,代理店一覧!$A$5:$A$204,0)),"※未登録のID"))</f>
        <v/>
      </c>
      <c r="D2225" s="20"/>
      <c r="E2225" s="20"/>
      <c r="F2225" s="20"/>
      <c r="G2225" s="20"/>
      <c r="H2225" s="20"/>
      <c r="I2225" s="21"/>
    </row>
    <row r="2226" customFormat="false" ht="15" hidden="false" customHeight="false" outlineLevel="0" collapsed="false">
      <c r="A2226" s="30"/>
      <c r="B2226" s="21"/>
      <c r="C2226" s="21" t="str">
        <f aca="false">IF(B2226="","",IFERROR(INDEX(代理店一覧!$B$5:$B$204,MATCH(B2226,代理店一覧!$A$5:$A$204,0)),"※未登録のID"))</f>
        <v/>
      </c>
      <c r="D2226" s="20"/>
      <c r="E2226" s="20"/>
      <c r="F2226" s="20"/>
      <c r="G2226" s="20"/>
      <c r="H2226" s="20"/>
      <c r="I2226" s="21"/>
    </row>
    <row r="2227" customFormat="false" ht="15" hidden="false" customHeight="false" outlineLevel="0" collapsed="false">
      <c r="A2227" s="30"/>
      <c r="B2227" s="21"/>
      <c r="C2227" s="21" t="str">
        <f aca="false">IF(B2227="","",IFERROR(INDEX(代理店一覧!$B$5:$B$204,MATCH(B2227,代理店一覧!$A$5:$A$204,0)),"※未登録のID"))</f>
        <v/>
      </c>
      <c r="D2227" s="20"/>
      <c r="E2227" s="20"/>
      <c r="F2227" s="20"/>
      <c r="G2227" s="20"/>
      <c r="H2227" s="20"/>
      <c r="I2227" s="21"/>
    </row>
    <row r="2228" customFormat="false" ht="15" hidden="false" customHeight="false" outlineLevel="0" collapsed="false">
      <c r="A2228" s="30"/>
      <c r="B2228" s="21"/>
      <c r="C2228" s="21" t="str">
        <f aca="false">IF(B2228="","",IFERROR(INDEX(代理店一覧!$B$5:$B$204,MATCH(B2228,代理店一覧!$A$5:$A$204,0)),"※未登録のID"))</f>
        <v/>
      </c>
      <c r="D2228" s="20"/>
      <c r="E2228" s="20"/>
      <c r="F2228" s="20"/>
      <c r="G2228" s="20"/>
      <c r="H2228" s="20"/>
      <c r="I2228" s="21"/>
    </row>
    <row r="2229" customFormat="false" ht="15" hidden="false" customHeight="false" outlineLevel="0" collapsed="false">
      <c r="A2229" s="30"/>
      <c r="B2229" s="21"/>
      <c r="C2229" s="21" t="str">
        <f aca="false">IF(B2229="","",IFERROR(INDEX(代理店一覧!$B$5:$B$204,MATCH(B2229,代理店一覧!$A$5:$A$204,0)),"※未登録のID"))</f>
        <v/>
      </c>
      <c r="D2229" s="20"/>
      <c r="E2229" s="20"/>
      <c r="F2229" s="20"/>
      <c r="G2229" s="20"/>
      <c r="H2229" s="20"/>
      <c r="I2229" s="21"/>
    </row>
    <row r="2230" customFormat="false" ht="15" hidden="false" customHeight="false" outlineLevel="0" collapsed="false">
      <c r="A2230" s="30"/>
      <c r="B2230" s="21"/>
      <c r="C2230" s="21" t="str">
        <f aca="false">IF(B2230="","",IFERROR(INDEX(代理店一覧!$B$5:$B$204,MATCH(B2230,代理店一覧!$A$5:$A$204,0)),"※未登録のID"))</f>
        <v/>
      </c>
      <c r="D2230" s="20"/>
      <c r="E2230" s="20"/>
      <c r="F2230" s="20"/>
      <c r="G2230" s="20"/>
      <c r="H2230" s="20"/>
      <c r="I2230" s="21"/>
    </row>
    <row r="2231" customFormat="false" ht="15" hidden="false" customHeight="false" outlineLevel="0" collapsed="false">
      <c r="A2231" s="30"/>
      <c r="B2231" s="21"/>
      <c r="C2231" s="21" t="str">
        <f aca="false">IF(B2231="","",IFERROR(INDEX(代理店一覧!$B$5:$B$204,MATCH(B2231,代理店一覧!$A$5:$A$204,0)),"※未登録のID"))</f>
        <v/>
      </c>
      <c r="D2231" s="20"/>
      <c r="E2231" s="20"/>
      <c r="F2231" s="20"/>
      <c r="G2231" s="20"/>
      <c r="H2231" s="20"/>
      <c r="I2231" s="21"/>
    </row>
    <row r="2232" customFormat="false" ht="15" hidden="false" customHeight="false" outlineLevel="0" collapsed="false">
      <c r="A2232" s="30"/>
      <c r="B2232" s="21"/>
      <c r="C2232" s="21" t="str">
        <f aca="false">IF(B2232="","",IFERROR(INDEX(代理店一覧!$B$5:$B$204,MATCH(B2232,代理店一覧!$A$5:$A$204,0)),"※未登録のID"))</f>
        <v/>
      </c>
      <c r="D2232" s="20"/>
      <c r="E2232" s="20"/>
      <c r="F2232" s="20"/>
      <c r="G2232" s="20"/>
      <c r="H2232" s="20"/>
      <c r="I2232" s="21"/>
    </row>
    <row r="2233" customFormat="false" ht="15" hidden="false" customHeight="false" outlineLevel="0" collapsed="false">
      <c r="A2233" s="30"/>
      <c r="B2233" s="21"/>
      <c r="C2233" s="21" t="str">
        <f aca="false">IF(B2233="","",IFERROR(INDEX(代理店一覧!$B$5:$B$204,MATCH(B2233,代理店一覧!$A$5:$A$204,0)),"※未登録のID"))</f>
        <v/>
      </c>
      <c r="D2233" s="20"/>
      <c r="E2233" s="20"/>
      <c r="F2233" s="20"/>
      <c r="G2233" s="20"/>
      <c r="H2233" s="20"/>
      <c r="I2233" s="21"/>
    </row>
    <row r="2234" customFormat="false" ht="15" hidden="false" customHeight="false" outlineLevel="0" collapsed="false">
      <c r="A2234" s="30"/>
      <c r="B2234" s="21"/>
      <c r="C2234" s="21" t="str">
        <f aca="false">IF(B2234="","",IFERROR(INDEX(代理店一覧!$B$5:$B$204,MATCH(B2234,代理店一覧!$A$5:$A$204,0)),"※未登録のID"))</f>
        <v/>
      </c>
      <c r="D2234" s="20"/>
      <c r="E2234" s="20"/>
      <c r="F2234" s="20"/>
      <c r="G2234" s="20"/>
      <c r="H2234" s="20"/>
      <c r="I2234" s="21"/>
    </row>
    <row r="2235" customFormat="false" ht="15" hidden="false" customHeight="false" outlineLevel="0" collapsed="false">
      <c r="A2235" s="30"/>
      <c r="B2235" s="21"/>
      <c r="C2235" s="21" t="str">
        <f aca="false">IF(B2235="","",IFERROR(INDEX(代理店一覧!$B$5:$B$204,MATCH(B2235,代理店一覧!$A$5:$A$204,0)),"※未登録のID"))</f>
        <v/>
      </c>
      <c r="D2235" s="20"/>
      <c r="E2235" s="20"/>
      <c r="F2235" s="20"/>
      <c r="G2235" s="20"/>
      <c r="H2235" s="20"/>
      <c r="I2235" s="21"/>
    </row>
    <row r="2236" customFormat="false" ht="15" hidden="false" customHeight="false" outlineLevel="0" collapsed="false">
      <c r="A2236" s="30"/>
      <c r="B2236" s="21"/>
      <c r="C2236" s="21" t="str">
        <f aca="false">IF(B2236="","",IFERROR(INDEX(代理店一覧!$B$5:$B$204,MATCH(B2236,代理店一覧!$A$5:$A$204,0)),"※未登録のID"))</f>
        <v/>
      </c>
      <c r="D2236" s="20"/>
      <c r="E2236" s="20"/>
      <c r="F2236" s="20"/>
      <c r="G2236" s="20"/>
      <c r="H2236" s="20"/>
      <c r="I2236" s="21"/>
    </row>
    <row r="2237" customFormat="false" ht="15" hidden="false" customHeight="false" outlineLevel="0" collapsed="false">
      <c r="A2237" s="30"/>
      <c r="B2237" s="21"/>
      <c r="C2237" s="21" t="str">
        <f aca="false">IF(B2237="","",IFERROR(INDEX(代理店一覧!$B$5:$B$204,MATCH(B2237,代理店一覧!$A$5:$A$204,0)),"※未登録のID"))</f>
        <v/>
      </c>
      <c r="D2237" s="20"/>
      <c r="E2237" s="20"/>
      <c r="F2237" s="20"/>
      <c r="G2237" s="20"/>
      <c r="H2237" s="20"/>
      <c r="I2237" s="21"/>
    </row>
    <row r="2238" customFormat="false" ht="15" hidden="false" customHeight="false" outlineLevel="0" collapsed="false">
      <c r="A2238" s="30"/>
      <c r="B2238" s="21"/>
      <c r="C2238" s="21" t="str">
        <f aca="false">IF(B2238="","",IFERROR(INDEX(代理店一覧!$B$5:$B$204,MATCH(B2238,代理店一覧!$A$5:$A$204,0)),"※未登録のID"))</f>
        <v/>
      </c>
      <c r="D2238" s="20"/>
      <c r="E2238" s="20"/>
      <c r="F2238" s="20"/>
      <c r="G2238" s="20"/>
      <c r="H2238" s="20"/>
      <c r="I2238" s="21"/>
    </row>
    <row r="2239" customFormat="false" ht="15" hidden="false" customHeight="false" outlineLevel="0" collapsed="false">
      <c r="A2239" s="30"/>
      <c r="B2239" s="21"/>
      <c r="C2239" s="21" t="str">
        <f aca="false">IF(B2239="","",IFERROR(INDEX(代理店一覧!$B$5:$B$204,MATCH(B2239,代理店一覧!$A$5:$A$204,0)),"※未登録のID"))</f>
        <v/>
      </c>
      <c r="D2239" s="20"/>
      <c r="E2239" s="20"/>
      <c r="F2239" s="20"/>
      <c r="G2239" s="20"/>
      <c r="H2239" s="20"/>
      <c r="I2239" s="21"/>
    </row>
    <row r="2240" customFormat="false" ht="15" hidden="false" customHeight="false" outlineLevel="0" collapsed="false">
      <c r="A2240" s="30"/>
      <c r="B2240" s="21"/>
      <c r="C2240" s="21" t="str">
        <f aca="false">IF(B2240="","",IFERROR(INDEX(代理店一覧!$B$5:$B$204,MATCH(B2240,代理店一覧!$A$5:$A$204,0)),"※未登録のID"))</f>
        <v/>
      </c>
      <c r="D2240" s="20"/>
      <c r="E2240" s="20"/>
      <c r="F2240" s="20"/>
      <c r="G2240" s="20"/>
      <c r="H2240" s="20"/>
      <c r="I2240" s="21"/>
    </row>
    <row r="2241" customFormat="false" ht="15" hidden="false" customHeight="false" outlineLevel="0" collapsed="false">
      <c r="A2241" s="30"/>
      <c r="B2241" s="21"/>
      <c r="C2241" s="21" t="str">
        <f aca="false">IF(B2241="","",IFERROR(INDEX(代理店一覧!$B$5:$B$204,MATCH(B2241,代理店一覧!$A$5:$A$204,0)),"※未登録のID"))</f>
        <v/>
      </c>
      <c r="D2241" s="20"/>
      <c r="E2241" s="20"/>
      <c r="F2241" s="20"/>
      <c r="G2241" s="20"/>
      <c r="H2241" s="20"/>
      <c r="I2241" s="21"/>
    </row>
    <row r="2242" customFormat="false" ht="15" hidden="false" customHeight="false" outlineLevel="0" collapsed="false">
      <c r="A2242" s="30"/>
      <c r="B2242" s="21"/>
      <c r="C2242" s="21" t="str">
        <f aca="false">IF(B2242="","",IFERROR(INDEX(代理店一覧!$B$5:$B$204,MATCH(B2242,代理店一覧!$A$5:$A$204,0)),"※未登録のID"))</f>
        <v/>
      </c>
      <c r="D2242" s="20"/>
      <c r="E2242" s="20"/>
      <c r="F2242" s="20"/>
      <c r="G2242" s="20"/>
      <c r="H2242" s="20"/>
      <c r="I2242" s="21"/>
    </row>
    <row r="2243" customFormat="false" ht="15" hidden="false" customHeight="false" outlineLevel="0" collapsed="false">
      <c r="A2243" s="30"/>
      <c r="B2243" s="21"/>
      <c r="C2243" s="21" t="str">
        <f aca="false">IF(B2243="","",IFERROR(INDEX(代理店一覧!$B$5:$B$204,MATCH(B2243,代理店一覧!$A$5:$A$204,0)),"※未登録のID"))</f>
        <v/>
      </c>
      <c r="D2243" s="20"/>
      <c r="E2243" s="20"/>
      <c r="F2243" s="20"/>
      <c r="G2243" s="20"/>
      <c r="H2243" s="20"/>
      <c r="I2243" s="21"/>
    </row>
    <row r="2244" customFormat="false" ht="15" hidden="false" customHeight="false" outlineLevel="0" collapsed="false">
      <c r="A2244" s="30"/>
      <c r="B2244" s="21"/>
      <c r="C2244" s="21" t="str">
        <f aca="false">IF(B2244="","",IFERROR(INDEX(代理店一覧!$B$5:$B$204,MATCH(B2244,代理店一覧!$A$5:$A$204,0)),"※未登録のID"))</f>
        <v/>
      </c>
      <c r="D2244" s="20"/>
      <c r="E2244" s="20"/>
      <c r="F2244" s="20"/>
      <c r="G2244" s="20"/>
      <c r="H2244" s="20"/>
      <c r="I2244" s="21"/>
    </row>
    <row r="2245" customFormat="false" ht="15" hidden="false" customHeight="false" outlineLevel="0" collapsed="false">
      <c r="A2245" s="30"/>
      <c r="B2245" s="21"/>
      <c r="C2245" s="21" t="str">
        <f aca="false">IF(B2245="","",IFERROR(INDEX(代理店一覧!$B$5:$B$204,MATCH(B2245,代理店一覧!$A$5:$A$204,0)),"※未登録のID"))</f>
        <v/>
      </c>
      <c r="D2245" s="20"/>
      <c r="E2245" s="20"/>
      <c r="F2245" s="20"/>
      <c r="G2245" s="20"/>
      <c r="H2245" s="20"/>
      <c r="I2245" s="21"/>
    </row>
    <row r="2246" customFormat="false" ht="15" hidden="false" customHeight="false" outlineLevel="0" collapsed="false">
      <c r="A2246" s="30"/>
      <c r="B2246" s="21"/>
      <c r="C2246" s="21" t="str">
        <f aca="false">IF(B2246="","",IFERROR(INDEX(代理店一覧!$B$5:$B$204,MATCH(B2246,代理店一覧!$A$5:$A$204,0)),"※未登録のID"))</f>
        <v/>
      </c>
      <c r="D2246" s="20"/>
      <c r="E2246" s="20"/>
      <c r="F2246" s="20"/>
      <c r="G2246" s="20"/>
      <c r="H2246" s="20"/>
      <c r="I2246" s="21"/>
    </row>
    <row r="2247" customFormat="false" ht="15" hidden="false" customHeight="false" outlineLevel="0" collapsed="false">
      <c r="A2247" s="30"/>
      <c r="B2247" s="21"/>
      <c r="C2247" s="21" t="str">
        <f aca="false">IF(B2247="","",IFERROR(INDEX(代理店一覧!$B$5:$B$204,MATCH(B2247,代理店一覧!$A$5:$A$204,0)),"※未登録のID"))</f>
        <v/>
      </c>
      <c r="D2247" s="20"/>
      <c r="E2247" s="20"/>
      <c r="F2247" s="20"/>
      <c r="G2247" s="20"/>
      <c r="H2247" s="20"/>
      <c r="I2247" s="21"/>
    </row>
    <row r="2248" customFormat="false" ht="15" hidden="false" customHeight="false" outlineLevel="0" collapsed="false">
      <c r="A2248" s="30"/>
      <c r="B2248" s="21"/>
      <c r="C2248" s="21" t="str">
        <f aca="false">IF(B2248="","",IFERROR(INDEX(代理店一覧!$B$5:$B$204,MATCH(B2248,代理店一覧!$A$5:$A$204,0)),"※未登録のID"))</f>
        <v/>
      </c>
      <c r="D2248" s="20"/>
      <c r="E2248" s="20"/>
      <c r="F2248" s="20"/>
      <c r="G2248" s="20"/>
      <c r="H2248" s="20"/>
      <c r="I2248" s="21"/>
    </row>
    <row r="2249" customFormat="false" ht="15" hidden="false" customHeight="false" outlineLevel="0" collapsed="false">
      <c r="A2249" s="30"/>
      <c r="B2249" s="21"/>
      <c r="C2249" s="21" t="str">
        <f aca="false">IF(B2249="","",IFERROR(INDEX(代理店一覧!$B$5:$B$204,MATCH(B2249,代理店一覧!$A$5:$A$204,0)),"※未登録のID"))</f>
        <v/>
      </c>
      <c r="D2249" s="20"/>
      <c r="E2249" s="20"/>
      <c r="F2249" s="20"/>
      <c r="G2249" s="20"/>
      <c r="H2249" s="20"/>
      <c r="I2249" s="21"/>
    </row>
    <row r="2250" customFormat="false" ht="15" hidden="false" customHeight="false" outlineLevel="0" collapsed="false">
      <c r="A2250" s="30"/>
      <c r="B2250" s="21"/>
      <c r="C2250" s="21" t="str">
        <f aca="false">IF(B2250="","",IFERROR(INDEX(代理店一覧!$B$5:$B$204,MATCH(B2250,代理店一覧!$A$5:$A$204,0)),"※未登録のID"))</f>
        <v/>
      </c>
      <c r="D2250" s="20"/>
      <c r="E2250" s="20"/>
      <c r="F2250" s="20"/>
      <c r="G2250" s="20"/>
      <c r="H2250" s="20"/>
      <c r="I2250" s="21"/>
    </row>
    <row r="2251" customFormat="false" ht="15" hidden="false" customHeight="false" outlineLevel="0" collapsed="false">
      <c r="A2251" s="30"/>
      <c r="B2251" s="21"/>
      <c r="C2251" s="21" t="str">
        <f aca="false">IF(B2251="","",IFERROR(INDEX(代理店一覧!$B$5:$B$204,MATCH(B2251,代理店一覧!$A$5:$A$204,0)),"※未登録のID"))</f>
        <v/>
      </c>
      <c r="D2251" s="20"/>
      <c r="E2251" s="20"/>
      <c r="F2251" s="20"/>
      <c r="G2251" s="20"/>
      <c r="H2251" s="20"/>
      <c r="I2251" s="21"/>
    </row>
    <row r="2252" customFormat="false" ht="15" hidden="false" customHeight="false" outlineLevel="0" collapsed="false">
      <c r="A2252" s="30"/>
      <c r="B2252" s="21"/>
      <c r="C2252" s="21" t="str">
        <f aca="false">IF(B2252="","",IFERROR(INDEX(代理店一覧!$B$5:$B$204,MATCH(B2252,代理店一覧!$A$5:$A$204,0)),"※未登録のID"))</f>
        <v/>
      </c>
      <c r="D2252" s="20"/>
      <c r="E2252" s="20"/>
      <c r="F2252" s="20"/>
      <c r="G2252" s="20"/>
      <c r="H2252" s="20"/>
      <c r="I2252" s="21"/>
    </row>
    <row r="2253" customFormat="false" ht="15" hidden="false" customHeight="false" outlineLevel="0" collapsed="false">
      <c r="A2253" s="30"/>
      <c r="B2253" s="21"/>
      <c r="C2253" s="21" t="str">
        <f aca="false">IF(B2253="","",IFERROR(INDEX(代理店一覧!$B$5:$B$204,MATCH(B2253,代理店一覧!$A$5:$A$204,0)),"※未登録のID"))</f>
        <v/>
      </c>
      <c r="D2253" s="20"/>
      <c r="E2253" s="20"/>
      <c r="F2253" s="20"/>
      <c r="G2253" s="20"/>
      <c r="H2253" s="20"/>
      <c r="I2253" s="21"/>
    </row>
    <row r="2254" customFormat="false" ht="15" hidden="false" customHeight="false" outlineLevel="0" collapsed="false">
      <c r="A2254" s="30"/>
      <c r="B2254" s="21"/>
      <c r="C2254" s="21" t="str">
        <f aca="false">IF(B2254="","",IFERROR(INDEX(代理店一覧!$B$5:$B$204,MATCH(B2254,代理店一覧!$A$5:$A$204,0)),"※未登録のID"))</f>
        <v/>
      </c>
      <c r="D2254" s="20"/>
      <c r="E2254" s="20"/>
      <c r="F2254" s="20"/>
      <c r="G2254" s="20"/>
      <c r="H2254" s="20"/>
      <c r="I2254" s="21"/>
    </row>
    <row r="2255" customFormat="false" ht="15" hidden="false" customHeight="false" outlineLevel="0" collapsed="false">
      <c r="A2255" s="30"/>
      <c r="B2255" s="21"/>
      <c r="C2255" s="21" t="str">
        <f aca="false">IF(B2255="","",IFERROR(INDEX(代理店一覧!$B$5:$B$204,MATCH(B2255,代理店一覧!$A$5:$A$204,0)),"※未登録のID"))</f>
        <v/>
      </c>
      <c r="D2255" s="20"/>
      <c r="E2255" s="20"/>
      <c r="F2255" s="20"/>
      <c r="G2255" s="20"/>
      <c r="H2255" s="20"/>
      <c r="I2255" s="21"/>
    </row>
    <row r="2256" customFormat="false" ht="15" hidden="false" customHeight="false" outlineLevel="0" collapsed="false">
      <c r="A2256" s="30"/>
      <c r="B2256" s="21"/>
      <c r="C2256" s="21" t="str">
        <f aca="false">IF(B2256="","",IFERROR(INDEX(代理店一覧!$B$5:$B$204,MATCH(B2256,代理店一覧!$A$5:$A$204,0)),"※未登録のID"))</f>
        <v/>
      </c>
      <c r="D2256" s="20"/>
      <c r="E2256" s="20"/>
      <c r="F2256" s="20"/>
      <c r="G2256" s="20"/>
      <c r="H2256" s="20"/>
      <c r="I2256" s="21"/>
    </row>
    <row r="2257" customFormat="false" ht="15" hidden="false" customHeight="false" outlineLevel="0" collapsed="false">
      <c r="A2257" s="30"/>
      <c r="B2257" s="21"/>
      <c r="C2257" s="21" t="str">
        <f aca="false">IF(B2257="","",IFERROR(INDEX(代理店一覧!$B$5:$B$204,MATCH(B2257,代理店一覧!$A$5:$A$204,0)),"※未登録のID"))</f>
        <v/>
      </c>
      <c r="D2257" s="20"/>
      <c r="E2257" s="20"/>
      <c r="F2257" s="20"/>
      <c r="G2257" s="20"/>
      <c r="H2257" s="20"/>
      <c r="I2257" s="21"/>
    </row>
    <row r="2258" customFormat="false" ht="15" hidden="false" customHeight="false" outlineLevel="0" collapsed="false">
      <c r="A2258" s="30"/>
      <c r="B2258" s="21"/>
      <c r="C2258" s="21" t="str">
        <f aca="false">IF(B2258="","",IFERROR(INDEX(代理店一覧!$B$5:$B$204,MATCH(B2258,代理店一覧!$A$5:$A$204,0)),"※未登録のID"))</f>
        <v/>
      </c>
      <c r="D2258" s="20"/>
      <c r="E2258" s="20"/>
      <c r="F2258" s="20"/>
      <c r="G2258" s="20"/>
      <c r="H2258" s="20"/>
      <c r="I2258" s="21"/>
    </row>
    <row r="2259" customFormat="false" ht="15" hidden="false" customHeight="false" outlineLevel="0" collapsed="false">
      <c r="A2259" s="30"/>
      <c r="B2259" s="21"/>
      <c r="C2259" s="21" t="str">
        <f aca="false">IF(B2259="","",IFERROR(INDEX(代理店一覧!$B$5:$B$204,MATCH(B2259,代理店一覧!$A$5:$A$204,0)),"※未登録のID"))</f>
        <v/>
      </c>
      <c r="D2259" s="20"/>
      <c r="E2259" s="20"/>
      <c r="F2259" s="20"/>
      <c r="G2259" s="20"/>
      <c r="H2259" s="20"/>
      <c r="I2259" s="21"/>
    </row>
    <row r="2260" customFormat="false" ht="15" hidden="false" customHeight="false" outlineLevel="0" collapsed="false">
      <c r="A2260" s="30"/>
      <c r="B2260" s="21"/>
      <c r="C2260" s="21" t="str">
        <f aca="false">IF(B2260="","",IFERROR(INDEX(代理店一覧!$B$5:$B$204,MATCH(B2260,代理店一覧!$A$5:$A$204,0)),"※未登録のID"))</f>
        <v/>
      </c>
      <c r="D2260" s="20"/>
      <c r="E2260" s="20"/>
      <c r="F2260" s="20"/>
      <c r="G2260" s="20"/>
      <c r="H2260" s="20"/>
      <c r="I2260" s="21"/>
    </row>
    <row r="2261" customFormat="false" ht="15" hidden="false" customHeight="false" outlineLevel="0" collapsed="false">
      <c r="A2261" s="30"/>
      <c r="B2261" s="21"/>
      <c r="C2261" s="21" t="str">
        <f aca="false">IF(B2261="","",IFERROR(INDEX(代理店一覧!$B$5:$B$204,MATCH(B2261,代理店一覧!$A$5:$A$204,0)),"※未登録のID"))</f>
        <v/>
      </c>
      <c r="D2261" s="20"/>
      <c r="E2261" s="20"/>
      <c r="F2261" s="20"/>
      <c r="G2261" s="20"/>
      <c r="H2261" s="20"/>
      <c r="I2261" s="21"/>
    </row>
    <row r="2262" customFormat="false" ht="15" hidden="false" customHeight="false" outlineLevel="0" collapsed="false">
      <c r="A2262" s="30"/>
      <c r="B2262" s="21"/>
      <c r="C2262" s="21" t="str">
        <f aca="false">IF(B2262="","",IFERROR(INDEX(代理店一覧!$B$5:$B$204,MATCH(B2262,代理店一覧!$A$5:$A$204,0)),"※未登録のID"))</f>
        <v/>
      </c>
      <c r="D2262" s="20"/>
      <c r="E2262" s="20"/>
      <c r="F2262" s="20"/>
      <c r="G2262" s="20"/>
      <c r="H2262" s="20"/>
      <c r="I2262" s="21"/>
    </row>
    <row r="2263" customFormat="false" ht="15" hidden="false" customHeight="false" outlineLevel="0" collapsed="false">
      <c r="A2263" s="30"/>
      <c r="B2263" s="21"/>
      <c r="C2263" s="21" t="str">
        <f aca="false">IF(B2263="","",IFERROR(INDEX(代理店一覧!$B$5:$B$204,MATCH(B2263,代理店一覧!$A$5:$A$204,0)),"※未登録のID"))</f>
        <v/>
      </c>
      <c r="D2263" s="20"/>
      <c r="E2263" s="20"/>
      <c r="F2263" s="20"/>
      <c r="G2263" s="20"/>
      <c r="H2263" s="20"/>
      <c r="I2263" s="21"/>
    </row>
    <row r="2264" customFormat="false" ht="15" hidden="false" customHeight="false" outlineLevel="0" collapsed="false">
      <c r="A2264" s="30"/>
      <c r="B2264" s="21"/>
      <c r="C2264" s="21" t="str">
        <f aca="false">IF(B2264="","",IFERROR(INDEX(代理店一覧!$B$5:$B$204,MATCH(B2264,代理店一覧!$A$5:$A$204,0)),"※未登録のID"))</f>
        <v/>
      </c>
      <c r="D2264" s="20"/>
      <c r="E2264" s="20"/>
      <c r="F2264" s="20"/>
      <c r="G2264" s="20"/>
      <c r="H2264" s="20"/>
      <c r="I2264" s="21"/>
    </row>
    <row r="2265" customFormat="false" ht="15" hidden="false" customHeight="false" outlineLevel="0" collapsed="false">
      <c r="A2265" s="30"/>
      <c r="B2265" s="21"/>
      <c r="C2265" s="21" t="str">
        <f aca="false">IF(B2265="","",IFERROR(INDEX(代理店一覧!$B$5:$B$204,MATCH(B2265,代理店一覧!$A$5:$A$204,0)),"※未登録のID"))</f>
        <v/>
      </c>
      <c r="D2265" s="20"/>
      <c r="E2265" s="20"/>
      <c r="F2265" s="20"/>
      <c r="G2265" s="20"/>
      <c r="H2265" s="20"/>
      <c r="I2265" s="21"/>
    </row>
    <row r="2266" customFormat="false" ht="15" hidden="false" customHeight="false" outlineLevel="0" collapsed="false">
      <c r="A2266" s="30"/>
      <c r="B2266" s="21"/>
      <c r="C2266" s="21" t="str">
        <f aca="false">IF(B2266="","",IFERROR(INDEX(代理店一覧!$B$5:$B$204,MATCH(B2266,代理店一覧!$A$5:$A$204,0)),"※未登録のID"))</f>
        <v/>
      </c>
      <c r="D2266" s="20"/>
      <c r="E2266" s="20"/>
      <c r="F2266" s="20"/>
      <c r="G2266" s="20"/>
      <c r="H2266" s="20"/>
      <c r="I2266" s="21"/>
    </row>
    <row r="2267" customFormat="false" ht="15" hidden="false" customHeight="false" outlineLevel="0" collapsed="false">
      <c r="A2267" s="30"/>
      <c r="B2267" s="21"/>
      <c r="C2267" s="21" t="str">
        <f aca="false">IF(B2267="","",IFERROR(INDEX(代理店一覧!$B$5:$B$204,MATCH(B2267,代理店一覧!$A$5:$A$204,0)),"※未登録のID"))</f>
        <v/>
      </c>
      <c r="D2267" s="20"/>
      <c r="E2267" s="20"/>
      <c r="F2267" s="20"/>
      <c r="G2267" s="20"/>
      <c r="H2267" s="20"/>
      <c r="I2267" s="21"/>
    </row>
    <row r="2268" customFormat="false" ht="15" hidden="false" customHeight="false" outlineLevel="0" collapsed="false">
      <c r="A2268" s="30"/>
      <c r="B2268" s="21"/>
      <c r="C2268" s="21" t="str">
        <f aca="false">IF(B2268="","",IFERROR(INDEX(代理店一覧!$B$5:$B$204,MATCH(B2268,代理店一覧!$A$5:$A$204,0)),"※未登録のID"))</f>
        <v/>
      </c>
      <c r="D2268" s="20"/>
      <c r="E2268" s="20"/>
      <c r="F2268" s="20"/>
      <c r="G2268" s="20"/>
      <c r="H2268" s="20"/>
      <c r="I2268" s="21"/>
    </row>
    <row r="2269" customFormat="false" ht="15" hidden="false" customHeight="false" outlineLevel="0" collapsed="false">
      <c r="A2269" s="30"/>
      <c r="B2269" s="21"/>
      <c r="C2269" s="21" t="str">
        <f aca="false">IF(B2269="","",IFERROR(INDEX(代理店一覧!$B$5:$B$204,MATCH(B2269,代理店一覧!$A$5:$A$204,0)),"※未登録のID"))</f>
        <v/>
      </c>
      <c r="D2269" s="20"/>
      <c r="E2269" s="20"/>
      <c r="F2269" s="20"/>
      <c r="G2269" s="20"/>
      <c r="H2269" s="20"/>
      <c r="I2269" s="21"/>
    </row>
    <row r="2270" customFormat="false" ht="15" hidden="false" customHeight="false" outlineLevel="0" collapsed="false">
      <c r="A2270" s="30"/>
      <c r="B2270" s="21"/>
      <c r="C2270" s="21" t="str">
        <f aca="false">IF(B2270="","",IFERROR(INDEX(代理店一覧!$B$5:$B$204,MATCH(B2270,代理店一覧!$A$5:$A$204,0)),"※未登録のID"))</f>
        <v/>
      </c>
      <c r="D2270" s="20"/>
      <c r="E2270" s="20"/>
      <c r="F2270" s="20"/>
      <c r="G2270" s="20"/>
      <c r="H2270" s="20"/>
      <c r="I2270" s="21"/>
    </row>
    <row r="2271" customFormat="false" ht="15" hidden="false" customHeight="false" outlineLevel="0" collapsed="false">
      <c r="A2271" s="30"/>
      <c r="B2271" s="21"/>
      <c r="C2271" s="21" t="str">
        <f aca="false">IF(B2271="","",IFERROR(INDEX(代理店一覧!$B$5:$B$204,MATCH(B2271,代理店一覧!$A$5:$A$204,0)),"※未登録のID"))</f>
        <v/>
      </c>
      <c r="D2271" s="20"/>
      <c r="E2271" s="20"/>
      <c r="F2271" s="20"/>
      <c r="G2271" s="20"/>
      <c r="H2271" s="20"/>
      <c r="I2271" s="21"/>
    </row>
    <row r="2272" customFormat="false" ht="15" hidden="false" customHeight="false" outlineLevel="0" collapsed="false">
      <c r="A2272" s="30"/>
      <c r="B2272" s="21"/>
      <c r="C2272" s="21" t="str">
        <f aca="false">IF(B2272="","",IFERROR(INDEX(代理店一覧!$B$5:$B$204,MATCH(B2272,代理店一覧!$A$5:$A$204,0)),"※未登録のID"))</f>
        <v/>
      </c>
      <c r="D2272" s="20"/>
      <c r="E2272" s="20"/>
      <c r="F2272" s="20"/>
      <c r="G2272" s="20"/>
      <c r="H2272" s="20"/>
      <c r="I2272" s="21"/>
    </row>
    <row r="2273" customFormat="false" ht="15" hidden="false" customHeight="false" outlineLevel="0" collapsed="false">
      <c r="A2273" s="30"/>
      <c r="B2273" s="21"/>
      <c r="C2273" s="21" t="str">
        <f aca="false">IF(B2273="","",IFERROR(INDEX(代理店一覧!$B$5:$B$204,MATCH(B2273,代理店一覧!$A$5:$A$204,0)),"※未登録のID"))</f>
        <v/>
      </c>
      <c r="D2273" s="20"/>
      <c r="E2273" s="20"/>
      <c r="F2273" s="20"/>
      <c r="G2273" s="20"/>
      <c r="H2273" s="20"/>
      <c r="I2273" s="21"/>
    </row>
    <row r="2274" customFormat="false" ht="15" hidden="false" customHeight="false" outlineLevel="0" collapsed="false">
      <c r="A2274" s="30"/>
      <c r="B2274" s="21"/>
      <c r="C2274" s="21" t="str">
        <f aca="false">IF(B2274="","",IFERROR(INDEX(代理店一覧!$B$5:$B$204,MATCH(B2274,代理店一覧!$A$5:$A$204,0)),"※未登録のID"))</f>
        <v/>
      </c>
      <c r="D2274" s="20"/>
      <c r="E2274" s="20"/>
      <c r="F2274" s="20"/>
      <c r="G2274" s="20"/>
      <c r="H2274" s="20"/>
      <c r="I2274" s="21"/>
    </row>
    <row r="2275" customFormat="false" ht="15" hidden="false" customHeight="false" outlineLevel="0" collapsed="false">
      <c r="A2275" s="30"/>
      <c r="B2275" s="21"/>
      <c r="C2275" s="21" t="str">
        <f aca="false">IF(B2275="","",IFERROR(INDEX(代理店一覧!$B$5:$B$204,MATCH(B2275,代理店一覧!$A$5:$A$204,0)),"※未登録のID"))</f>
        <v/>
      </c>
      <c r="D2275" s="20"/>
      <c r="E2275" s="20"/>
      <c r="F2275" s="20"/>
      <c r="G2275" s="20"/>
      <c r="H2275" s="20"/>
      <c r="I2275" s="21"/>
    </row>
    <row r="2276" customFormat="false" ht="15" hidden="false" customHeight="false" outlineLevel="0" collapsed="false">
      <c r="A2276" s="30"/>
      <c r="B2276" s="21"/>
      <c r="C2276" s="21" t="str">
        <f aca="false">IF(B2276="","",IFERROR(INDEX(代理店一覧!$B$5:$B$204,MATCH(B2276,代理店一覧!$A$5:$A$204,0)),"※未登録のID"))</f>
        <v/>
      </c>
      <c r="D2276" s="20"/>
      <c r="E2276" s="20"/>
      <c r="F2276" s="20"/>
      <c r="G2276" s="20"/>
      <c r="H2276" s="20"/>
      <c r="I2276" s="21"/>
    </row>
    <row r="2277" customFormat="false" ht="15" hidden="false" customHeight="false" outlineLevel="0" collapsed="false">
      <c r="A2277" s="30"/>
      <c r="B2277" s="21"/>
      <c r="C2277" s="21" t="str">
        <f aca="false">IF(B2277="","",IFERROR(INDEX(代理店一覧!$B$5:$B$204,MATCH(B2277,代理店一覧!$A$5:$A$204,0)),"※未登録のID"))</f>
        <v/>
      </c>
      <c r="D2277" s="20"/>
      <c r="E2277" s="20"/>
      <c r="F2277" s="20"/>
      <c r="G2277" s="20"/>
      <c r="H2277" s="20"/>
      <c r="I2277" s="21"/>
    </row>
    <row r="2278" customFormat="false" ht="15" hidden="false" customHeight="false" outlineLevel="0" collapsed="false">
      <c r="A2278" s="30"/>
      <c r="B2278" s="21"/>
      <c r="C2278" s="21" t="str">
        <f aca="false">IF(B2278="","",IFERROR(INDEX(代理店一覧!$B$5:$B$204,MATCH(B2278,代理店一覧!$A$5:$A$204,0)),"※未登録のID"))</f>
        <v/>
      </c>
      <c r="D2278" s="20"/>
      <c r="E2278" s="20"/>
      <c r="F2278" s="20"/>
      <c r="G2278" s="20"/>
      <c r="H2278" s="20"/>
      <c r="I2278" s="21"/>
    </row>
    <row r="2279" customFormat="false" ht="15" hidden="false" customHeight="false" outlineLevel="0" collapsed="false">
      <c r="A2279" s="30"/>
      <c r="B2279" s="21"/>
      <c r="C2279" s="21" t="str">
        <f aca="false">IF(B2279="","",IFERROR(INDEX(代理店一覧!$B$5:$B$204,MATCH(B2279,代理店一覧!$A$5:$A$204,0)),"※未登録のID"))</f>
        <v/>
      </c>
      <c r="D2279" s="20"/>
      <c r="E2279" s="20"/>
      <c r="F2279" s="20"/>
      <c r="G2279" s="20"/>
      <c r="H2279" s="20"/>
      <c r="I2279" s="21"/>
    </row>
    <row r="2280" customFormat="false" ht="15" hidden="false" customHeight="false" outlineLevel="0" collapsed="false">
      <c r="A2280" s="30"/>
      <c r="B2280" s="21"/>
      <c r="C2280" s="21" t="str">
        <f aca="false">IF(B2280="","",IFERROR(INDEX(代理店一覧!$B$5:$B$204,MATCH(B2280,代理店一覧!$A$5:$A$204,0)),"※未登録のID"))</f>
        <v/>
      </c>
      <c r="D2280" s="20"/>
      <c r="E2280" s="20"/>
      <c r="F2280" s="20"/>
      <c r="G2280" s="20"/>
      <c r="H2280" s="20"/>
      <c r="I2280" s="21"/>
    </row>
    <row r="2281" customFormat="false" ht="15" hidden="false" customHeight="false" outlineLevel="0" collapsed="false">
      <c r="A2281" s="30"/>
      <c r="B2281" s="21"/>
      <c r="C2281" s="21" t="str">
        <f aca="false">IF(B2281="","",IFERROR(INDEX(代理店一覧!$B$5:$B$204,MATCH(B2281,代理店一覧!$A$5:$A$204,0)),"※未登録のID"))</f>
        <v/>
      </c>
      <c r="D2281" s="20"/>
      <c r="E2281" s="20"/>
      <c r="F2281" s="20"/>
      <c r="G2281" s="20"/>
      <c r="H2281" s="20"/>
      <c r="I2281" s="21"/>
    </row>
    <row r="2282" customFormat="false" ht="15" hidden="false" customHeight="false" outlineLevel="0" collapsed="false">
      <c r="A2282" s="30"/>
      <c r="B2282" s="21"/>
      <c r="C2282" s="21" t="str">
        <f aca="false">IF(B2282="","",IFERROR(INDEX(代理店一覧!$B$5:$B$204,MATCH(B2282,代理店一覧!$A$5:$A$204,0)),"※未登録のID"))</f>
        <v/>
      </c>
      <c r="D2282" s="20"/>
      <c r="E2282" s="20"/>
      <c r="F2282" s="20"/>
      <c r="G2282" s="20"/>
      <c r="H2282" s="20"/>
      <c r="I2282" s="21"/>
    </row>
    <row r="2283" customFormat="false" ht="15" hidden="false" customHeight="false" outlineLevel="0" collapsed="false">
      <c r="A2283" s="30"/>
      <c r="B2283" s="21"/>
      <c r="C2283" s="21" t="str">
        <f aca="false">IF(B2283="","",IFERROR(INDEX(代理店一覧!$B$5:$B$204,MATCH(B2283,代理店一覧!$A$5:$A$204,0)),"※未登録のID"))</f>
        <v/>
      </c>
      <c r="D2283" s="20"/>
      <c r="E2283" s="20"/>
      <c r="F2283" s="20"/>
      <c r="G2283" s="20"/>
      <c r="H2283" s="20"/>
      <c r="I2283" s="21"/>
    </row>
    <row r="2284" customFormat="false" ht="15" hidden="false" customHeight="false" outlineLevel="0" collapsed="false">
      <c r="A2284" s="30"/>
      <c r="B2284" s="21"/>
      <c r="C2284" s="21" t="str">
        <f aca="false">IF(B2284="","",IFERROR(INDEX(代理店一覧!$B$5:$B$204,MATCH(B2284,代理店一覧!$A$5:$A$204,0)),"※未登録のID"))</f>
        <v/>
      </c>
      <c r="D2284" s="20"/>
      <c r="E2284" s="20"/>
      <c r="F2284" s="20"/>
      <c r="G2284" s="20"/>
      <c r="H2284" s="20"/>
      <c r="I2284" s="21"/>
    </row>
    <row r="2285" customFormat="false" ht="15" hidden="false" customHeight="false" outlineLevel="0" collapsed="false">
      <c r="A2285" s="30"/>
      <c r="B2285" s="21"/>
      <c r="C2285" s="21" t="str">
        <f aca="false">IF(B2285="","",IFERROR(INDEX(代理店一覧!$B$5:$B$204,MATCH(B2285,代理店一覧!$A$5:$A$204,0)),"※未登録のID"))</f>
        <v/>
      </c>
      <c r="D2285" s="20"/>
      <c r="E2285" s="20"/>
      <c r="F2285" s="20"/>
      <c r="G2285" s="20"/>
      <c r="H2285" s="20"/>
      <c r="I2285" s="21"/>
    </row>
    <row r="2286" customFormat="false" ht="15" hidden="false" customHeight="false" outlineLevel="0" collapsed="false">
      <c r="A2286" s="30"/>
      <c r="B2286" s="21"/>
      <c r="C2286" s="21" t="str">
        <f aca="false">IF(B2286="","",IFERROR(INDEX(代理店一覧!$B$5:$B$204,MATCH(B2286,代理店一覧!$A$5:$A$204,0)),"※未登録のID"))</f>
        <v/>
      </c>
      <c r="D2286" s="20"/>
      <c r="E2286" s="20"/>
      <c r="F2286" s="20"/>
      <c r="G2286" s="20"/>
      <c r="H2286" s="20"/>
      <c r="I2286" s="21"/>
    </row>
    <row r="2287" customFormat="false" ht="15" hidden="false" customHeight="false" outlineLevel="0" collapsed="false">
      <c r="A2287" s="30"/>
      <c r="B2287" s="21"/>
      <c r="C2287" s="21" t="str">
        <f aca="false">IF(B2287="","",IFERROR(INDEX(代理店一覧!$B$5:$B$204,MATCH(B2287,代理店一覧!$A$5:$A$204,0)),"※未登録のID"))</f>
        <v/>
      </c>
      <c r="D2287" s="20"/>
      <c r="E2287" s="20"/>
      <c r="F2287" s="20"/>
      <c r="G2287" s="20"/>
      <c r="H2287" s="20"/>
      <c r="I2287" s="21"/>
    </row>
    <row r="2288" customFormat="false" ht="15" hidden="false" customHeight="false" outlineLevel="0" collapsed="false">
      <c r="A2288" s="30"/>
      <c r="B2288" s="21"/>
      <c r="C2288" s="21" t="str">
        <f aca="false">IF(B2288="","",IFERROR(INDEX(代理店一覧!$B$5:$B$204,MATCH(B2288,代理店一覧!$A$5:$A$204,0)),"※未登録のID"))</f>
        <v/>
      </c>
      <c r="D2288" s="20"/>
      <c r="E2288" s="20"/>
      <c r="F2288" s="20"/>
      <c r="G2288" s="20"/>
      <c r="H2288" s="20"/>
      <c r="I2288" s="21"/>
    </row>
    <row r="2289" customFormat="false" ht="15" hidden="false" customHeight="false" outlineLevel="0" collapsed="false">
      <c r="A2289" s="30"/>
      <c r="B2289" s="21"/>
      <c r="C2289" s="21" t="str">
        <f aca="false">IF(B2289="","",IFERROR(INDEX(代理店一覧!$B$5:$B$204,MATCH(B2289,代理店一覧!$A$5:$A$204,0)),"※未登録のID"))</f>
        <v/>
      </c>
      <c r="D2289" s="20"/>
      <c r="E2289" s="20"/>
      <c r="F2289" s="20"/>
      <c r="G2289" s="20"/>
      <c r="H2289" s="20"/>
      <c r="I2289" s="21"/>
    </row>
    <row r="2290" customFormat="false" ht="15" hidden="false" customHeight="false" outlineLevel="0" collapsed="false">
      <c r="A2290" s="30"/>
      <c r="B2290" s="21"/>
      <c r="C2290" s="21" t="str">
        <f aca="false">IF(B2290="","",IFERROR(INDEX(代理店一覧!$B$5:$B$204,MATCH(B2290,代理店一覧!$A$5:$A$204,0)),"※未登録のID"))</f>
        <v/>
      </c>
      <c r="D2290" s="20"/>
      <c r="E2290" s="20"/>
      <c r="F2290" s="20"/>
      <c r="G2290" s="20"/>
      <c r="H2290" s="20"/>
      <c r="I2290" s="21"/>
    </row>
    <row r="2291" customFormat="false" ht="15" hidden="false" customHeight="false" outlineLevel="0" collapsed="false">
      <c r="A2291" s="30"/>
      <c r="B2291" s="21"/>
      <c r="C2291" s="21" t="str">
        <f aca="false">IF(B2291="","",IFERROR(INDEX(代理店一覧!$B$5:$B$204,MATCH(B2291,代理店一覧!$A$5:$A$204,0)),"※未登録のID"))</f>
        <v/>
      </c>
      <c r="D2291" s="20"/>
      <c r="E2291" s="20"/>
      <c r="F2291" s="20"/>
      <c r="G2291" s="20"/>
      <c r="H2291" s="20"/>
      <c r="I2291" s="21"/>
    </row>
    <row r="2292" customFormat="false" ht="15" hidden="false" customHeight="false" outlineLevel="0" collapsed="false">
      <c r="A2292" s="30"/>
      <c r="B2292" s="21"/>
      <c r="C2292" s="21" t="str">
        <f aca="false">IF(B2292="","",IFERROR(INDEX(代理店一覧!$B$5:$B$204,MATCH(B2292,代理店一覧!$A$5:$A$204,0)),"※未登録のID"))</f>
        <v/>
      </c>
      <c r="D2292" s="20"/>
      <c r="E2292" s="20"/>
      <c r="F2292" s="20"/>
      <c r="G2292" s="20"/>
      <c r="H2292" s="20"/>
      <c r="I2292" s="21"/>
    </row>
    <row r="2293" customFormat="false" ht="15" hidden="false" customHeight="false" outlineLevel="0" collapsed="false">
      <c r="A2293" s="30"/>
      <c r="B2293" s="21"/>
      <c r="C2293" s="21" t="str">
        <f aca="false">IF(B2293="","",IFERROR(INDEX(代理店一覧!$B$5:$B$204,MATCH(B2293,代理店一覧!$A$5:$A$204,0)),"※未登録のID"))</f>
        <v/>
      </c>
      <c r="D2293" s="20"/>
      <c r="E2293" s="20"/>
      <c r="F2293" s="20"/>
      <c r="G2293" s="20"/>
      <c r="H2293" s="20"/>
      <c r="I2293" s="21"/>
    </row>
    <row r="2294" customFormat="false" ht="15" hidden="false" customHeight="false" outlineLevel="0" collapsed="false">
      <c r="A2294" s="30"/>
      <c r="B2294" s="21"/>
      <c r="C2294" s="21" t="str">
        <f aca="false">IF(B2294="","",IFERROR(INDEX(代理店一覧!$B$5:$B$204,MATCH(B2294,代理店一覧!$A$5:$A$204,0)),"※未登録のID"))</f>
        <v/>
      </c>
      <c r="D2294" s="20"/>
      <c r="E2294" s="20"/>
      <c r="F2294" s="20"/>
      <c r="G2294" s="20"/>
      <c r="H2294" s="20"/>
      <c r="I2294" s="21"/>
    </row>
    <row r="2295" customFormat="false" ht="15" hidden="false" customHeight="false" outlineLevel="0" collapsed="false">
      <c r="A2295" s="30"/>
      <c r="B2295" s="21"/>
      <c r="C2295" s="21" t="str">
        <f aca="false">IF(B2295="","",IFERROR(INDEX(代理店一覧!$B$5:$B$204,MATCH(B2295,代理店一覧!$A$5:$A$204,0)),"※未登録のID"))</f>
        <v/>
      </c>
      <c r="D2295" s="20"/>
      <c r="E2295" s="20"/>
      <c r="F2295" s="20"/>
      <c r="G2295" s="20"/>
      <c r="H2295" s="20"/>
      <c r="I2295" s="21"/>
    </row>
    <row r="2296" customFormat="false" ht="15" hidden="false" customHeight="false" outlineLevel="0" collapsed="false">
      <c r="A2296" s="30"/>
      <c r="B2296" s="21"/>
      <c r="C2296" s="21" t="str">
        <f aca="false">IF(B2296="","",IFERROR(INDEX(代理店一覧!$B$5:$B$204,MATCH(B2296,代理店一覧!$A$5:$A$204,0)),"※未登録のID"))</f>
        <v/>
      </c>
      <c r="D2296" s="20"/>
      <c r="E2296" s="20"/>
      <c r="F2296" s="20"/>
      <c r="G2296" s="20"/>
      <c r="H2296" s="20"/>
      <c r="I2296" s="21"/>
    </row>
    <row r="2297" customFormat="false" ht="15" hidden="false" customHeight="false" outlineLevel="0" collapsed="false">
      <c r="A2297" s="30"/>
      <c r="B2297" s="21"/>
      <c r="C2297" s="21" t="str">
        <f aca="false">IF(B2297="","",IFERROR(INDEX(代理店一覧!$B$5:$B$204,MATCH(B2297,代理店一覧!$A$5:$A$204,0)),"※未登録のID"))</f>
        <v/>
      </c>
      <c r="D2297" s="20"/>
      <c r="E2297" s="20"/>
      <c r="F2297" s="20"/>
      <c r="G2297" s="20"/>
      <c r="H2297" s="20"/>
      <c r="I2297" s="21"/>
    </row>
    <row r="2298" customFormat="false" ht="15" hidden="false" customHeight="false" outlineLevel="0" collapsed="false">
      <c r="A2298" s="30"/>
      <c r="B2298" s="21"/>
      <c r="C2298" s="21" t="str">
        <f aca="false">IF(B2298="","",IFERROR(INDEX(代理店一覧!$B$5:$B$204,MATCH(B2298,代理店一覧!$A$5:$A$204,0)),"※未登録のID"))</f>
        <v/>
      </c>
      <c r="D2298" s="20"/>
      <c r="E2298" s="20"/>
      <c r="F2298" s="20"/>
      <c r="G2298" s="20"/>
      <c r="H2298" s="20"/>
      <c r="I2298" s="21"/>
    </row>
    <row r="2299" customFormat="false" ht="15" hidden="false" customHeight="false" outlineLevel="0" collapsed="false">
      <c r="A2299" s="30"/>
      <c r="B2299" s="21"/>
      <c r="C2299" s="21" t="str">
        <f aca="false">IF(B2299="","",IFERROR(INDEX(代理店一覧!$B$5:$B$204,MATCH(B2299,代理店一覧!$A$5:$A$204,0)),"※未登録のID"))</f>
        <v/>
      </c>
      <c r="D2299" s="20"/>
      <c r="E2299" s="20"/>
      <c r="F2299" s="20"/>
      <c r="G2299" s="20"/>
      <c r="H2299" s="20"/>
      <c r="I2299" s="21"/>
    </row>
    <row r="2300" customFormat="false" ht="15" hidden="false" customHeight="false" outlineLevel="0" collapsed="false">
      <c r="A2300" s="30"/>
      <c r="B2300" s="21"/>
      <c r="C2300" s="21" t="str">
        <f aca="false">IF(B2300="","",IFERROR(INDEX(代理店一覧!$B$5:$B$204,MATCH(B2300,代理店一覧!$A$5:$A$204,0)),"※未登録のID"))</f>
        <v/>
      </c>
      <c r="D2300" s="20"/>
      <c r="E2300" s="20"/>
      <c r="F2300" s="20"/>
      <c r="G2300" s="20"/>
      <c r="H2300" s="20"/>
      <c r="I2300" s="21"/>
    </row>
    <row r="2301" customFormat="false" ht="15" hidden="false" customHeight="false" outlineLevel="0" collapsed="false">
      <c r="A2301" s="30"/>
      <c r="B2301" s="21"/>
      <c r="C2301" s="21" t="str">
        <f aca="false">IF(B2301="","",IFERROR(INDEX(代理店一覧!$B$5:$B$204,MATCH(B2301,代理店一覧!$A$5:$A$204,0)),"※未登録のID"))</f>
        <v/>
      </c>
      <c r="D2301" s="20"/>
      <c r="E2301" s="20"/>
      <c r="F2301" s="20"/>
      <c r="G2301" s="20"/>
      <c r="H2301" s="20"/>
      <c r="I2301" s="21"/>
    </row>
    <row r="2302" customFormat="false" ht="15" hidden="false" customHeight="false" outlineLevel="0" collapsed="false">
      <c r="A2302" s="30"/>
      <c r="B2302" s="21"/>
      <c r="C2302" s="21" t="str">
        <f aca="false">IF(B2302="","",IFERROR(INDEX(代理店一覧!$B$5:$B$204,MATCH(B2302,代理店一覧!$A$5:$A$204,0)),"※未登録のID"))</f>
        <v/>
      </c>
      <c r="D2302" s="20"/>
      <c r="E2302" s="20"/>
      <c r="F2302" s="20"/>
      <c r="G2302" s="20"/>
      <c r="H2302" s="20"/>
      <c r="I2302" s="21"/>
    </row>
    <row r="2303" customFormat="false" ht="15" hidden="false" customHeight="false" outlineLevel="0" collapsed="false">
      <c r="A2303" s="30"/>
      <c r="B2303" s="21"/>
      <c r="C2303" s="21" t="str">
        <f aca="false">IF(B2303="","",IFERROR(INDEX(代理店一覧!$B$5:$B$204,MATCH(B2303,代理店一覧!$A$5:$A$204,0)),"※未登録のID"))</f>
        <v/>
      </c>
      <c r="D2303" s="20"/>
      <c r="E2303" s="20"/>
      <c r="F2303" s="20"/>
      <c r="G2303" s="20"/>
      <c r="H2303" s="20"/>
      <c r="I2303" s="21"/>
    </row>
    <row r="2304" customFormat="false" ht="15" hidden="false" customHeight="false" outlineLevel="0" collapsed="false">
      <c r="A2304" s="30"/>
      <c r="B2304" s="21"/>
      <c r="C2304" s="21" t="str">
        <f aca="false">IF(B2304="","",IFERROR(INDEX(代理店一覧!$B$5:$B$204,MATCH(B2304,代理店一覧!$A$5:$A$204,0)),"※未登録のID"))</f>
        <v/>
      </c>
      <c r="D2304" s="20"/>
      <c r="E2304" s="20"/>
      <c r="F2304" s="20"/>
      <c r="G2304" s="20"/>
      <c r="H2304" s="20"/>
      <c r="I2304" s="21"/>
    </row>
    <row r="2305" customFormat="false" ht="15" hidden="false" customHeight="false" outlineLevel="0" collapsed="false">
      <c r="A2305" s="30"/>
      <c r="B2305" s="21"/>
      <c r="C2305" s="21" t="str">
        <f aca="false">IF(B2305="","",IFERROR(INDEX(代理店一覧!$B$5:$B$204,MATCH(B2305,代理店一覧!$A$5:$A$204,0)),"※未登録のID"))</f>
        <v/>
      </c>
      <c r="D2305" s="20"/>
      <c r="E2305" s="20"/>
      <c r="F2305" s="20"/>
      <c r="G2305" s="20"/>
      <c r="H2305" s="20"/>
      <c r="I2305" s="21"/>
    </row>
    <row r="2306" customFormat="false" ht="15" hidden="false" customHeight="false" outlineLevel="0" collapsed="false">
      <c r="A2306" s="30"/>
      <c r="B2306" s="21"/>
      <c r="C2306" s="21" t="str">
        <f aca="false">IF(B2306="","",IFERROR(INDEX(代理店一覧!$B$5:$B$204,MATCH(B2306,代理店一覧!$A$5:$A$204,0)),"※未登録のID"))</f>
        <v/>
      </c>
      <c r="D2306" s="20"/>
      <c r="E2306" s="20"/>
      <c r="F2306" s="20"/>
      <c r="G2306" s="20"/>
      <c r="H2306" s="20"/>
      <c r="I2306" s="21"/>
    </row>
    <row r="2307" customFormat="false" ht="15" hidden="false" customHeight="false" outlineLevel="0" collapsed="false">
      <c r="A2307" s="30"/>
      <c r="B2307" s="21"/>
      <c r="C2307" s="21" t="str">
        <f aca="false">IF(B2307="","",IFERROR(INDEX(代理店一覧!$B$5:$B$204,MATCH(B2307,代理店一覧!$A$5:$A$204,0)),"※未登録のID"))</f>
        <v/>
      </c>
      <c r="D2307" s="20"/>
      <c r="E2307" s="20"/>
      <c r="F2307" s="20"/>
      <c r="G2307" s="20"/>
      <c r="H2307" s="20"/>
      <c r="I2307" s="21"/>
    </row>
    <row r="2308" customFormat="false" ht="15" hidden="false" customHeight="false" outlineLevel="0" collapsed="false">
      <c r="A2308" s="30"/>
      <c r="B2308" s="21"/>
      <c r="C2308" s="21" t="str">
        <f aca="false">IF(B2308="","",IFERROR(INDEX(代理店一覧!$B$5:$B$204,MATCH(B2308,代理店一覧!$A$5:$A$204,0)),"※未登録のID"))</f>
        <v/>
      </c>
      <c r="D2308" s="20"/>
      <c r="E2308" s="20"/>
      <c r="F2308" s="20"/>
      <c r="G2308" s="20"/>
      <c r="H2308" s="20"/>
      <c r="I2308" s="21"/>
    </row>
    <row r="2309" customFormat="false" ht="15" hidden="false" customHeight="false" outlineLevel="0" collapsed="false">
      <c r="A2309" s="30"/>
      <c r="B2309" s="21"/>
      <c r="C2309" s="21" t="str">
        <f aca="false">IF(B2309="","",IFERROR(INDEX(代理店一覧!$B$5:$B$204,MATCH(B2309,代理店一覧!$A$5:$A$204,0)),"※未登録のID"))</f>
        <v/>
      </c>
      <c r="D2309" s="20"/>
      <c r="E2309" s="20"/>
      <c r="F2309" s="20"/>
      <c r="G2309" s="20"/>
      <c r="H2309" s="20"/>
      <c r="I2309" s="21"/>
    </row>
    <row r="2310" customFormat="false" ht="15" hidden="false" customHeight="false" outlineLevel="0" collapsed="false">
      <c r="A2310" s="30"/>
      <c r="B2310" s="21"/>
      <c r="C2310" s="21" t="str">
        <f aca="false">IF(B2310="","",IFERROR(INDEX(代理店一覧!$B$5:$B$204,MATCH(B2310,代理店一覧!$A$5:$A$204,0)),"※未登録のID"))</f>
        <v/>
      </c>
      <c r="D2310" s="20"/>
      <c r="E2310" s="20"/>
      <c r="F2310" s="20"/>
      <c r="G2310" s="20"/>
      <c r="H2310" s="20"/>
      <c r="I2310" s="21"/>
    </row>
    <row r="2311" customFormat="false" ht="15" hidden="false" customHeight="false" outlineLevel="0" collapsed="false">
      <c r="A2311" s="30"/>
      <c r="B2311" s="21"/>
      <c r="C2311" s="21" t="str">
        <f aca="false">IF(B2311="","",IFERROR(INDEX(代理店一覧!$B$5:$B$204,MATCH(B2311,代理店一覧!$A$5:$A$204,0)),"※未登録のID"))</f>
        <v/>
      </c>
      <c r="D2311" s="20"/>
      <c r="E2311" s="20"/>
      <c r="F2311" s="20"/>
      <c r="G2311" s="20"/>
      <c r="H2311" s="20"/>
      <c r="I2311" s="21"/>
    </row>
    <row r="2312" customFormat="false" ht="15" hidden="false" customHeight="false" outlineLevel="0" collapsed="false">
      <c r="A2312" s="30"/>
      <c r="B2312" s="21"/>
      <c r="C2312" s="21" t="str">
        <f aca="false">IF(B2312="","",IFERROR(INDEX(代理店一覧!$B$5:$B$204,MATCH(B2312,代理店一覧!$A$5:$A$204,0)),"※未登録のID"))</f>
        <v/>
      </c>
      <c r="D2312" s="20"/>
      <c r="E2312" s="20"/>
      <c r="F2312" s="20"/>
      <c r="G2312" s="20"/>
      <c r="H2312" s="20"/>
      <c r="I2312" s="21"/>
    </row>
    <row r="2313" customFormat="false" ht="15" hidden="false" customHeight="false" outlineLevel="0" collapsed="false">
      <c r="A2313" s="30"/>
      <c r="B2313" s="21"/>
      <c r="C2313" s="21" t="str">
        <f aca="false">IF(B2313="","",IFERROR(INDEX(代理店一覧!$B$5:$B$204,MATCH(B2313,代理店一覧!$A$5:$A$204,0)),"※未登録のID"))</f>
        <v/>
      </c>
      <c r="D2313" s="20"/>
      <c r="E2313" s="20"/>
      <c r="F2313" s="20"/>
      <c r="G2313" s="20"/>
      <c r="H2313" s="20"/>
      <c r="I2313" s="21"/>
    </row>
    <row r="2314" customFormat="false" ht="15" hidden="false" customHeight="false" outlineLevel="0" collapsed="false">
      <c r="A2314" s="30"/>
      <c r="B2314" s="21"/>
      <c r="C2314" s="21" t="str">
        <f aca="false">IF(B2314="","",IFERROR(INDEX(代理店一覧!$B$5:$B$204,MATCH(B2314,代理店一覧!$A$5:$A$204,0)),"※未登録のID"))</f>
        <v/>
      </c>
      <c r="D2314" s="20"/>
      <c r="E2314" s="20"/>
      <c r="F2314" s="20"/>
      <c r="G2314" s="20"/>
      <c r="H2314" s="20"/>
      <c r="I2314" s="21"/>
    </row>
    <row r="2315" customFormat="false" ht="15" hidden="false" customHeight="false" outlineLevel="0" collapsed="false">
      <c r="A2315" s="30"/>
      <c r="B2315" s="21"/>
      <c r="C2315" s="21" t="str">
        <f aca="false">IF(B2315="","",IFERROR(INDEX(代理店一覧!$B$5:$B$204,MATCH(B2315,代理店一覧!$A$5:$A$204,0)),"※未登録のID"))</f>
        <v/>
      </c>
      <c r="D2315" s="20"/>
      <c r="E2315" s="20"/>
      <c r="F2315" s="20"/>
      <c r="G2315" s="20"/>
      <c r="H2315" s="20"/>
      <c r="I2315" s="21"/>
    </row>
    <row r="2316" customFormat="false" ht="15" hidden="false" customHeight="false" outlineLevel="0" collapsed="false">
      <c r="A2316" s="30"/>
      <c r="B2316" s="21"/>
      <c r="C2316" s="21" t="str">
        <f aca="false">IF(B2316="","",IFERROR(INDEX(代理店一覧!$B$5:$B$204,MATCH(B2316,代理店一覧!$A$5:$A$204,0)),"※未登録のID"))</f>
        <v/>
      </c>
      <c r="D2316" s="20"/>
      <c r="E2316" s="20"/>
      <c r="F2316" s="20"/>
      <c r="G2316" s="20"/>
      <c r="H2316" s="20"/>
      <c r="I2316" s="21"/>
    </row>
    <row r="2317" customFormat="false" ht="15" hidden="false" customHeight="false" outlineLevel="0" collapsed="false">
      <c r="A2317" s="30"/>
      <c r="B2317" s="21"/>
      <c r="C2317" s="21" t="str">
        <f aca="false">IF(B2317="","",IFERROR(INDEX(代理店一覧!$B$5:$B$204,MATCH(B2317,代理店一覧!$A$5:$A$204,0)),"※未登録のID"))</f>
        <v/>
      </c>
      <c r="D2317" s="20"/>
      <c r="E2317" s="20"/>
      <c r="F2317" s="20"/>
      <c r="G2317" s="20"/>
      <c r="H2317" s="20"/>
      <c r="I2317" s="21"/>
    </row>
    <row r="2318" customFormat="false" ht="15" hidden="false" customHeight="false" outlineLevel="0" collapsed="false">
      <c r="A2318" s="30"/>
      <c r="B2318" s="21"/>
      <c r="C2318" s="21" t="str">
        <f aca="false">IF(B2318="","",IFERROR(INDEX(代理店一覧!$B$5:$B$204,MATCH(B2318,代理店一覧!$A$5:$A$204,0)),"※未登録のID"))</f>
        <v/>
      </c>
      <c r="D2318" s="20"/>
      <c r="E2318" s="20"/>
      <c r="F2318" s="20"/>
      <c r="G2318" s="20"/>
      <c r="H2318" s="20"/>
      <c r="I2318" s="21"/>
    </row>
    <row r="2319" customFormat="false" ht="15" hidden="false" customHeight="false" outlineLevel="0" collapsed="false">
      <c r="A2319" s="30"/>
      <c r="B2319" s="21"/>
      <c r="C2319" s="21" t="str">
        <f aca="false">IF(B2319="","",IFERROR(INDEX(代理店一覧!$B$5:$B$204,MATCH(B2319,代理店一覧!$A$5:$A$204,0)),"※未登録のID"))</f>
        <v/>
      </c>
      <c r="D2319" s="20"/>
      <c r="E2319" s="20"/>
      <c r="F2319" s="20"/>
      <c r="G2319" s="20"/>
      <c r="H2319" s="20"/>
      <c r="I2319" s="21"/>
    </row>
    <row r="2320" customFormat="false" ht="15" hidden="false" customHeight="false" outlineLevel="0" collapsed="false">
      <c r="A2320" s="30"/>
      <c r="B2320" s="21"/>
      <c r="C2320" s="21" t="str">
        <f aca="false">IF(B2320="","",IFERROR(INDEX(代理店一覧!$B$5:$B$204,MATCH(B2320,代理店一覧!$A$5:$A$204,0)),"※未登録のID"))</f>
        <v/>
      </c>
      <c r="D2320" s="20"/>
      <c r="E2320" s="20"/>
      <c r="F2320" s="20"/>
      <c r="G2320" s="20"/>
      <c r="H2320" s="20"/>
      <c r="I2320" s="21"/>
    </row>
    <row r="2321" customFormat="false" ht="15" hidden="false" customHeight="false" outlineLevel="0" collapsed="false">
      <c r="A2321" s="30"/>
      <c r="B2321" s="21"/>
      <c r="C2321" s="21" t="str">
        <f aca="false">IF(B2321="","",IFERROR(INDEX(代理店一覧!$B$5:$B$204,MATCH(B2321,代理店一覧!$A$5:$A$204,0)),"※未登録のID"))</f>
        <v/>
      </c>
      <c r="D2321" s="20"/>
      <c r="E2321" s="20"/>
      <c r="F2321" s="20"/>
      <c r="G2321" s="20"/>
      <c r="H2321" s="20"/>
      <c r="I2321" s="21"/>
    </row>
    <row r="2322" customFormat="false" ht="15" hidden="false" customHeight="false" outlineLevel="0" collapsed="false">
      <c r="A2322" s="30"/>
      <c r="B2322" s="21"/>
      <c r="C2322" s="21" t="str">
        <f aca="false">IF(B2322="","",IFERROR(INDEX(代理店一覧!$B$5:$B$204,MATCH(B2322,代理店一覧!$A$5:$A$204,0)),"※未登録のID"))</f>
        <v/>
      </c>
      <c r="D2322" s="20"/>
      <c r="E2322" s="20"/>
      <c r="F2322" s="20"/>
      <c r="G2322" s="20"/>
      <c r="H2322" s="20"/>
      <c r="I2322" s="21"/>
    </row>
    <row r="2323" customFormat="false" ht="15" hidden="false" customHeight="false" outlineLevel="0" collapsed="false">
      <c r="A2323" s="30"/>
      <c r="B2323" s="21"/>
      <c r="C2323" s="21" t="str">
        <f aca="false">IF(B2323="","",IFERROR(INDEX(代理店一覧!$B$5:$B$204,MATCH(B2323,代理店一覧!$A$5:$A$204,0)),"※未登録のID"))</f>
        <v/>
      </c>
      <c r="D2323" s="20"/>
      <c r="E2323" s="20"/>
      <c r="F2323" s="20"/>
      <c r="G2323" s="20"/>
      <c r="H2323" s="20"/>
      <c r="I2323" s="21"/>
    </row>
    <row r="2324" customFormat="false" ht="15" hidden="false" customHeight="false" outlineLevel="0" collapsed="false">
      <c r="A2324" s="30"/>
      <c r="B2324" s="21"/>
      <c r="C2324" s="21" t="str">
        <f aca="false">IF(B2324="","",IFERROR(INDEX(代理店一覧!$B$5:$B$204,MATCH(B2324,代理店一覧!$A$5:$A$204,0)),"※未登録のID"))</f>
        <v/>
      </c>
      <c r="D2324" s="20"/>
      <c r="E2324" s="20"/>
      <c r="F2324" s="20"/>
      <c r="G2324" s="20"/>
      <c r="H2324" s="20"/>
      <c r="I2324" s="21"/>
    </row>
    <row r="2325" customFormat="false" ht="15" hidden="false" customHeight="false" outlineLevel="0" collapsed="false">
      <c r="A2325" s="30"/>
      <c r="B2325" s="21"/>
      <c r="C2325" s="21" t="str">
        <f aca="false">IF(B2325="","",IFERROR(INDEX(代理店一覧!$B$5:$B$204,MATCH(B2325,代理店一覧!$A$5:$A$204,0)),"※未登録のID"))</f>
        <v/>
      </c>
      <c r="D2325" s="20"/>
      <c r="E2325" s="20"/>
      <c r="F2325" s="20"/>
      <c r="G2325" s="20"/>
      <c r="H2325" s="20"/>
      <c r="I2325" s="21"/>
    </row>
    <row r="2326" customFormat="false" ht="15" hidden="false" customHeight="false" outlineLevel="0" collapsed="false">
      <c r="A2326" s="30"/>
      <c r="B2326" s="21"/>
      <c r="C2326" s="21" t="str">
        <f aca="false">IF(B2326="","",IFERROR(INDEX(代理店一覧!$B$5:$B$204,MATCH(B2326,代理店一覧!$A$5:$A$204,0)),"※未登録のID"))</f>
        <v/>
      </c>
      <c r="D2326" s="20"/>
      <c r="E2326" s="20"/>
      <c r="F2326" s="20"/>
      <c r="G2326" s="20"/>
      <c r="H2326" s="20"/>
      <c r="I2326" s="21"/>
    </row>
    <row r="2327" customFormat="false" ht="15" hidden="false" customHeight="false" outlineLevel="0" collapsed="false">
      <c r="A2327" s="30"/>
      <c r="B2327" s="21"/>
      <c r="C2327" s="21" t="str">
        <f aca="false">IF(B2327="","",IFERROR(INDEX(代理店一覧!$B$5:$B$204,MATCH(B2327,代理店一覧!$A$5:$A$204,0)),"※未登録のID"))</f>
        <v/>
      </c>
      <c r="D2327" s="20"/>
      <c r="E2327" s="20"/>
      <c r="F2327" s="20"/>
      <c r="G2327" s="20"/>
      <c r="H2327" s="20"/>
      <c r="I2327" s="21"/>
    </row>
    <row r="2328" customFormat="false" ht="15" hidden="false" customHeight="false" outlineLevel="0" collapsed="false">
      <c r="A2328" s="30"/>
      <c r="B2328" s="21"/>
      <c r="C2328" s="21" t="str">
        <f aca="false">IF(B2328="","",IFERROR(INDEX(代理店一覧!$B$5:$B$204,MATCH(B2328,代理店一覧!$A$5:$A$204,0)),"※未登録のID"))</f>
        <v/>
      </c>
      <c r="D2328" s="20"/>
      <c r="E2328" s="20"/>
      <c r="F2328" s="20"/>
      <c r="G2328" s="20"/>
      <c r="H2328" s="20"/>
      <c r="I2328" s="21"/>
    </row>
    <row r="2329" customFormat="false" ht="15" hidden="false" customHeight="false" outlineLevel="0" collapsed="false">
      <c r="A2329" s="30"/>
      <c r="B2329" s="21"/>
      <c r="C2329" s="21" t="str">
        <f aca="false">IF(B2329="","",IFERROR(INDEX(代理店一覧!$B$5:$B$204,MATCH(B2329,代理店一覧!$A$5:$A$204,0)),"※未登録のID"))</f>
        <v/>
      </c>
      <c r="D2329" s="20"/>
      <c r="E2329" s="20"/>
      <c r="F2329" s="20"/>
      <c r="G2329" s="20"/>
      <c r="H2329" s="20"/>
      <c r="I2329" s="21"/>
    </row>
    <row r="2330" customFormat="false" ht="15" hidden="false" customHeight="false" outlineLevel="0" collapsed="false">
      <c r="A2330" s="30"/>
      <c r="B2330" s="21"/>
      <c r="C2330" s="21" t="str">
        <f aca="false">IF(B2330="","",IFERROR(INDEX(代理店一覧!$B$5:$B$204,MATCH(B2330,代理店一覧!$A$5:$A$204,0)),"※未登録のID"))</f>
        <v/>
      </c>
      <c r="D2330" s="20"/>
      <c r="E2330" s="20"/>
      <c r="F2330" s="20"/>
      <c r="G2330" s="20"/>
      <c r="H2330" s="20"/>
      <c r="I2330" s="21"/>
    </row>
    <row r="2331" customFormat="false" ht="15" hidden="false" customHeight="false" outlineLevel="0" collapsed="false">
      <c r="A2331" s="30"/>
      <c r="B2331" s="21"/>
      <c r="C2331" s="21" t="str">
        <f aca="false">IF(B2331="","",IFERROR(INDEX(代理店一覧!$B$5:$B$204,MATCH(B2331,代理店一覧!$A$5:$A$204,0)),"※未登録のID"))</f>
        <v/>
      </c>
      <c r="D2331" s="20"/>
      <c r="E2331" s="20"/>
      <c r="F2331" s="20"/>
      <c r="G2331" s="20"/>
      <c r="H2331" s="20"/>
      <c r="I2331" s="21"/>
    </row>
    <row r="2332" customFormat="false" ht="15" hidden="false" customHeight="false" outlineLevel="0" collapsed="false">
      <c r="A2332" s="30"/>
      <c r="B2332" s="21"/>
      <c r="C2332" s="21" t="str">
        <f aca="false">IF(B2332="","",IFERROR(INDEX(代理店一覧!$B$5:$B$204,MATCH(B2332,代理店一覧!$A$5:$A$204,0)),"※未登録のID"))</f>
        <v/>
      </c>
      <c r="D2332" s="20"/>
      <c r="E2332" s="20"/>
      <c r="F2332" s="20"/>
      <c r="G2332" s="20"/>
      <c r="H2332" s="20"/>
      <c r="I2332" s="21"/>
    </row>
    <row r="2333" customFormat="false" ht="15" hidden="false" customHeight="false" outlineLevel="0" collapsed="false">
      <c r="A2333" s="30"/>
      <c r="B2333" s="21"/>
      <c r="C2333" s="21" t="str">
        <f aca="false">IF(B2333="","",IFERROR(INDEX(代理店一覧!$B$5:$B$204,MATCH(B2333,代理店一覧!$A$5:$A$204,0)),"※未登録のID"))</f>
        <v/>
      </c>
      <c r="D2333" s="20"/>
      <c r="E2333" s="20"/>
      <c r="F2333" s="20"/>
      <c r="G2333" s="20"/>
      <c r="H2333" s="20"/>
      <c r="I2333" s="21"/>
    </row>
    <row r="2334" customFormat="false" ht="15" hidden="false" customHeight="false" outlineLevel="0" collapsed="false">
      <c r="A2334" s="30"/>
      <c r="B2334" s="21"/>
      <c r="C2334" s="21" t="str">
        <f aca="false">IF(B2334="","",IFERROR(INDEX(代理店一覧!$B$5:$B$204,MATCH(B2334,代理店一覧!$A$5:$A$204,0)),"※未登録のID"))</f>
        <v/>
      </c>
      <c r="D2334" s="20"/>
      <c r="E2334" s="20"/>
      <c r="F2334" s="20"/>
      <c r="G2334" s="20"/>
      <c r="H2334" s="20"/>
      <c r="I2334" s="21"/>
    </row>
    <row r="2335" customFormat="false" ht="15" hidden="false" customHeight="false" outlineLevel="0" collapsed="false">
      <c r="A2335" s="30"/>
      <c r="B2335" s="21"/>
      <c r="C2335" s="21" t="str">
        <f aca="false">IF(B2335="","",IFERROR(INDEX(代理店一覧!$B$5:$B$204,MATCH(B2335,代理店一覧!$A$5:$A$204,0)),"※未登録のID"))</f>
        <v/>
      </c>
      <c r="D2335" s="20"/>
      <c r="E2335" s="20"/>
      <c r="F2335" s="20"/>
      <c r="G2335" s="20"/>
      <c r="H2335" s="20"/>
      <c r="I2335" s="21"/>
    </row>
    <row r="2336" customFormat="false" ht="15" hidden="false" customHeight="false" outlineLevel="0" collapsed="false">
      <c r="A2336" s="30"/>
      <c r="B2336" s="21"/>
      <c r="C2336" s="21" t="str">
        <f aca="false">IF(B2336="","",IFERROR(INDEX(代理店一覧!$B$5:$B$204,MATCH(B2336,代理店一覧!$A$5:$A$204,0)),"※未登録のID"))</f>
        <v/>
      </c>
      <c r="D2336" s="20"/>
      <c r="E2336" s="20"/>
      <c r="F2336" s="20"/>
      <c r="G2336" s="20"/>
      <c r="H2336" s="20"/>
      <c r="I2336" s="21"/>
    </row>
    <row r="2337" customFormat="false" ht="15" hidden="false" customHeight="false" outlineLevel="0" collapsed="false">
      <c r="A2337" s="30"/>
      <c r="B2337" s="21"/>
      <c r="C2337" s="21" t="str">
        <f aca="false">IF(B2337="","",IFERROR(INDEX(代理店一覧!$B$5:$B$204,MATCH(B2337,代理店一覧!$A$5:$A$204,0)),"※未登録のID"))</f>
        <v/>
      </c>
      <c r="D2337" s="20"/>
      <c r="E2337" s="20"/>
      <c r="F2337" s="20"/>
      <c r="G2337" s="20"/>
      <c r="H2337" s="20"/>
      <c r="I2337" s="21"/>
    </row>
    <row r="2338" customFormat="false" ht="15" hidden="false" customHeight="false" outlineLevel="0" collapsed="false">
      <c r="A2338" s="30"/>
      <c r="B2338" s="21"/>
      <c r="C2338" s="21" t="str">
        <f aca="false">IF(B2338="","",IFERROR(INDEX(代理店一覧!$B$5:$B$204,MATCH(B2338,代理店一覧!$A$5:$A$204,0)),"※未登録のID"))</f>
        <v/>
      </c>
      <c r="D2338" s="20"/>
      <c r="E2338" s="20"/>
      <c r="F2338" s="20"/>
      <c r="G2338" s="20"/>
      <c r="H2338" s="20"/>
      <c r="I2338" s="21"/>
    </row>
    <row r="2339" customFormat="false" ht="15" hidden="false" customHeight="false" outlineLevel="0" collapsed="false">
      <c r="A2339" s="30"/>
      <c r="B2339" s="21"/>
      <c r="C2339" s="21" t="str">
        <f aca="false">IF(B2339="","",IFERROR(INDEX(代理店一覧!$B$5:$B$204,MATCH(B2339,代理店一覧!$A$5:$A$204,0)),"※未登録のID"))</f>
        <v/>
      </c>
      <c r="D2339" s="20"/>
      <c r="E2339" s="20"/>
      <c r="F2339" s="20"/>
      <c r="G2339" s="20"/>
      <c r="H2339" s="20"/>
      <c r="I2339" s="21"/>
    </row>
    <row r="2340" customFormat="false" ht="15" hidden="false" customHeight="false" outlineLevel="0" collapsed="false">
      <c r="A2340" s="30"/>
      <c r="B2340" s="21"/>
      <c r="C2340" s="21" t="str">
        <f aca="false">IF(B2340="","",IFERROR(INDEX(代理店一覧!$B$5:$B$204,MATCH(B2340,代理店一覧!$A$5:$A$204,0)),"※未登録のID"))</f>
        <v/>
      </c>
      <c r="D2340" s="20"/>
      <c r="E2340" s="20"/>
      <c r="F2340" s="20"/>
      <c r="G2340" s="20"/>
      <c r="H2340" s="20"/>
      <c r="I2340" s="21"/>
    </row>
    <row r="2341" customFormat="false" ht="15" hidden="false" customHeight="false" outlineLevel="0" collapsed="false">
      <c r="A2341" s="30"/>
      <c r="B2341" s="21"/>
      <c r="C2341" s="21" t="str">
        <f aca="false">IF(B2341="","",IFERROR(INDEX(代理店一覧!$B$5:$B$204,MATCH(B2341,代理店一覧!$A$5:$A$204,0)),"※未登録のID"))</f>
        <v/>
      </c>
      <c r="D2341" s="20"/>
      <c r="E2341" s="20"/>
      <c r="F2341" s="20"/>
      <c r="G2341" s="20"/>
      <c r="H2341" s="20"/>
      <c r="I2341" s="21"/>
    </row>
    <row r="2342" customFormat="false" ht="15" hidden="false" customHeight="false" outlineLevel="0" collapsed="false">
      <c r="A2342" s="30"/>
      <c r="B2342" s="21"/>
      <c r="C2342" s="21" t="str">
        <f aca="false">IF(B2342="","",IFERROR(INDEX(代理店一覧!$B$5:$B$204,MATCH(B2342,代理店一覧!$A$5:$A$204,0)),"※未登録のID"))</f>
        <v/>
      </c>
      <c r="D2342" s="20"/>
      <c r="E2342" s="20"/>
      <c r="F2342" s="20"/>
      <c r="G2342" s="20"/>
      <c r="H2342" s="20"/>
      <c r="I2342" s="21"/>
    </row>
    <row r="2343" customFormat="false" ht="15" hidden="false" customHeight="false" outlineLevel="0" collapsed="false">
      <c r="A2343" s="30"/>
      <c r="B2343" s="21"/>
      <c r="C2343" s="21" t="str">
        <f aca="false">IF(B2343="","",IFERROR(INDEX(代理店一覧!$B$5:$B$204,MATCH(B2343,代理店一覧!$A$5:$A$204,0)),"※未登録のID"))</f>
        <v/>
      </c>
      <c r="D2343" s="20"/>
      <c r="E2343" s="20"/>
      <c r="F2343" s="20"/>
      <c r="G2343" s="20"/>
      <c r="H2343" s="20"/>
      <c r="I2343" s="21"/>
    </row>
    <row r="2344" customFormat="false" ht="15" hidden="false" customHeight="false" outlineLevel="0" collapsed="false">
      <c r="A2344" s="30"/>
      <c r="B2344" s="21"/>
      <c r="C2344" s="21" t="str">
        <f aca="false">IF(B2344="","",IFERROR(INDEX(代理店一覧!$B$5:$B$204,MATCH(B2344,代理店一覧!$A$5:$A$204,0)),"※未登録のID"))</f>
        <v/>
      </c>
      <c r="D2344" s="20"/>
      <c r="E2344" s="20"/>
      <c r="F2344" s="20"/>
      <c r="G2344" s="20"/>
      <c r="H2344" s="20"/>
      <c r="I2344" s="21"/>
    </row>
    <row r="2345" customFormat="false" ht="15" hidden="false" customHeight="false" outlineLevel="0" collapsed="false">
      <c r="A2345" s="30"/>
      <c r="B2345" s="21"/>
      <c r="C2345" s="21" t="str">
        <f aca="false">IF(B2345="","",IFERROR(INDEX(代理店一覧!$B$5:$B$204,MATCH(B2345,代理店一覧!$A$5:$A$204,0)),"※未登録のID"))</f>
        <v/>
      </c>
      <c r="D2345" s="20"/>
      <c r="E2345" s="20"/>
      <c r="F2345" s="20"/>
      <c r="G2345" s="20"/>
      <c r="H2345" s="20"/>
      <c r="I2345" s="21"/>
    </row>
    <row r="2346" customFormat="false" ht="15" hidden="false" customHeight="false" outlineLevel="0" collapsed="false">
      <c r="A2346" s="30"/>
      <c r="B2346" s="21"/>
      <c r="C2346" s="21" t="str">
        <f aca="false">IF(B2346="","",IFERROR(INDEX(代理店一覧!$B$5:$B$204,MATCH(B2346,代理店一覧!$A$5:$A$204,0)),"※未登録のID"))</f>
        <v/>
      </c>
      <c r="D2346" s="20"/>
      <c r="E2346" s="20"/>
      <c r="F2346" s="20"/>
      <c r="G2346" s="20"/>
      <c r="H2346" s="20"/>
      <c r="I2346" s="21"/>
    </row>
    <row r="2347" customFormat="false" ht="15" hidden="false" customHeight="false" outlineLevel="0" collapsed="false">
      <c r="A2347" s="30"/>
      <c r="B2347" s="21"/>
      <c r="C2347" s="21" t="str">
        <f aca="false">IF(B2347="","",IFERROR(INDEX(代理店一覧!$B$5:$B$204,MATCH(B2347,代理店一覧!$A$5:$A$204,0)),"※未登録のID"))</f>
        <v/>
      </c>
      <c r="D2347" s="20"/>
      <c r="E2347" s="20"/>
      <c r="F2347" s="20"/>
      <c r="G2347" s="20"/>
      <c r="H2347" s="20"/>
      <c r="I2347" s="21"/>
    </row>
    <row r="2348" customFormat="false" ht="15" hidden="false" customHeight="false" outlineLevel="0" collapsed="false">
      <c r="A2348" s="30"/>
      <c r="B2348" s="21"/>
      <c r="C2348" s="21" t="str">
        <f aca="false">IF(B2348="","",IFERROR(INDEX(代理店一覧!$B$5:$B$204,MATCH(B2348,代理店一覧!$A$5:$A$204,0)),"※未登録のID"))</f>
        <v/>
      </c>
      <c r="D2348" s="20"/>
      <c r="E2348" s="20"/>
      <c r="F2348" s="20"/>
      <c r="G2348" s="20"/>
      <c r="H2348" s="20"/>
      <c r="I2348" s="21"/>
    </row>
    <row r="2349" customFormat="false" ht="15" hidden="false" customHeight="false" outlineLevel="0" collapsed="false">
      <c r="A2349" s="30"/>
      <c r="B2349" s="21"/>
      <c r="C2349" s="21" t="str">
        <f aca="false">IF(B2349="","",IFERROR(INDEX(代理店一覧!$B$5:$B$204,MATCH(B2349,代理店一覧!$A$5:$A$204,0)),"※未登録のID"))</f>
        <v/>
      </c>
      <c r="D2349" s="20"/>
      <c r="E2349" s="20"/>
      <c r="F2349" s="20"/>
      <c r="G2349" s="20"/>
      <c r="H2349" s="20"/>
      <c r="I2349" s="21"/>
    </row>
    <row r="2350" customFormat="false" ht="15" hidden="false" customHeight="false" outlineLevel="0" collapsed="false">
      <c r="A2350" s="30"/>
      <c r="B2350" s="21"/>
      <c r="C2350" s="21" t="str">
        <f aca="false">IF(B2350="","",IFERROR(INDEX(代理店一覧!$B$5:$B$204,MATCH(B2350,代理店一覧!$A$5:$A$204,0)),"※未登録のID"))</f>
        <v/>
      </c>
      <c r="D2350" s="20"/>
      <c r="E2350" s="20"/>
      <c r="F2350" s="20"/>
      <c r="G2350" s="20"/>
      <c r="H2350" s="20"/>
      <c r="I2350" s="21"/>
    </row>
    <row r="2351" customFormat="false" ht="15" hidden="false" customHeight="false" outlineLevel="0" collapsed="false">
      <c r="A2351" s="30"/>
      <c r="B2351" s="21"/>
      <c r="C2351" s="21" t="str">
        <f aca="false">IF(B2351="","",IFERROR(INDEX(代理店一覧!$B$5:$B$204,MATCH(B2351,代理店一覧!$A$5:$A$204,0)),"※未登録のID"))</f>
        <v/>
      </c>
      <c r="D2351" s="20"/>
      <c r="E2351" s="20"/>
      <c r="F2351" s="20"/>
      <c r="G2351" s="20"/>
      <c r="H2351" s="20"/>
      <c r="I2351" s="21"/>
    </row>
    <row r="2352" customFormat="false" ht="15" hidden="false" customHeight="false" outlineLevel="0" collapsed="false">
      <c r="A2352" s="30"/>
      <c r="B2352" s="21"/>
      <c r="C2352" s="21" t="str">
        <f aca="false">IF(B2352="","",IFERROR(INDEX(代理店一覧!$B$5:$B$204,MATCH(B2352,代理店一覧!$A$5:$A$204,0)),"※未登録のID"))</f>
        <v/>
      </c>
      <c r="D2352" s="20"/>
      <c r="E2352" s="20"/>
      <c r="F2352" s="20"/>
      <c r="G2352" s="20"/>
      <c r="H2352" s="20"/>
      <c r="I2352" s="21"/>
    </row>
    <row r="2353" customFormat="false" ht="15" hidden="false" customHeight="false" outlineLevel="0" collapsed="false">
      <c r="A2353" s="30"/>
      <c r="B2353" s="21"/>
      <c r="C2353" s="21" t="str">
        <f aca="false">IF(B2353="","",IFERROR(INDEX(代理店一覧!$B$5:$B$204,MATCH(B2353,代理店一覧!$A$5:$A$204,0)),"※未登録のID"))</f>
        <v/>
      </c>
      <c r="D2353" s="20"/>
      <c r="E2353" s="20"/>
      <c r="F2353" s="20"/>
      <c r="G2353" s="20"/>
      <c r="H2353" s="20"/>
      <c r="I2353" s="21"/>
    </row>
    <row r="2354" customFormat="false" ht="15" hidden="false" customHeight="false" outlineLevel="0" collapsed="false">
      <c r="A2354" s="30"/>
      <c r="B2354" s="21"/>
      <c r="C2354" s="21" t="str">
        <f aca="false">IF(B2354="","",IFERROR(INDEX(代理店一覧!$B$5:$B$204,MATCH(B2354,代理店一覧!$A$5:$A$204,0)),"※未登録のID"))</f>
        <v/>
      </c>
      <c r="D2354" s="20"/>
      <c r="E2354" s="20"/>
      <c r="F2354" s="20"/>
      <c r="G2354" s="20"/>
      <c r="H2354" s="20"/>
      <c r="I2354" s="21"/>
    </row>
    <row r="2355" customFormat="false" ht="15" hidden="false" customHeight="false" outlineLevel="0" collapsed="false">
      <c r="A2355" s="30"/>
      <c r="B2355" s="21"/>
      <c r="C2355" s="21" t="str">
        <f aca="false">IF(B2355="","",IFERROR(INDEX(代理店一覧!$B$5:$B$204,MATCH(B2355,代理店一覧!$A$5:$A$204,0)),"※未登録のID"))</f>
        <v/>
      </c>
      <c r="D2355" s="20"/>
      <c r="E2355" s="20"/>
      <c r="F2355" s="20"/>
      <c r="G2355" s="20"/>
      <c r="H2355" s="20"/>
      <c r="I2355" s="21"/>
    </row>
    <row r="2356" customFormat="false" ht="15" hidden="false" customHeight="false" outlineLevel="0" collapsed="false">
      <c r="A2356" s="30"/>
      <c r="B2356" s="21"/>
      <c r="C2356" s="21" t="str">
        <f aca="false">IF(B2356="","",IFERROR(INDEX(代理店一覧!$B$5:$B$204,MATCH(B2356,代理店一覧!$A$5:$A$204,0)),"※未登録のID"))</f>
        <v/>
      </c>
      <c r="D2356" s="20"/>
      <c r="E2356" s="20"/>
      <c r="F2356" s="20"/>
      <c r="G2356" s="20"/>
      <c r="H2356" s="20"/>
      <c r="I2356" s="21"/>
    </row>
    <row r="2357" customFormat="false" ht="15" hidden="false" customHeight="false" outlineLevel="0" collapsed="false">
      <c r="A2357" s="30"/>
      <c r="B2357" s="21"/>
      <c r="C2357" s="21" t="str">
        <f aca="false">IF(B2357="","",IFERROR(INDEX(代理店一覧!$B$5:$B$204,MATCH(B2357,代理店一覧!$A$5:$A$204,0)),"※未登録のID"))</f>
        <v/>
      </c>
      <c r="D2357" s="20"/>
      <c r="E2357" s="20"/>
      <c r="F2357" s="20"/>
      <c r="G2357" s="20"/>
      <c r="H2357" s="20"/>
      <c r="I2357" s="21"/>
    </row>
    <row r="2358" customFormat="false" ht="15" hidden="false" customHeight="false" outlineLevel="0" collapsed="false">
      <c r="A2358" s="30"/>
      <c r="B2358" s="21"/>
      <c r="C2358" s="21" t="str">
        <f aca="false">IF(B2358="","",IFERROR(INDEX(代理店一覧!$B$5:$B$204,MATCH(B2358,代理店一覧!$A$5:$A$204,0)),"※未登録のID"))</f>
        <v/>
      </c>
      <c r="D2358" s="20"/>
      <c r="E2358" s="20"/>
      <c r="F2358" s="20"/>
      <c r="G2358" s="20"/>
      <c r="H2358" s="20"/>
      <c r="I2358" s="21"/>
    </row>
    <row r="2359" customFormat="false" ht="15" hidden="false" customHeight="false" outlineLevel="0" collapsed="false">
      <c r="A2359" s="30"/>
      <c r="B2359" s="21"/>
      <c r="C2359" s="21" t="str">
        <f aca="false">IF(B2359="","",IFERROR(INDEX(代理店一覧!$B$5:$B$204,MATCH(B2359,代理店一覧!$A$5:$A$204,0)),"※未登録のID"))</f>
        <v/>
      </c>
      <c r="D2359" s="20"/>
      <c r="E2359" s="20"/>
      <c r="F2359" s="20"/>
      <c r="G2359" s="20"/>
      <c r="H2359" s="20"/>
      <c r="I2359" s="21"/>
    </row>
    <row r="2360" customFormat="false" ht="15" hidden="false" customHeight="false" outlineLevel="0" collapsed="false">
      <c r="A2360" s="30"/>
      <c r="B2360" s="21"/>
      <c r="C2360" s="21" t="str">
        <f aca="false">IF(B2360="","",IFERROR(INDEX(代理店一覧!$B$5:$B$204,MATCH(B2360,代理店一覧!$A$5:$A$204,0)),"※未登録のID"))</f>
        <v/>
      </c>
      <c r="D2360" s="20"/>
      <c r="E2360" s="20"/>
      <c r="F2360" s="20"/>
      <c r="G2360" s="20"/>
      <c r="H2360" s="20"/>
      <c r="I2360" s="21"/>
    </row>
    <row r="2361" customFormat="false" ht="15" hidden="false" customHeight="false" outlineLevel="0" collapsed="false">
      <c r="A2361" s="30"/>
      <c r="B2361" s="21"/>
      <c r="C2361" s="21" t="str">
        <f aca="false">IF(B2361="","",IFERROR(INDEX(代理店一覧!$B$5:$B$204,MATCH(B2361,代理店一覧!$A$5:$A$204,0)),"※未登録のID"))</f>
        <v/>
      </c>
      <c r="D2361" s="20"/>
      <c r="E2361" s="20"/>
      <c r="F2361" s="20"/>
      <c r="G2361" s="20"/>
      <c r="H2361" s="20"/>
      <c r="I2361" s="21"/>
    </row>
    <row r="2362" customFormat="false" ht="15" hidden="false" customHeight="false" outlineLevel="0" collapsed="false">
      <c r="A2362" s="30"/>
      <c r="B2362" s="21"/>
      <c r="C2362" s="21" t="str">
        <f aca="false">IF(B2362="","",IFERROR(INDEX(代理店一覧!$B$5:$B$204,MATCH(B2362,代理店一覧!$A$5:$A$204,0)),"※未登録のID"))</f>
        <v/>
      </c>
      <c r="D2362" s="20"/>
      <c r="E2362" s="20"/>
      <c r="F2362" s="20"/>
      <c r="G2362" s="20"/>
      <c r="H2362" s="20"/>
      <c r="I2362" s="21"/>
    </row>
    <row r="2363" customFormat="false" ht="15" hidden="false" customHeight="false" outlineLevel="0" collapsed="false">
      <c r="A2363" s="30"/>
      <c r="B2363" s="21"/>
      <c r="C2363" s="21" t="str">
        <f aca="false">IF(B2363="","",IFERROR(INDEX(代理店一覧!$B$5:$B$204,MATCH(B2363,代理店一覧!$A$5:$A$204,0)),"※未登録のID"))</f>
        <v/>
      </c>
      <c r="D2363" s="20"/>
      <c r="E2363" s="20"/>
      <c r="F2363" s="20"/>
      <c r="G2363" s="20"/>
      <c r="H2363" s="20"/>
      <c r="I2363" s="21"/>
    </row>
    <row r="2364" customFormat="false" ht="15" hidden="false" customHeight="false" outlineLevel="0" collapsed="false">
      <c r="A2364" s="30"/>
      <c r="B2364" s="21"/>
      <c r="C2364" s="21" t="str">
        <f aca="false">IF(B2364="","",IFERROR(INDEX(代理店一覧!$B$5:$B$204,MATCH(B2364,代理店一覧!$A$5:$A$204,0)),"※未登録のID"))</f>
        <v/>
      </c>
      <c r="D2364" s="20"/>
      <c r="E2364" s="20"/>
      <c r="F2364" s="20"/>
      <c r="G2364" s="20"/>
      <c r="H2364" s="20"/>
      <c r="I2364" s="21"/>
    </row>
    <row r="2365" customFormat="false" ht="15" hidden="false" customHeight="false" outlineLevel="0" collapsed="false">
      <c r="A2365" s="30"/>
      <c r="B2365" s="21"/>
      <c r="C2365" s="21" t="str">
        <f aca="false">IF(B2365="","",IFERROR(INDEX(代理店一覧!$B$5:$B$204,MATCH(B2365,代理店一覧!$A$5:$A$204,0)),"※未登録のID"))</f>
        <v/>
      </c>
      <c r="D2365" s="20"/>
      <c r="E2365" s="20"/>
      <c r="F2365" s="20"/>
      <c r="G2365" s="20"/>
      <c r="H2365" s="20"/>
      <c r="I2365" s="21"/>
    </row>
    <row r="2366" customFormat="false" ht="15" hidden="false" customHeight="false" outlineLevel="0" collapsed="false">
      <c r="A2366" s="30"/>
      <c r="B2366" s="21"/>
      <c r="C2366" s="21" t="str">
        <f aca="false">IF(B2366="","",IFERROR(INDEX(代理店一覧!$B$5:$B$204,MATCH(B2366,代理店一覧!$A$5:$A$204,0)),"※未登録のID"))</f>
        <v/>
      </c>
      <c r="D2366" s="20"/>
      <c r="E2366" s="20"/>
      <c r="F2366" s="20"/>
      <c r="G2366" s="20"/>
      <c r="H2366" s="20"/>
      <c r="I2366" s="21"/>
    </row>
    <row r="2367" customFormat="false" ht="15" hidden="false" customHeight="false" outlineLevel="0" collapsed="false">
      <c r="A2367" s="30"/>
      <c r="B2367" s="21"/>
      <c r="C2367" s="21" t="str">
        <f aca="false">IF(B2367="","",IFERROR(INDEX(代理店一覧!$B$5:$B$204,MATCH(B2367,代理店一覧!$A$5:$A$204,0)),"※未登録のID"))</f>
        <v/>
      </c>
      <c r="D2367" s="20"/>
      <c r="E2367" s="20"/>
      <c r="F2367" s="20"/>
      <c r="G2367" s="20"/>
      <c r="H2367" s="20"/>
      <c r="I2367" s="21"/>
    </row>
    <row r="2368" customFormat="false" ht="15" hidden="false" customHeight="false" outlineLevel="0" collapsed="false">
      <c r="A2368" s="30"/>
      <c r="B2368" s="21"/>
      <c r="C2368" s="21" t="str">
        <f aca="false">IF(B2368="","",IFERROR(INDEX(代理店一覧!$B$5:$B$204,MATCH(B2368,代理店一覧!$A$5:$A$204,0)),"※未登録のID"))</f>
        <v/>
      </c>
      <c r="D2368" s="20"/>
      <c r="E2368" s="20"/>
      <c r="F2368" s="20"/>
      <c r="G2368" s="20"/>
      <c r="H2368" s="20"/>
      <c r="I2368" s="21"/>
    </row>
    <row r="2369" customFormat="false" ht="15" hidden="false" customHeight="false" outlineLevel="0" collapsed="false">
      <c r="A2369" s="30"/>
      <c r="B2369" s="21"/>
      <c r="C2369" s="21" t="str">
        <f aca="false">IF(B2369="","",IFERROR(INDEX(代理店一覧!$B$5:$B$204,MATCH(B2369,代理店一覧!$A$5:$A$204,0)),"※未登録のID"))</f>
        <v/>
      </c>
      <c r="D2369" s="20"/>
      <c r="E2369" s="20"/>
      <c r="F2369" s="20"/>
      <c r="G2369" s="20"/>
      <c r="H2369" s="20"/>
      <c r="I2369" s="21"/>
    </row>
    <row r="2370" customFormat="false" ht="15" hidden="false" customHeight="false" outlineLevel="0" collapsed="false">
      <c r="A2370" s="30"/>
      <c r="B2370" s="21"/>
      <c r="C2370" s="21" t="str">
        <f aca="false">IF(B2370="","",IFERROR(INDEX(代理店一覧!$B$5:$B$204,MATCH(B2370,代理店一覧!$A$5:$A$204,0)),"※未登録のID"))</f>
        <v/>
      </c>
      <c r="D2370" s="20"/>
      <c r="E2370" s="20"/>
      <c r="F2370" s="20"/>
      <c r="G2370" s="20"/>
      <c r="H2370" s="20"/>
      <c r="I2370" s="21"/>
    </row>
    <row r="2371" customFormat="false" ht="15" hidden="false" customHeight="false" outlineLevel="0" collapsed="false">
      <c r="A2371" s="30"/>
      <c r="B2371" s="21"/>
      <c r="C2371" s="21" t="str">
        <f aca="false">IF(B2371="","",IFERROR(INDEX(代理店一覧!$B$5:$B$204,MATCH(B2371,代理店一覧!$A$5:$A$204,0)),"※未登録のID"))</f>
        <v/>
      </c>
      <c r="D2371" s="20"/>
      <c r="E2371" s="20"/>
      <c r="F2371" s="20"/>
      <c r="G2371" s="20"/>
      <c r="H2371" s="20"/>
      <c r="I2371" s="21"/>
    </row>
    <row r="2372" customFormat="false" ht="15" hidden="false" customHeight="false" outlineLevel="0" collapsed="false">
      <c r="A2372" s="30"/>
      <c r="B2372" s="21"/>
      <c r="C2372" s="21" t="str">
        <f aca="false">IF(B2372="","",IFERROR(INDEX(代理店一覧!$B$5:$B$204,MATCH(B2372,代理店一覧!$A$5:$A$204,0)),"※未登録のID"))</f>
        <v/>
      </c>
      <c r="D2372" s="20"/>
      <c r="E2372" s="20"/>
      <c r="F2372" s="20"/>
      <c r="G2372" s="20"/>
      <c r="H2372" s="20"/>
      <c r="I2372" s="21"/>
    </row>
    <row r="2373" customFormat="false" ht="15" hidden="false" customHeight="false" outlineLevel="0" collapsed="false">
      <c r="A2373" s="30"/>
      <c r="B2373" s="21"/>
      <c r="C2373" s="21" t="str">
        <f aca="false">IF(B2373="","",IFERROR(INDEX(代理店一覧!$B$5:$B$204,MATCH(B2373,代理店一覧!$A$5:$A$204,0)),"※未登録のID"))</f>
        <v/>
      </c>
      <c r="D2373" s="20"/>
      <c r="E2373" s="20"/>
      <c r="F2373" s="20"/>
      <c r="G2373" s="20"/>
      <c r="H2373" s="20"/>
      <c r="I2373" s="21"/>
    </row>
    <row r="2374" customFormat="false" ht="15" hidden="false" customHeight="false" outlineLevel="0" collapsed="false">
      <c r="A2374" s="30"/>
      <c r="B2374" s="21"/>
      <c r="C2374" s="21" t="str">
        <f aca="false">IF(B2374="","",IFERROR(INDEX(代理店一覧!$B$5:$B$204,MATCH(B2374,代理店一覧!$A$5:$A$204,0)),"※未登録のID"))</f>
        <v/>
      </c>
      <c r="D2374" s="20"/>
      <c r="E2374" s="20"/>
      <c r="F2374" s="20"/>
      <c r="G2374" s="20"/>
      <c r="H2374" s="20"/>
      <c r="I2374" s="21"/>
    </row>
    <row r="2375" customFormat="false" ht="15" hidden="false" customHeight="false" outlineLevel="0" collapsed="false">
      <c r="A2375" s="30"/>
      <c r="B2375" s="21"/>
      <c r="C2375" s="21" t="str">
        <f aca="false">IF(B2375="","",IFERROR(INDEX(代理店一覧!$B$5:$B$204,MATCH(B2375,代理店一覧!$A$5:$A$204,0)),"※未登録のID"))</f>
        <v/>
      </c>
      <c r="D2375" s="20"/>
      <c r="E2375" s="20"/>
      <c r="F2375" s="20"/>
      <c r="G2375" s="20"/>
      <c r="H2375" s="20"/>
      <c r="I2375" s="21"/>
    </row>
    <row r="2376" customFormat="false" ht="15" hidden="false" customHeight="false" outlineLevel="0" collapsed="false">
      <c r="A2376" s="30"/>
      <c r="B2376" s="21"/>
      <c r="C2376" s="21" t="str">
        <f aca="false">IF(B2376="","",IFERROR(INDEX(代理店一覧!$B$5:$B$204,MATCH(B2376,代理店一覧!$A$5:$A$204,0)),"※未登録のID"))</f>
        <v/>
      </c>
      <c r="D2376" s="20"/>
      <c r="E2376" s="20"/>
      <c r="F2376" s="20"/>
      <c r="G2376" s="20"/>
      <c r="H2376" s="20"/>
      <c r="I2376" s="21"/>
    </row>
    <row r="2377" customFormat="false" ht="15" hidden="false" customHeight="false" outlineLevel="0" collapsed="false">
      <c r="A2377" s="30"/>
      <c r="B2377" s="21"/>
      <c r="C2377" s="21" t="str">
        <f aca="false">IF(B2377="","",IFERROR(INDEX(代理店一覧!$B$5:$B$204,MATCH(B2377,代理店一覧!$A$5:$A$204,0)),"※未登録のID"))</f>
        <v/>
      </c>
      <c r="D2377" s="20"/>
      <c r="E2377" s="20"/>
      <c r="F2377" s="20"/>
      <c r="G2377" s="20"/>
      <c r="H2377" s="20"/>
      <c r="I2377" s="21"/>
    </row>
    <row r="2378" customFormat="false" ht="15" hidden="false" customHeight="false" outlineLevel="0" collapsed="false">
      <c r="A2378" s="30"/>
      <c r="B2378" s="21"/>
      <c r="C2378" s="21" t="str">
        <f aca="false">IF(B2378="","",IFERROR(INDEX(代理店一覧!$B$5:$B$204,MATCH(B2378,代理店一覧!$A$5:$A$204,0)),"※未登録のID"))</f>
        <v/>
      </c>
      <c r="D2378" s="20"/>
      <c r="E2378" s="20"/>
      <c r="F2378" s="20"/>
      <c r="G2378" s="20"/>
      <c r="H2378" s="20"/>
      <c r="I2378" s="21"/>
    </row>
    <row r="2379" customFormat="false" ht="15" hidden="false" customHeight="false" outlineLevel="0" collapsed="false">
      <c r="A2379" s="30"/>
      <c r="B2379" s="21"/>
      <c r="C2379" s="21" t="str">
        <f aca="false">IF(B2379="","",IFERROR(INDEX(代理店一覧!$B$5:$B$204,MATCH(B2379,代理店一覧!$A$5:$A$204,0)),"※未登録のID"))</f>
        <v/>
      </c>
      <c r="D2379" s="20"/>
      <c r="E2379" s="20"/>
      <c r="F2379" s="20"/>
      <c r="G2379" s="20"/>
      <c r="H2379" s="20"/>
      <c r="I2379" s="21"/>
    </row>
    <row r="2380" customFormat="false" ht="15" hidden="false" customHeight="false" outlineLevel="0" collapsed="false">
      <c r="A2380" s="30"/>
      <c r="B2380" s="21"/>
      <c r="C2380" s="21" t="str">
        <f aca="false">IF(B2380="","",IFERROR(INDEX(代理店一覧!$B$5:$B$204,MATCH(B2380,代理店一覧!$A$5:$A$204,0)),"※未登録のID"))</f>
        <v/>
      </c>
      <c r="D2380" s="20"/>
      <c r="E2380" s="20"/>
      <c r="F2380" s="20"/>
      <c r="G2380" s="20"/>
      <c r="H2380" s="20"/>
      <c r="I2380" s="21"/>
    </row>
    <row r="2381" customFormat="false" ht="15" hidden="false" customHeight="false" outlineLevel="0" collapsed="false">
      <c r="A2381" s="30"/>
      <c r="B2381" s="21"/>
      <c r="C2381" s="21" t="str">
        <f aca="false">IF(B2381="","",IFERROR(INDEX(代理店一覧!$B$5:$B$204,MATCH(B2381,代理店一覧!$A$5:$A$204,0)),"※未登録のID"))</f>
        <v/>
      </c>
      <c r="D2381" s="20"/>
      <c r="E2381" s="20"/>
      <c r="F2381" s="20"/>
      <c r="G2381" s="20"/>
      <c r="H2381" s="20"/>
      <c r="I2381" s="21"/>
    </row>
    <row r="2382" customFormat="false" ht="15" hidden="false" customHeight="false" outlineLevel="0" collapsed="false">
      <c r="A2382" s="30"/>
      <c r="B2382" s="21"/>
      <c r="C2382" s="21" t="str">
        <f aca="false">IF(B2382="","",IFERROR(INDEX(代理店一覧!$B$5:$B$204,MATCH(B2382,代理店一覧!$A$5:$A$204,0)),"※未登録のID"))</f>
        <v/>
      </c>
      <c r="D2382" s="20"/>
      <c r="E2382" s="20"/>
      <c r="F2382" s="20"/>
      <c r="G2382" s="20"/>
      <c r="H2382" s="20"/>
      <c r="I2382" s="21"/>
    </row>
    <row r="2383" customFormat="false" ht="15" hidden="false" customHeight="false" outlineLevel="0" collapsed="false">
      <c r="A2383" s="30"/>
      <c r="B2383" s="21"/>
      <c r="C2383" s="21" t="str">
        <f aca="false">IF(B2383="","",IFERROR(INDEX(代理店一覧!$B$5:$B$204,MATCH(B2383,代理店一覧!$A$5:$A$204,0)),"※未登録のID"))</f>
        <v/>
      </c>
      <c r="D2383" s="20"/>
      <c r="E2383" s="20"/>
      <c r="F2383" s="20"/>
      <c r="G2383" s="20"/>
      <c r="H2383" s="20"/>
      <c r="I2383" s="21"/>
    </row>
    <row r="2384" customFormat="false" ht="15" hidden="false" customHeight="false" outlineLevel="0" collapsed="false">
      <c r="A2384" s="30"/>
      <c r="B2384" s="21"/>
      <c r="C2384" s="21" t="str">
        <f aca="false">IF(B2384="","",IFERROR(INDEX(代理店一覧!$B$5:$B$204,MATCH(B2384,代理店一覧!$A$5:$A$204,0)),"※未登録のID"))</f>
        <v/>
      </c>
      <c r="D2384" s="20"/>
      <c r="E2384" s="20"/>
      <c r="F2384" s="20"/>
      <c r="G2384" s="20"/>
      <c r="H2384" s="20"/>
      <c r="I2384" s="21"/>
    </row>
    <row r="2385" customFormat="false" ht="15" hidden="false" customHeight="false" outlineLevel="0" collapsed="false">
      <c r="A2385" s="30"/>
      <c r="B2385" s="21"/>
      <c r="C2385" s="21" t="str">
        <f aca="false">IF(B2385="","",IFERROR(INDEX(代理店一覧!$B$5:$B$204,MATCH(B2385,代理店一覧!$A$5:$A$204,0)),"※未登録のID"))</f>
        <v/>
      </c>
      <c r="D2385" s="20"/>
      <c r="E2385" s="20"/>
      <c r="F2385" s="20"/>
      <c r="G2385" s="20"/>
      <c r="H2385" s="20"/>
      <c r="I2385" s="21"/>
    </row>
    <row r="2386" customFormat="false" ht="15" hidden="false" customHeight="false" outlineLevel="0" collapsed="false">
      <c r="A2386" s="30"/>
      <c r="B2386" s="21"/>
      <c r="C2386" s="21" t="str">
        <f aca="false">IF(B2386="","",IFERROR(INDEX(代理店一覧!$B$5:$B$204,MATCH(B2386,代理店一覧!$A$5:$A$204,0)),"※未登録のID"))</f>
        <v/>
      </c>
      <c r="D2386" s="20"/>
      <c r="E2386" s="20"/>
      <c r="F2386" s="20"/>
      <c r="G2386" s="20"/>
      <c r="H2386" s="20"/>
      <c r="I2386" s="21"/>
    </row>
    <row r="2387" customFormat="false" ht="15" hidden="false" customHeight="false" outlineLevel="0" collapsed="false">
      <c r="A2387" s="30"/>
      <c r="B2387" s="21"/>
      <c r="C2387" s="21" t="str">
        <f aca="false">IF(B2387="","",IFERROR(INDEX(代理店一覧!$B$5:$B$204,MATCH(B2387,代理店一覧!$A$5:$A$204,0)),"※未登録のID"))</f>
        <v/>
      </c>
      <c r="D2387" s="20"/>
      <c r="E2387" s="20"/>
      <c r="F2387" s="20"/>
      <c r="G2387" s="20"/>
      <c r="H2387" s="20"/>
      <c r="I2387" s="21"/>
    </row>
    <row r="2388" customFormat="false" ht="15" hidden="false" customHeight="false" outlineLevel="0" collapsed="false">
      <c r="A2388" s="30"/>
      <c r="B2388" s="21"/>
      <c r="C2388" s="21" t="str">
        <f aca="false">IF(B2388="","",IFERROR(INDEX(代理店一覧!$B$5:$B$204,MATCH(B2388,代理店一覧!$A$5:$A$204,0)),"※未登録のID"))</f>
        <v/>
      </c>
      <c r="D2388" s="20"/>
      <c r="E2388" s="20"/>
      <c r="F2388" s="20"/>
      <c r="G2388" s="20"/>
      <c r="H2388" s="20"/>
      <c r="I2388" s="21"/>
    </row>
    <row r="2389" customFormat="false" ht="15" hidden="false" customHeight="false" outlineLevel="0" collapsed="false">
      <c r="A2389" s="30"/>
      <c r="B2389" s="21"/>
      <c r="C2389" s="21" t="str">
        <f aca="false">IF(B2389="","",IFERROR(INDEX(代理店一覧!$B$5:$B$204,MATCH(B2389,代理店一覧!$A$5:$A$204,0)),"※未登録のID"))</f>
        <v/>
      </c>
      <c r="D2389" s="20"/>
      <c r="E2389" s="20"/>
      <c r="F2389" s="20"/>
      <c r="G2389" s="20"/>
      <c r="H2389" s="20"/>
      <c r="I2389" s="21"/>
    </row>
    <row r="2390" customFormat="false" ht="15" hidden="false" customHeight="false" outlineLevel="0" collapsed="false">
      <c r="A2390" s="30"/>
      <c r="B2390" s="21"/>
      <c r="C2390" s="21" t="str">
        <f aca="false">IF(B2390="","",IFERROR(INDEX(代理店一覧!$B$5:$B$204,MATCH(B2390,代理店一覧!$A$5:$A$204,0)),"※未登録のID"))</f>
        <v/>
      </c>
      <c r="D2390" s="20"/>
      <c r="E2390" s="20"/>
      <c r="F2390" s="20"/>
      <c r="G2390" s="20"/>
      <c r="H2390" s="20"/>
      <c r="I2390" s="21"/>
    </row>
    <row r="2391" customFormat="false" ht="15" hidden="false" customHeight="false" outlineLevel="0" collapsed="false">
      <c r="A2391" s="30"/>
      <c r="B2391" s="21"/>
      <c r="C2391" s="21" t="str">
        <f aca="false">IF(B2391="","",IFERROR(INDEX(代理店一覧!$B$5:$B$204,MATCH(B2391,代理店一覧!$A$5:$A$204,0)),"※未登録のID"))</f>
        <v/>
      </c>
      <c r="D2391" s="20"/>
      <c r="E2391" s="20"/>
      <c r="F2391" s="20"/>
      <c r="G2391" s="20"/>
      <c r="H2391" s="20"/>
      <c r="I2391" s="21"/>
    </row>
    <row r="2392" customFormat="false" ht="15" hidden="false" customHeight="false" outlineLevel="0" collapsed="false">
      <c r="A2392" s="30"/>
      <c r="B2392" s="21"/>
      <c r="C2392" s="21" t="str">
        <f aca="false">IF(B2392="","",IFERROR(INDEX(代理店一覧!$B$5:$B$204,MATCH(B2392,代理店一覧!$A$5:$A$204,0)),"※未登録のID"))</f>
        <v/>
      </c>
      <c r="D2392" s="20"/>
      <c r="E2392" s="20"/>
      <c r="F2392" s="20"/>
      <c r="G2392" s="20"/>
      <c r="H2392" s="20"/>
      <c r="I2392" s="21"/>
    </row>
    <row r="2393" customFormat="false" ht="15" hidden="false" customHeight="false" outlineLevel="0" collapsed="false">
      <c r="A2393" s="30"/>
      <c r="B2393" s="21"/>
      <c r="C2393" s="21" t="str">
        <f aca="false">IF(B2393="","",IFERROR(INDEX(代理店一覧!$B$5:$B$204,MATCH(B2393,代理店一覧!$A$5:$A$204,0)),"※未登録のID"))</f>
        <v/>
      </c>
      <c r="D2393" s="20"/>
      <c r="E2393" s="20"/>
      <c r="F2393" s="20"/>
      <c r="G2393" s="20"/>
      <c r="H2393" s="20"/>
      <c r="I2393" s="21"/>
    </row>
    <row r="2394" customFormat="false" ht="15" hidden="false" customHeight="false" outlineLevel="0" collapsed="false">
      <c r="A2394" s="30"/>
      <c r="B2394" s="21"/>
      <c r="C2394" s="21" t="str">
        <f aca="false">IF(B2394="","",IFERROR(INDEX(代理店一覧!$B$5:$B$204,MATCH(B2394,代理店一覧!$A$5:$A$204,0)),"※未登録のID"))</f>
        <v/>
      </c>
      <c r="D2394" s="20"/>
      <c r="E2394" s="20"/>
      <c r="F2394" s="20"/>
      <c r="G2394" s="20"/>
      <c r="H2394" s="20"/>
      <c r="I2394" s="21"/>
    </row>
    <row r="2395" customFormat="false" ht="15" hidden="false" customHeight="false" outlineLevel="0" collapsed="false">
      <c r="A2395" s="30"/>
      <c r="B2395" s="21"/>
      <c r="C2395" s="21" t="str">
        <f aca="false">IF(B2395="","",IFERROR(INDEX(代理店一覧!$B$5:$B$204,MATCH(B2395,代理店一覧!$A$5:$A$204,0)),"※未登録のID"))</f>
        <v/>
      </c>
      <c r="D2395" s="20"/>
      <c r="E2395" s="20"/>
      <c r="F2395" s="20"/>
      <c r="G2395" s="20"/>
      <c r="H2395" s="20"/>
      <c r="I2395" s="21"/>
    </row>
    <row r="2396" customFormat="false" ht="15" hidden="false" customHeight="false" outlineLevel="0" collapsed="false">
      <c r="A2396" s="30"/>
      <c r="B2396" s="21"/>
      <c r="C2396" s="21" t="str">
        <f aca="false">IF(B2396="","",IFERROR(INDEX(代理店一覧!$B$5:$B$204,MATCH(B2396,代理店一覧!$A$5:$A$204,0)),"※未登録のID"))</f>
        <v/>
      </c>
      <c r="D2396" s="20"/>
      <c r="E2396" s="20"/>
      <c r="F2396" s="20"/>
      <c r="G2396" s="20"/>
      <c r="H2396" s="20"/>
      <c r="I2396" s="21"/>
    </row>
    <row r="2397" customFormat="false" ht="15" hidden="false" customHeight="false" outlineLevel="0" collapsed="false">
      <c r="A2397" s="30"/>
      <c r="B2397" s="21"/>
      <c r="C2397" s="21" t="str">
        <f aca="false">IF(B2397="","",IFERROR(INDEX(代理店一覧!$B$5:$B$204,MATCH(B2397,代理店一覧!$A$5:$A$204,0)),"※未登録のID"))</f>
        <v/>
      </c>
      <c r="D2397" s="20"/>
      <c r="E2397" s="20"/>
      <c r="F2397" s="20"/>
      <c r="G2397" s="20"/>
      <c r="H2397" s="20"/>
      <c r="I2397" s="21"/>
    </row>
    <row r="2398" customFormat="false" ht="15" hidden="false" customHeight="false" outlineLevel="0" collapsed="false">
      <c r="A2398" s="30"/>
      <c r="B2398" s="21"/>
      <c r="C2398" s="21" t="str">
        <f aca="false">IF(B2398="","",IFERROR(INDEX(代理店一覧!$B$5:$B$204,MATCH(B2398,代理店一覧!$A$5:$A$204,0)),"※未登録のID"))</f>
        <v/>
      </c>
      <c r="D2398" s="20"/>
      <c r="E2398" s="20"/>
      <c r="F2398" s="20"/>
      <c r="G2398" s="20"/>
      <c r="H2398" s="20"/>
      <c r="I2398" s="21"/>
    </row>
    <row r="2399" customFormat="false" ht="15" hidden="false" customHeight="false" outlineLevel="0" collapsed="false">
      <c r="A2399" s="30"/>
      <c r="B2399" s="21"/>
      <c r="C2399" s="21" t="str">
        <f aca="false">IF(B2399="","",IFERROR(INDEX(代理店一覧!$B$5:$B$204,MATCH(B2399,代理店一覧!$A$5:$A$204,0)),"※未登録のID"))</f>
        <v/>
      </c>
      <c r="D2399" s="20"/>
      <c r="E2399" s="20"/>
      <c r="F2399" s="20"/>
      <c r="G2399" s="20"/>
      <c r="H2399" s="20"/>
      <c r="I2399" s="21"/>
    </row>
    <row r="2400" customFormat="false" ht="15" hidden="false" customHeight="false" outlineLevel="0" collapsed="false">
      <c r="A2400" s="30"/>
      <c r="B2400" s="21"/>
      <c r="C2400" s="21" t="str">
        <f aca="false">IF(B2400="","",IFERROR(INDEX(代理店一覧!$B$5:$B$204,MATCH(B2400,代理店一覧!$A$5:$A$204,0)),"※未登録のID"))</f>
        <v/>
      </c>
      <c r="D2400" s="20"/>
      <c r="E2400" s="20"/>
      <c r="F2400" s="20"/>
      <c r="G2400" s="20"/>
      <c r="H2400" s="20"/>
      <c r="I2400" s="21"/>
    </row>
    <row r="2401" customFormat="false" ht="15" hidden="false" customHeight="false" outlineLevel="0" collapsed="false">
      <c r="A2401" s="30"/>
      <c r="B2401" s="21"/>
      <c r="C2401" s="21" t="str">
        <f aca="false">IF(B2401="","",IFERROR(INDEX(代理店一覧!$B$5:$B$204,MATCH(B2401,代理店一覧!$A$5:$A$204,0)),"※未登録のID"))</f>
        <v/>
      </c>
      <c r="D2401" s="20"/>
      <c r="E2401" s="20"/>
      <c r="F2401" s="20"/>
      <c r="G2401" s="20"/>
      <c r="H2401" s="20"/>
      <c r="I2401" s="21"/>
    </row>
    <row r="2402" customFormat="false" ht="15" hidden="false" customHeight="false" outlineLevel="0" collapsed="false">
      <c r="A2402" s="30"/>
      <c r="B2402" s="21"/>
      <c r="C2402" s="21" t="str">
        <f aca="false">IF(B2402="","",IFERROR(INDEX(代理店一覧!$B$5:$B$204,MATCH(B2402,代理店一覧!$A$5:$A$204,0)),"※未登録のID"))</f>
        <v/>
      </c>
      <c r="D2402" s="20"/>
      <c r="E2402" s="20"/>
      <c r="F2402" s="20"/>
      <c r="G2402" s="20"/>
      <c r="H2402" s="20"/>
      <c r="I2402" s="21"/>
    </row>
    <row r="2403" customFormat="false" ht="15" hidden="false" customHeight="false" outlineLevel="0" collapsed="false">
      <c r="A2403" s="30"/>
      <c r="B2403" s="21"/>
      <c r="C2403" s="21" t="str">
        <f aca="false">IF(B2403="","",IFERROR(INDEX(代理店一覧!$B$5:$B$204,MATCH(B2403,代理店一覧!$A$5:$A$204,0)),"※未登録のID"))</f>
        <v/>
      </c>
      <c r="D2403" s="20"/>
      <c r="E2403" s="20"/>
      <c r="F2403" s="20"/>
      <c r="G2403" s="20"/>
      <c r="H2403" s="20"/>
      <c r="I2403" s="21"/>
    </row>
    <row r="2404" customFormat="false" ht="15" hidden="false" customHeight="false" outlineLevel="0" collapsed="false">
      <c r="A2404" s="30"/>
      <c r="B2404" s="21"/>
      <c r="C2404" s="21" t="str">
        <f aca="false">IF(B2404="","",IFERROR(INDEX(代理店一覧!$B$5:$B$204,MATCH(B2404,代理店一覧!$A$5:$A$204,0)),"※未登録のID"))</f>
        <v/>
      </c>
      <c r="D2404" s="20"/>
      <c r="E2404" s="20"/>
      <c r="F2404" s="20"/>
      <c r="G2404" s="20"/>
      <c r="H2404" s="20"/>
      <c r="I2404" s="21"/>
    </row>
    <row r="2405" customFormat="false" ht="15" hidden="false" customHeight="false" outlineLevel="0" collapsed="false">
      <c r="A2405" s="30"/>
      <c r="B2405" s="21"/>
      <c r="C2405" s="21" t="str">
        <f aca="false">IF(B2405="","",IFERROR(INDEX(代理店一覧!$B$5:$B$204,MATCH(B2405,代理店一覧!$A$5:$A$204,0)),"※未登録のID"))</f>
        <v/>
      </c>
      <c r="D2405" s="20"/>
      <c r="E2405" s="20"/>
      <c r="F2405" s="20"/>
      <c r="G2405" s="20"/>
      <c r="H2405" s="20"/>
      <c r="I2405" s="21"/>
    </row>
    <row r="2406" customFormat="false" ht="15" hidden="false" customHeight="false" outlineLevel="0" collapsed="false">
      <c r="A2406" s="30"/>
      <c r="B2406" s="21"/>
      <c r="C2406" s="21" t="str">
        <f aca="false">IF(B2406="","",IFERROR(INDEX(代理店一覧!$B$5:$B$204,MATCH(B2406,代理店一覧!$A$5:$A$204,0)),"※未登録のID"))</f>
        <v/>
      </c>
      <c r="D2406" s="20"/>
      <c r="E2406" s="20"/>
      <c r="F2406" s="20"/>
      <c r="G2406" s="20"/>
      <c r="H2406" s="20"/>
      <c r="I2406" s="21"/>
    </row>
    <row r="2407" customFormat="false" ht="15" hidden="false" customHeight="false" outlineLevel="0" collapsed="false">
      <c r="A2407" s="30"/>
      <c r="B2407" s="21"/>
      <c r="C2407" s="21" t="str">
        <f aca="false">IF(B2407="","",IFERROR(INDEX(代理店一覧!$B$5:$B$204,MATCH(B2407,代理店一覧!$A$5:$A$204,0)),"※未登録のID"))</f>
        <v/>
      </c>
      <c r="D2407" s="20"/>
      <c r="E2407" s="20"/>
      <c r="F2407" s="20"/>
      <c r="G2407" s="20"/>
      <c r="H2407" s="20"/>
      <c r="I2407" s="21"/>
    </row>
    <row r="2408" customFormat="false" ht="15" hidden="false" customHeight="false" outlineLevel="0" collapsed="false">
      <c r="A2408" s="30"/>
      <c r="B2408" s="21"/>
      <c r="C2408" s="21" t="str">
        <f aca="false">IF(B2408="","",IFERROR(INDEX(代理店一覧!$B$5:$B$204,MATCH(B2408,代理店一覧!$A$5:$A$204,0)),"※未登録のID"))</f>
        <v/>
      </c>
      <c r="D2408" s="20"/>
      <c r="E2408" s="20"/>
      <c r="F2408" s="20"/>
      <c r="G2408" s="20"/>
      <c r="H2408" s="20"/>
      <c r="I2408" s="21"/>
    </row>
    <row r="2409" customFormat="false" ht="15" hidden="false" customHeight="false" outlineLevel="0" collapsed="false">
      <c r="A2409" s="30"/>
      <c r="B2409" s="21"/>
      <c r="C2409" s="21" t="str">
        <f aca="false">IF(B2409="","",IFERROR(INDEX(代理店一覧!$B$5:$B$204,MATCH(B2409,代理店一覧!$A$5:$A$204,0)),"※未登録のID"))</f>
        <v/>
      </c>
      <c r="D2409" s="20"/>
      <c r="E2409" s="20"/>
      <c r="F2409" s="20"/>
      <c r="G2409" s="20"/>
      <c r="H2409" s="20"/>
      <c r="I2409" s="21"/>
    </row>
    <row r="2410" customFormat="false" ht="15" hidden="false" customHeight="false" outlineLevel="0" collapsed="false">
      <c r="A2410" s="30"/>
      <c r="B2410" s="21"/>
      <c r="C2410" s="21" t="str">
        <f aca="false">IF(B2410="","",IFERROR(INDEX(代理店一覧!$B$5:$B$204,MATCH(B2410,代理店一覧!$A$5:$A$204,0)),"※未登録のID"))</f>
        <v/>
      </c>
      <c r="D2410" s="20"/>
      <c r="E2410" s="20"/>
      <c r="F2410" s="20"/>
      <c r="G2410" s="20"/>
      <c r="H2410" s="20"/>
      <c r="I2410" s="21"/>
    </row>
    <row r="2411" customFormat="false" ht="15" hidden="false" customHeight="false" outlineLevel="0" collapsed="false">
      <c r="A2411" s="30"/>
      <c r="B2411" s="21"/>
      <c r="C2411" s="21" t="str">
        <f aca="false">IF(B2411="","",IFERROR(INDEX(代理店一覧!$B$5:$B$204,MATCH(B2411,代理店一覧!$A$5:$A$204,0)),"※未登録のID"))</f>
        <v/>
      </c>
      <c r="D2411" s="20"/>
      <c r="E2411" s="20"/>
      <c r="F2411" s="20"/>
      <c r="G2411" s="20"/>
      <c r="H2411" s="20"/>
      <c r="I2411" s="21"/>
    </row>
    <row r="2412" customFormat="false" ht="15" hidden="false" customHeight="false" outlineLevel="0" collapsed="false">
      <c r="A2412" s="30"/>
      <c r="B2412" s="21"/>
      <c r="C2412" s="21" t="str">
        <f aca="false">IF(B2412="","",IFERROR(INDEX(代理店一覧!$B$5:$B$204,MATCH(B2412,代理店一覧!$A$5:$A$204,0)),"※未登録のID"))</f>
        <v/>
      </c>
      <c r="D2412" s="20"/>
      <c r="E2412" s="20"/>
      <c r="F2412" s="20"/>
      <c r="G2412" s="20"/>
      <c r="H2412" s="20"/>
      <c r="I2412" s="21"/>
    </row>
    <row r="2413" customFormat="false" ht="15" hidden="false" customHeight="false" outlineLevel="0" collapsed="false">
      <c r="A2413" s="30"/>
      <c r="B2413" s="21"/>
      <c r="C2413" s="21" t="str">
        <f aca="false">IF(B2413="","",IFERROR(INDEX(代理店一覧!$B$5:$B$204,MATCH(B2413,代理店一覧!$A$5:$A$204,0)),"※未登録のID"))</f>
        <v/>
      </c>
      <c r="D2413" s="20"/>
      <c r="E2413" s="20"/>
      <c r="F2413" s="20"/>
      <c r="G2413" s="20"/>
      <c r="H2413" s="20"/>
      <c r="I2413" s="21"/>
    </row>
    <row r="2414" customFormat="false" ht="15" hidden="false" customHeight="false" outlineLevel="0" collapsed="false">
      <c r="A2414" s="30"/>
      <c r="B2414" s="21"/>
      <c r="C2414" s="21" t="str">
        <f aca="false">IF(B2414="","",IFERROR(INDEX(代理店一覧!$B$5:$B$204,MATCH(B2414,代理店一覧!$A$5:$A$204,0)),"※未登録のID"))</f>
        <v/>
      </c>
      <c r="D2414" s="20"/>
      <c r="E2414" s="20"/>
      <c r="F2414" s="20"/>
      <c r="G2414" s="20"/>
      <c r="H2414" s="20"/>
      <c r="I2414" s="21"/>
    </row>
    <row r="2415" customFormat="false" ht="15" hidden="false" customHeight="false" outlineLevel="0" collapsed="false">
      <c r="A2415" s="30"/>
      <c r="B2415" s="21"/>
      <c r="C2415" s="21" t="str">
        <f aca="false">IF(B2415="","",IFERROR(INDEX(代理店一覧!$B$5:$B$204,MATCH(B2415,代理店一覧!$A$5:$A$204,0)),"※未登録のID"))</f>
        <v/>
      </c>
      <c r="D2415" s="20"/>
      <c r="E2415" s="20"/>
      <c r="F2415" s="20"/>
      <c r="G2415" s="20"/>
      <c r="H2415" s="20"/>
      <c r="I2415" s="21"/>
    </row>
    <row r="2416" customFormat="false" ht="15" hidden="false" customHeight="false" outlineLevel="0" collapsed="false">
      <c r="A2416" s="30"/>
      <c r="B2416" s="21"/>
      <c r="C2416" s="21" t="str">
        <f aca="false">IF(B2416="","",IFERROR(INDEX(代理店一覧!$B$5:$B$204,MATCH(B2416,代理店一覧!$A$5:$A$204,0)),"※未登録のID"))</f>
        <v/>
      </c>
      <c r="D2416" s="20"/>
      <c r="E2416" s="20"/>
      <c r="F2416" s="20"/>
      <c r="G2416" s="20"/>
      <c r="H2416" s="20"/>
      <c r="I2416" s="21"/>
    </row>
    <row r="2417" customFormat="false" ht="15" hidden="false" customHeight="false" outlineLevel="0" collapsed="false">
      <c r="A2417" s="30"/>
      <c r="B2417" s="21"/>
      <c r="C2417" s="21" t="str">
        <f aca="false">IF(B2417="","",IFERROR(INDEX(代理店一覧!$B$5:$B$204,MATCH(B2417,代理店一覧!$A$5:$A$204,0)),"※未登録のID"))</f>
        <v/>
      </c>
      <c r="D2417" s="20"/>
      <c r="E2417" s="20"/>
      <c r="F2417" s="20"/>
      <c r="G2417" s="20"/>
      <c r="H2417" s="20"/>
      <c r="I2417" s="21"/>
    </row>
    <row r="2418" customFormat="false" ht="15" hidden="false" customHeight="false" outlineLevel="0" collapsed="false">
      <c r="A2418" s="30"/>
      <c r="B2418" s="21"/>
      <c r="C2418" s="21" t="str">
        <f aca="false">IF(B2418="","",IFERROR(INDEX(代理店一覧!$B$5:$B$204,MATCH(B2418,代理店一覧!$A$5:$A$204,0)),"※未登録のID"))</f>
        <v/>
      </c>
      <c r="D2418" s="20"/>
      <c r="E2418" s="20"/>
      <c r="F2418" s="20"/>
      <c r="G2418" s="20"/>
      <c r="H2418" s="20"/>
      <c r="I2418" s="21"/>
    </row>
    <row r="2419" customFormat="false" ht="15" hidden="false" customHeight="false" outlineLevel="0" collapsed="false">
      <c r="A2419" s="30"/>
      <c r="B2419" s="21"/>
      <c r="C2419" s="21" t="str">
        <f aca="false">IF(B2419="","",IFERROR(INDEX(代理店一覧!$B$5:$B$204,MATCH(B2419,代理店一覧!$A$5:$A$204,0)),"※未登録のID"))</f>
        <v/>
      </c>
      <c r="D2419" s="20"/>
      <c r="E2419" s="20"/>
      <c r="F2419" s="20"/>
      <c r="G2419" s="20"/>
      <c r="H2419" s="20"/>
      <c r="I2419" s="21"/>
    </row>
    <row r="2420" customFormat="false" ht="15" hidden="false" customHeight="false" outlineLevel="0" collapsed="false">
      <c r="A2420" s="30"/>
      <c r="B2420" s="21"/>
      <c r="C2420" s="21" t="str">
        <f aca="false">IF(B2420="","",IFERROR(INDEX(代理店一覧!$B$5:$B$204,MATCH(B2420,代理店一覧!$A$5:$A$204,0)),"※未登録のID"))</f>
        <v/>
      </c>
      <c r="D2420" s="20"/>
      <c r="E2420" s="20"/>
      <c r="F2420" s="20"/>
      <c r="G2420" s="20"/>
      <c r="H2420" s="20"/>
      <c r="I2420" s="21"/>
    </row>
    <row r="2421" customFormat="false" ht="15" hidden="false" customHeight="false" outlineLevel="0" collapsed="false">
      <c r="A2421" s="30"/>
      <c r="B2421" s="21"/>
      <c r="C2421" s="21" t="str">
        <f aca="false">IF(B2421="","",IFERROR(INDEX(代理店一覧!$B$5:$B$204,MATCH(B2421,代理店一覧!$A$5:$A$204,0)),"※未登録のID"))</f>
        <v/>
      </c>
      <c r="D2421" s="20"/>
      <c r="E2421" s="20"/>
      <c r="F2421" s="20"/>
      <c r="G2421" s="20"/>
      <c r="H2421" s="20"/>
      <c r="I2421" s="21"/>
    </row>
    <row r="2422" customFormat="false" ht="15" hidden="false" customHeight="false" outlineLevel="0" collapsed="false">
      <c r="A2422" s="30"/>
      <c r="B2422" s="21"/>
      <c r="C2422" s="21" t="str">
        <f aca="false">IF(B2422="","",IFERROR(INDEX(代理店一覧!$B$5:$B$204,MATCH(B2422,代理店一覧!$A$5:$A$204,0)),"※未登録のID"))</f>
        <v/>
      </c>
      <c r="D2422" s="20"/>
      <c r="E2422" s="20"/>
      <c r="F2422" s="20"/>
      <c r="G2422" s="20"/>
      <c r="H2422" s="20"/>
      <c r="I2422" s="21"/>
    </row>
    <row r="2423" customFormat="false" ht="15" hidden="false" customHeight="false" outlineLevel="0" collapsed="false">
      <c r="A2423" s="30"/>
      <c r="B2423" s="21"/>
      <c r="C2423" s="21" t="str">
        <f aca="false">IF(B2423="","",IFERROR(INDEX(代理店一覧!$B$5:$B$204,MATCH(B2423,代理店一覧!$A$5:$A$204,0)),"※未登録のID"))</f>
        <v/>
      </c>
      <c r="D2423" s="20"/>
      <c r="E2423" s="20"/>
      <c r="F2423" s="20"/>
      <c r="G2423" s="20"/>
      <c r="H2423" s="20"/>
      <c r="I2423" s="21"/>
    </row>
    <row r="2424" customFormat="false" ht="15" hidden="false" customHeight="false" outlineLevel="0" collapsed="false">
      <c r="A2424" s="30"/>
      <c r="B2424" s="21"/>
      <c r="C2424" s="21" t="str">
        <f aca="false">IF(B2424="","",IFERROR(INDEX(代理店一覧!$B$5:$B$204,MATCH(B2424,代理店一覧!$A$5:$A$204,0)),"※未登録のID"))</f>
        <v/>
      </c>
      <c r="D2424" s="20"/>
      <c r="E2424" s="20"/>
      <c r="F2424" s="20"/>
      <c r="G2424" s="20"/>
      <c r="H2424" s="20"/>
      <c r="I2424" s="21"/>
    </row>
    <row r="2425" customFormat="false" ht="15" hidden="false" customHeight="false" outlineLevel="0" collapsed="false">
      <c r="A2425" s="30"/>
      <c r="B2425" s="21"/>
      <c r="C2425" s="21" t="str">
        <f aca="false">IF(B2425="","",IFERROR(INDEX(代理店一覧!$B$5:$B$204,MATCH(B2425,代理店一覧!$A$5:$A$204,0)),"※未登録のID"))</f>
        <v/>
      </c>
      <c r="D2425" s="20"/>
      <c r="E2425" s="20"/>
      <c r="F2425" s="20"/>
      <c r="G2425" s="20"/>
      <c r="H2425" s="20"/>
      <c r="I2425" s="21"/>
    </row>
    <row r="2426" customFormat="false" ht="15" hidden="false" customHeight="false" outlineLevel="0" collapsed="false">
      <c r="A2426" s="30"/>
      <c r="B2426" s="21"/>
      <c r="C2426" s="21" t="str">
        <f aca="false">IF(B2426="","",IFERROR(INDEX(代理店一覧!$B$5:$B$204,MATCH(B2426,代理店一覧!$A$5:$A$204,0)),"※未登録のID"))</f>
        <v/>
      </c>
      <c r="D2426" s="20"/>
      <c r="E2426" s="20"/>
      <c r="F2426" s="20"/>
      <c r="G2426" s="20"/>
      <c r="H2426" s="20"/>
      <c r="I2426" s="21"/>
    </row>
    <row r="2427" customFormat="false" ht="15" hidden="false" customHeight="false" outlineLevel="0" collapsed="false">
      <c r="A2427" s="30"/>
      <c r="B2427" s="21"/>
      <c r="C2427" s="21" t="str">
        <f aca="false">IF(B2427="","",IFERROR(INDEX(代理店一覧!$B$5:$B$204,MATCH(B2427,代理店一覧!$A$5:$A$204,0)),"※未登録のID"))</f>
        <v/>
      </c>
      <c r="D2427" s="20"/>
      <c r="E2427" s="20"/>
      <c r="F2427" s="20"/>
      <c r="G2427" s="20"/>
      <c r="H2427" s="20"/>
      <c r="I2427" s="21"/>
    </row>
    <row r="2428" customFormat="false" ht="15" hidden="false" customHeight="false" outlineLevel="0" collapsed="false">
      <c r="A2428" s="30"/>
      <c r="B2428" s="21"/>
      <c r="C2428" s="21" t="str">
        <f aca="false">IF(B2428="","",IFERROR(INDEX(代理店一覧!$B$5:$B$204,MATCH(B2428,代理店一覧!$A$5:$A$204,0)),"※未登録のID"))</f>
        <v/>
      </c>
      <c r="D2428" s="20"/>
      <c r="E2428" s="20"/>
      <c r="F2428" s="20"/>
      <c r="G2428" s="20"/>
      <c r="H2428" s="20"/>
      <c r="I2428" s="21"/>
    </row>
    <row r="2429" customFormat="false" ht="15" hidden="false" customHeight="false" outlineLevel="0" collapsed="false">
      <c r="A2429" s="30"/>
      <c r="B2429" s="21"/>
      <c r="C2429" s="21" t="str">
        <f aca="false">IF(B2429="","",IFERROR(INDEX(代理店一覧!$B$5:$B$204,MATCH(B2429,代理店一覧!$A$5:$A$204,0)),"※未登録のID"))</f>
        <v/>
      </c>
      <c r="D2429" s="20"/>
      <c r="E2429" s="20"/>
      <c r="F2429" s="20"/>
      <c r="G2429" s="20"/>
      <c r="H2429" s="20"/>
      <c r="I2429" s="21"/>
    </row>
    <row r="2430" customFormat="false" ht="15" hidden="false" customHeight="false" outlineLevel="0" collapsed="false">
      <c r="A2430" s="30"/>
      <c r="B2430" s="21"/>
      <c r="C2430" s="21" t="str">
        <f aca="false">IF(B2430="","",IFERROR(INDEX(代理店一覧!$B$5:$B$204,MATCH(B2430,代理店一覧!$A$5:$A$204,0)),"※未登録のID"))</f>
        <v/>
      </c>
      <c r="D2430" s="20"/>
      <c r="E2430" s="20"/>
      <c r="F2430" s="20"/>
      <c r="G2430" s="20"/>
      <c r="H2430" s="20"/>
      <c r="I2430" s="21"/>
    </row>
    <row r="2431" customFormat="false" ht="15" hidden="false" customHeight="false" outlineLevel="0" collapsed="false">
      <c r="A2431" s="30"/>
      <c r="B2431" s="21"/>
      <c r="C2431" s="21" t="str">
        <f aca="false">IF(B2431="","",IFERROR(INDEX(代理店一覧!$B$5:$B$204,MATCH(B2431,代理店一覧!$A$5:$A$204,0)),"※未登録のID"))</f>
        <v/>
      </c>
      <c r="D2431" s="20"/>
      <c r="E2431" s="20"/>
      <c r="F2431" s="20"/>
      <c r="G2431" s="20"/>
      <c r="H2431" s="20"/>
      <c r="I2431" s="21"/>
    </row>
    <row r="2432" customFormat="false" ht="15" hidden="false" customHeight="false" outlineLevel="0" collapsed="false">
      <c r="A2432" s="30"/>
      <c r="B2432" s="21"/>
      <c r="C2432" s="21" t="str">
        <f aca="false">IF(B2432="","",IFERROR(INDEX(代理店一覧!$B$5:$B$204,MATCH(B2432,代理店一覧!$A$5:$A$204,0)),"※未登録のID"))</f>
        <v/>
      </c>
      <c r="D2432" s="20"/>
      <c r="E2432" s="20"/>
      <c r="F2432" s="20"/>
      <c r="G2432" s="20"/>
      <c r="H2432" s="20"/>
      <c r="I2432" s="21"/>
    </row>
    <row r="2433" customFormat="false" ht="15" hidden="false" customHeight="false" outlineLevel="0" collapsed="false">
      <c r="A2433" s="30"/>
      <c r="B2433" s="21"/>
      <c r="C2433" s="21" t="str">
        <f aca="false">IF(B2433="","",IFERROR(INDEX(代理店一覧!$B$5:$B$204,MATCH(B2433,代理店一覧!$A$5:$A$204,0)),"※未登録のID"))</f>
        <v/>
      </c>
      <c r="D2433" s="20"/>
      <c r="E2433" s="20"/>
      <c r="F2433" s="20"/>
      <c r="G2433" s="20"/>
      <c r="H2433" s="20"/>
      <c r="I2433" s="21"/>
    </row>
    <row r="2434" customFormat="false" ht="15" hidden="false" customHeight="false" outlineLevel="0" collapsed="false">
      <c r="A2434" s="30"/>
      <c r="B2434" s="21"/>
      <c r="C2434" s="21" t="str">
        <f aca="false">IF(B2434="","",IFERROR(INDEX(代理店一覧!$B$5:$B$204,MATCH(B2434,代理店一覧!$A$5:$A$204,0)),"※未登録のID"))</f>
        <v/>
      </c>
      <c r="D2434" s="20"/>
      <c r="E2434" s="20"/>
      <c r="F2434" s="20"/>
      <c r="G2434" s="20"/>
      <c r="H2434" s="20"/>
      <c r="I2434" s="21"/>
    </row>
    <row r="2435" customFormat="false" ht="15" hidden="false" customHeight="false" outlineLevel="0" collapsed="false">
      <c r="A2435" s="30"/>
      <c r="B2435" s="21"/>
      <c r="C2435" s="21" t="str">
        <f aca="false">IF(B2435="","",IFERROR(INDEX(代理店一覧!$B$5:$B$204,MATCH(B2435,代理店一覧!$A$5:$A$204,0)),"※未登録のID"))</f>
        <v/>
      </c>
      <c r="D2435" s="20"/>
      <c r="E2435" s="20"/>
      <c r="F2435" s="20"/>
      <c r="G2435" s="20"/>
      <c r="H2435" s="20"/>
      <c r="I2435" s="21"/>
    </row>
    <row r="2436" customFormat="false" ht="15" hidden="false" customHeight="false" outlineLevel="0" collapsed="false">
      <c r="A2436" s="30"/>
      <c r="B2436" s="21"/>
      <c r="C2436" s="21" t="str">
        <f aca="false">IF(B2436="","",IFERROR(INDEX(代理店一覧!$B$5:$B$204,MATCH(B2436,代理店一覧!$A$5:$A$204,0)),"※未登録のID"))</f>
        <v/>
      </c>
      <c r="D2436" s="20"/>
      <c r="E2436" s="20"/>
      <c r="F2436" s="20"/>
      <c r="G2436" s="20"/>
      <c r="H2436" s="20"/>
      <c r="I2436" s="21"/>
    </row>
    <row r="2437" customFormat="false" ht="15" hidden="false" customHeight="false" outlineLevel="0" collapsed="false">
      <c r="A2437" s="30"/>
      <c r="B2437" s="21"/>
      <c r="C2437" s="21" t="str">
        <f aca="false">IF(B2437="","",IFERROR(INDEX(代理店一覧!$B$5:$B$204,MATCH(B2437,代理店一覧!$A$5:$A$204,0)),"※未登録のID"))</f>
        <v/>
      </c>
      <c r="D2437" s="20"/>
      <c r="E2437" s="20"/>
      <c r="F2437" s="20"/>
      <c r="G2437" s="20"/>
      <c r="H2437" s="20"/>
      <c r="I2437" s="21"/>
    </row>
    <row r="2438" customFormat="false" ht="15" hidden="false" customHeight="false" outlineLevel="0" collapsed="false">
      <c r="A2438" s="30"/>
      <c r="B2438" s="21"/>
      <c r="C2438" s="21" t="str">
        <f aca="false">IF(B2438="","",IFERROR(INDEX(代理店一覧!$B$5:$B$204,MATCH(B2438,代理店一覧!$A$5:$A$204,0)),"※未登録のID"))</f>
        <v/>
      </c>
      <c r="D2438" s="20"/>
      <c r="E2438" s="20"/>
      <c r="F2438" s="20"/>
      <c r="G2438" s="20"/>
      <c r="H2438" s="20"/>
      <c r="I2438" s="21"/>
    </row>
    <row r="2439" customFormat="false" ht="15" hidden="false" customHeight="false" outlineLevel="0" collapsed="false">
      <c r="A2439" s="30"/>
      <c r="B2439" s="21"/>
      <c r="C2439" s="21" t="str">
        <f aca="false">IF(B2439="","",IFERROR(INDEX(代理店一覧!$B$5:$B$204,MATCH(B2439,代理店一覧!$A$5:$A$204,0)),"※未登録のID"))</f>
        <v/>
      </c>
      <c r="D2439" s="20"/>
      <c r="E2439" s="20"/>
      <c r="F2439" s="20"/>
      <c r="G2439" s="20"/>
      <c r="H2439" s="20"/>
      <c r="I2439" s="21"/>
    </row>
    <row r="2440" customFormat="false" ht="15" hidden="false" customHeight="false" outlineLevel="0" collapsed="false">
      <c r="A2440" s="30"/>
      <c r="B2440" s="21"/>
      <c r="C2440" s="21" t="str">
        <f aca="false">IF(B2440="","",IFERROR(INDEX(代理店一覧!$B$5:$B$204,MATCH(B2440,代理店一覧!$A$5:$A$204,0)),"※未登録のID"))</f>
        <v/>
      </c>
      <c r="D2440" s="20"/>
      <c r="E2440" s="20"/>
      <c r="F2440" s="20"/>
      <c r="G2440" s="20"/>
      <c r="H2440" s="20"/>
      <c r="I2440" s="21"/>
    </row>
    <row r="2441" customFormat="false" ht="15" hidden="false" customHeight="false" outlineLevel="0" collapsed="false">
      <c r="A2441" s="30"/>
      <c r="B2441" s="21"/>
      <c r="C2441" s="21" t="str">
        <f aca="false">IF(B2441="","",IFERROR(INDEX(代理店一覧!$B$5:$B$204,MATCH(B2441,代理店一覧!$A$5:$A$204,0)),"※未登録のID"))</f>
        <v/>
      </c>
      <c r="D2441" s="20"/>
      <c r="E2441" s="20"/>
      <c r="F2441" s="20"/>
      <c r="G2441" s="20"/>
      <c r="H2441" s="20"/>
      <c r="I2441" s="21"/>
    </row>
    <row r="2442" customFormat="false" ht="15" hidden="false" customHeight="false" outlineLevel="0" collapsed="false">
      <c r="A2442" s="30"/>
      <c r="B2442" s="21"/>
      <c r="C2442" s="21" t="str">
        <f aca="false">IF(B2442="","",IFERROR(INDEX(代理店一覧!$B$5:$B$204,MATCH(B2442,代理店一覧!$A$5:$A$204,0)),"※未登録のID"))</f>
        <v/>
      </c>
      <c r="D2442" s="20"/>
      <c r="E2442" s="20"/>
      <c r="F2442" s="20"/>
      <c r="G2442" s="20"/>
      <c r="H2442" s="20"/>
      <c r="I2442" s="21"/>
    </row>
    <row r="2443" customFormat="false" ht="15" hidden="false" customHeight="false" outlineLevel="0" collapsed="false">
      <c r="A2443" s="30"/>
      <c r="B2443" s="21"/>
      <c r="C2443" s="21" t="str">
        <f aca="false">IF(B2443="","",IFERROR(INDEX(代理店一覧!$B$5:$B$204,MATCH(B2443,代理店一覧!$A$5:$A$204,0)),"※未登録のID"))</f>
        <v/>
      </c>
      <c r="D2443" s="20"/>
      <c r="E2443" s="20"/>
      <c r="F2443" s="20"/>
      <c r="G2443" s="20"/>
      <c r="H2443" s="20"/>
      <c r="I2443" s="21"/>
    </row>
    <row r="2444" customFormat="false" ht="15" hidden="false" customHeight="false" outlineLevel="0" collapsed="false">
      <c r="A2444" s="30"/>
      <c r="B2444" s="21"/>
      <c r="C2444" s="21" t="str">
        <f aca="false">IF(B2444="","",IFERROR(INDEX(代理店一覧!$B$5:$B$204,MATCH(B2444,代理店一覧!$A$5:$A$204,0)),"※未登録のID"))</f>
        <v/>
      </c>
      <c r="D2444" s="20"/>
      <c r="E2444" s="20"/>
      <c r="F2444" s="20"/>
      <c r="G2444" s="20"/>
      <c r="H2444" s="20"/>
      <c r="I2444" s="21"/>
    </row>
    <row r="2445" customFormat="false" ht="15" hidden="false" customHeight="false" outlineLevel="0" collapsed="false">
      <c r="A2445" s="30"/>
      <c r="B2445" s="21"/>
      <c r="C2445" s="21" t="str">
        <f aca="false">IF(B2445="","",IFERROR(INDEX(代理店一覧!$B$5:$B$204,MATCH(B2445,代理店一覧!$A$5:$A$204,0)),"※未登録のID"))</f>
        <v/>
      </c>
      <c r="D2445" s="20"/>
      <c r="E2445" s="20"/>
      <c r="F2445" s="20"/>
      <c r="G2445" s="20"/>
      <c r="H2445" s="20"/>
      <c r="I2445" s="21"/>
    </row>
    <row r="2446" customFormat="false" ht="15" hidden="false" customHeight="false" outlineLevel="0" collapsed="false">
      <c r="A2446" s="30"/>
      <c r="B2446" s="21"/>
      <c r="C2446" s="21" t="str">
        <f aca="false">IF(B2446="","",IFERROR(INDEX(代理店一覧!$B$5:$B$204,MATCH(B2446,代理店一覧!$A$5:$A$204,0)),"※未登録のID"))</f>
        <v/>
      </c>
      <c r="D2446" s="20"/>
      <c r="E2446" s="20"/>
      <c r="F2446" s="20"/>
      <c r="G2446" s="20"/>
      <c r="H2446" s="20"/>
      <c r="I2446" s="21"/>
    </row>
    <row r="2447" customFormat="false" ht="15" hidden="false" customHeight="false" outlineLevel="0" collapsed="false">
      <c r="A2447" s="30"/>
      <c r="B2447" s="21"/>
      <c r="C2447" s="21" t="str">
        <f aca="false">IF(B2447="","",IFERROR(INDEX(代理店一覧!$B$5:$B$204,MATCH(B2447,代理店一覧!$A$5:$A$204,0)),"※未登録のID"))</f>
        <v/>
      </c>
      <c r="D2447" s="20"/>
      <c r="E2447" s="20"/>
      <c r="F2447" s="20"/>
      <c r="G2447" s="20"/>
      <c r="H2447" s="20"/>
      <c r="I2447" s="21"/>
    </row>
    <row r="2448" customFormat="false" ht="15" hidden="false" customHeight="false" outlineLevel="0" collapsed="false">
      <c r="A2448" s="30"/>
      <c r="B2448" s="21"/>
      <c r="C2448" s="21" t="str">
        <f aca="false">IF(B2448="","",IFERROR(INDEX(代理店一覧!$B$5:$B$204,MATCH(B2448,代理店一覧!$A$5:$A$204,0)),"※未登録のID"))</f>
        <v/>
      </c>
      <c r="D2448" s="20"/>
      <c r="E2448" s="20"/>
      <c r="F2448" s="20"/>
      <c r="G2448" s="20"/>
      <c r="H2448" s="20"/>
      <c r="I2448" s="21"/>
    </row>
    <row r="2449" customFormat="false" ht="15" hidden="false" customHeight="false" outlineLevel="0" collapsed="false">
      <c r="A2449" s="30"/>
      <c r="B2449" s="21"/>
      <c r="C2449" s="21" t="str">
        <f aca="false">IF(B2449="","",IFERROR(INDEX(代理店一覧!$B$5:$B$204,MATCH(B2449,代理店一覧!$A$5:$A$204,0)),"※未登録のID"))</f>
        <v/>
      </c>
      <c r="D2449" s="20"/>
      <c r="E2449" s="20"/>
      <c r="F2449" s="20"/>
      <c r="G2449" s="20"/>
      <c r="H2449" s="20"/>
      <c r="I2449" s="21"/>
    </row>
    <row r="2450" customFormat="false" ht="15" hidden="false" customHeight="false" outlineLevel="0" collapsed="false">
      <c r="A2450" s="30"/>
      <c r="B2450" s="21"/>
      <c r="C2450" s="21" t="str">
        <f aca="false">IF(B2450="","",IFERROR(INDEX(代理店一覧!$B$5:$B$204,MATCH(B2450,代理店一覧!$A$5:$A$204,0)),"※未登録のID"))</f>
        <v/>
      </c>
      <c r="D2450" s="20"/>
      <c r="E2450" s="20"/>
      <c r="F2450" s="20"/>
      <c r="G2450" s="20"/>
      <c r="H2450" s="20"/>
      <c r="I2450" s="21"/>
    </row>
    <row r="2451" customFormat="false" ht="15" hidden="false" customHeight="false" outlineLevel="0" collapsed="false">
      <c r="A2451" s="30"/>
      <c r="B2451" s="21"/>
      <c r="C2451" s="21" t="str">
        <f aca="false">IF(B2451="","",IFERROR(INDEX(代理店一覧!$B$5:$B$204,MATCH(B2451,代理店一覧!$A$5:$A$204,0)),"※未登録のID"))</f>
        <v/>
      </c>
      <c r="D2451" s="20"/>
      <c r="E2451" s="20"/>
      <c r="F2451" s="20"/>
      <c r="G2451" s="20"/>
      <c r="H2451" s="20"/>
      <c r="I2451" s="21"/>
    </row>
    <row r="2452" customFormat="false" ht="15" hidden="false" customHeight="false" outlineLevel="0" collapsed="false">
      <c r="A2452" s="30"/>
      <c r="B2452" s="21"/>
      <c r="C2452" s="21" t="str">
        <f aca="false">IF(B2452="","",IFERROR(INDEX(代理店一覧!$B$5:$B$204,MATCH(B2452,代理店一覧!$A$5:$A$204,0)),"※未登録のID"))</f>
        <v/>
      </c>
      <c r="D2452" s="20"/>
      <c r="E2452" s="20"/>
      <c r="F2452" s="20"/>
      <c r="G2452" s="20"/>
      <c r="H2452" s="20"/>
      <c r="I2452" s="21"/>
    </row>
    <row r="2453" customFormat="false" ht="15" hidden="false" customHeight="false" outlineLevel="0" collapsed="false">
      <c r="A2453" s="30"/>
      <c r="B2453" s="21"/>
      <c r="C2453" s="21" t="str">
        <f aca="false">IF(B2453="","",IFERROR(INDEX(代理店一覧!$B$5:$B$204,MATCH(B2453,代理店一覧!$A$5:$A$204,0)),"※未登録のID"))</f>
        <v/>
      </c>
      <c r="D2453" s="20"/>
      <c r="E2453" s="20"/>
      <c r="F2453" s="20"/>
      <c r="G2453" s="20"/>
      <c r="H2453" s="20"/>
      <c r="I2453" s="21"/>
    </row>
    <row r="2454" customFormat="false" ht="15" hidden="false" customHeight="false" outlineLevel="0" collapsed="false">
      <c r="A2454" s="30"/>
      <c r="B2454" s="21"/>
      <c r="C2454" s="21" t="str">
        <f aca="false">IF(B2454="","",IFERROR(INDEX(代理店一覧!$B$5:$B$204,MATCH(B2454,代理店一覧!$A$5:$A$204,0)),"※未登録のID"))</f>
        <v/>
      </c>
      <c r="D2454" s="20"/>
      <c r="E2454" s="20"/>
      <c r="F2454" s="20"/>
      <c r="G2454" s="20"/>
      <c r="H2454" s="20"/>
      <c r="I2454" s="21"/>
    </row>
    <row r="2455" customFormat="false" ht="15" hidden="false" customHeight="false" outlineLevel="0" collapsed="false">
      <c r="A2455" s="30"/>
      <c r="B2455" s="21"/>
      <c r="C2455" s="21" t="str">
        <f aca="false">IF(B2455="","",IFERROR(INDEX(代理店一覧!$B$5:$B$204,MATCH(B2455,代理店一覧!$A$5:$A$204,0)),"※未登録のID"))</f>
        <v/>
      </c>
      <c r="D2455" s="20"/>
      <c r="E2455" s="20"/>
      <c r="F2455" s="20"/>
      <c r="G2455" s="20"/>
      <c r="H2455" s="20"/>
      <c r="I2455" s="21"/>
    </row>
    <row r="2456" customFormat="false" ht="15" hidden="false" customHeight="false" outlineLevel="0" collapsed="false">
      <c r="A2456" s="30"/>
      <c r="B2456" s="21"/>
      <c r="C2456" s="21" t="str">
        <f aca="false">IF(B2456="","",IFERROR(INDEX(代理店一覧!$B$5:$B$204,MATCH(B2456,代理店一覧!$A$5:$A$204,0)),"※未登録のID"))</f>
        <v/>
      </c>
      <c r="D2456" s="20"/>
      <c r="E2456" s="20"/>
      <c r="F2456" s="20"/>
      <c r="G2456" s="20"/>
      <c r="H2456" s="20"/>
      <c r="I2456" s="21"/>
    </row>
    <row r="2457" customFormat="false" ht="15" hidden="false" customHeight="false" outlineLevel="0" collapsed="false">
      <c r="A2457" s="30"/>
      <c r="B2457" s="21"/>
      <c r="C2457" s="21" t="str">
        <f aca="false">IF(B2457="","",IFERROR(INDEX(代理店一覧!$B$5:$B$204,MATCH(B2457,代理店一覧!$A$5:$A$204,0)),"※未登録のID"))</f>
        <v/>
      </c>
      <c r="D2457" s="20"/>
      <c r="E2457" s="20"/>
      <c r="F2457" s="20"/>
      <c r="G2457" s="20"/>
      <c r="H2457" s="20"/>
      <c r="I2457" s="21"/>
    </row>
    <row r="2458" customFormat="false" ht="15" hidden="false" customHeight="false" outlineLevel="0" collapsed="false">
      <c r="A2458" s="30"/>
      <c r="B2458" s="21"/>
      <c r="C2458" s="21" t="str">
        <f aca="false">IF(B2458="","",IFERROR(INDEX(代理店一覧!$B$5:$B$204,MATCH(B2458,代理店一覧!$A$5:$A$204,0)),"※未登録のID"))</f>
        <v/>
      </c>
      <c r="D2458" s="20"/>
      <c r="E2458" s="20"/>
      <c r="F2458" s="20"/>
      <c r="G2458" s="20"/>
      <c r="H2458" s="20"/>
      <c r="I2458" s="21"/>
    </row>
    <row r="2459" customFormat="false" ht="15" hidden="false" customHeight="false" outlineLevel="0" collapsed="false">
      <c r="A2459" s="30"/>
      <c r="B2459" s="21"/>
      <c r="C2459" s="21" t="str">
        <f aca="false">IF(B2459="","",IFERROR(INDEX(代理店一覧!$B$5:$B$204,MATCH(B2459,代理店一覧!$A$5:$A$204,0)),"※未登録のID"))</f>
        <v/>
      </c>
      <c r="D2459" s="20"/>
      <c r="E2459" s="20"/>
      <c r="F2459" s="20"/>
      <c r="G2459" s="20"/>
      <c r="H2459" s="20"/>
      <c r="I2459" s="21"/>
    </row>
    <row r="2460" customFormat="false" ht="15" hidden="false" customHeight="false" outlineLevel="0" collapsed="false">
      <c r="A2460" s="30"/>
      <c r="B2460" s="21"/>
      <c r="C2460" s="21" t="str">
        <f aca="false">IF(B2460="","",IFERROR(INDEX(代理店一覧!$B$5:$B$204,MATCH(B2460,代理店一覧!$A$5:$A$204,0)),"※未登録のID"))</f>
        <v/>
      </c>
      <c r="D2460" s="20"/>
      <c r="E2460" s="20"/>
      <c r="F2460" s="20"/>
      <c r="G2460" s="20"/>
      <c r="H2460" s="20"/>
      <c r="I2460" s="21"/>
    </row>
    <row r="2461" customFormat="false" ht="15" hidden="false" customHeight="false" outlineLevel="0" collapsed="false">
      <c r="A2461" s="30"/>
      <c r="B2461" s="21"/>
      <c r="C2461" s="21" t="str">
        <f aca="false">IF(B2461="","",IFERROR(INDEX(代理店一覧!$B$5:$B$204,MATCH(B2461,代理店一覧!$A$5:$A$204,0)),"※未登録のID"))</f>
        <v/>
      </c>
      <c r="D2461" s="20"/>
      <c r="E2461" s="20"/>
      <c r="F2461" s="20"/>
      <c r="G2461" s="20"/>
      <c r="H2461" s="20"/>
      <c r="I2461" s="21"/>
    </row>
    <row r="2462" customFormat="false" ht="15" hidden="false" customHeight="false" outlineLevel="0" collapsed="false">
      <c r="A2462" s="30"/>
      <c r="B2462" s="21"/>
      <c r="C2462" s="21" t="str">
        <f aca="false">IF(B2462="","",IFERROR(INDEX(代理店一覧!$B$5:$B$204,MATCH(B2462,代理店一覧!$A$5:$A$204,0)),"※未登録のID"))</f>
        <v/>
      </c>
      <c r="D2462" s="20"/>
      <c r="E2462" s="20"/>
      <c r="F2462" s="20"/>
      <c r="G2462" s="20"/>
      <c r="H2462" s="20"/>
      <c r="I2462" s="21"/>
    </row>
    <row r="2463" customFormat="false" ht="15" hidden="false" customHeight="false" outlineLevel="0" collapsed="false">
      <c r="A2463" s="30"/>
      <c r="B2463" s="21"/>
      <c r="C2463" s="21" t="str">
        <f aca="false">IF(B2463="","",IFERROR(INDEX(代理店一覧!$B$5:$B$204,MATCH(B2463,代理店一覧!$A$5:$A$204,0)),"※未登録のID"))</f>
        <v/>
      </c>
      <c r="D2463" s="20"/>
      <c r="E2463" s="20"/>
      <c r="F2463" s="20"/>
      <c r="G2463" s="20"/>
      <c r="H2463" s="20"/>
      <c r="I2463" s="21"/>
    </row>
    <row r="2464" customFormat="false" ht="15" hidden="false" customHeight="false" outlineLevel="0" collapsed="false">
      <c r="A2464" s="30"/>
      <c r="B2464" s="21"/>
      <c r="C2464" s="21" t="str">
        <f aca="false">IF(B2464="","",IFERROR(INDEX(代理店一覧!$B$5:$B$204,MATCH(B2464,代理店一覧!$A$5:$A$204,0)),"※未登録のID"))</f>
        <v/>
      </c>
      <c r="D2464" s="20"/>
      <c r="E2464" s="20"/>
      <c r="F2464" s="20"/>
      <c r="G2464" s="20"/>
      <c r="H2464" s="20"/>
      <c r="I2464" s="21"/>
    </row>
    <row r="2465" customFormat="false" ht="15" hidden="false" customHeight="false" outlineLevel="0" collapsed="false">
      <c r="A2465" s="30"/>
      <c r="B2465" s="21"/>
      <c r="C2465" s="21" t="str">
        <f aca="false">IF(B2465="","",IFERROR(INDEX(代理店一覧!$B$5:$B$204,MATCH(B2465,代理店一覧!$A$5:$A$204,0)),"※未登録のID"))</f>
        <v/>
      </c>
      <c r="D2465" s="20"/>
      <c r="E2465" s="20"/>
      <c r="F2465" s="20"/>
      <c r="G2465" s="20"/>
      <c r="H2465" s="20"/>
      <c r="I2465" s="21"/>
    </row>
    <row r="2466" customFormat="false" ht="15" hidden="false" customHeight="false" outlineLevel="0" collapsed="false">
      <c r="A2466" s="30"/>
      <c r="B2466" s="21"/>
      <c r="C2466" s="21" t="str">
        <f aca="false">IF(B2466="","",IFERROR(INDEX(代理店一覧!$B$5:$B$204,MATCH(B2466,代理店一覧!$A$5:$A$204,0)),"※未登録のID"))</f>
        <v/>
      </c>
      <c r="D2466" s="20"/>
      <c r="E2466" s="20"/>
      <c r="F2466" s="20"/>
      <c r="G2466" s="20"/>
      <c r="H2466" s="20"/>
      <c r="I2466" s="21"/>
    </row>
    <row r="2467" customFormat="false" ht="15" hidden="false" customHeight="false" outlineLevel="0" collapsed="false">
      <c r="A2467" s="30"/>
      <c r="B2467" s="21"/>
      <c r="C2467" s="21" t="str">
        <f aca="false">IF(B2467="","",IFERROR(INDEX(代理店一覧!$B$5:$B$204,MATCH(B2467,代理店一覧!$A$5:$A$204,0)),"※未登録のID"))</f>
        <v/>
      </c>
      <c r="D2467" s="20"/>
      <c r="E2467" s="20"/>
      <c r="F2467" s="20"/>
      <c r="G2467" s="20"/>
      <c r="H2467" s="20"/>
      <c r="I2467" s="21"/>
    </row>
    <row r="2468" customFormat="false" ht="15" hidden="false" customHeight="false" outlineLevel="0" collapsed="false">
      <c r="A2468" s="30"/>
      <c r="B2468" s="21"/>
      <c r="C2468" s="21" t="str">
        <f aca="false">IF(B2468="","",IFERROR(INDEX(代理店一覧!$B$5:$B$204,MATCH(B2468,代理店一覧!$A$5:$A$204,0)),"※未登録のID"))</f>
        <v/>
      </c>
      <c r="D2468" s="20"/>
      <c r="E2468" s="20"/>
      <c r="F2468" s="20"/>
      <c r="G2468" s="20"/>
      <c r="H2468" s="20"/>
      <c r="I2468" s="21"/>
    </row>
    <row r="2469" customFormat="false" ht="15" hidden="false" customHeight="false" outlineLevel="0" collapsed="false">
      <c r="A2469" s="30"/>
      <c r="B2469" s="21"/>
      <c r="C2469" s="21" t="str">
        <f aca="false">IF(B2469="","",IFERROR(INDEX(代理店一覧!$B$5:$B$204,MATCH(B2469,代理店一覧!$A$5:$A$204,0)),"※未登録のID"))</f>
        <v/>
      </c>
      <c r="D2469" s="20"/>
      <c r="E2469" s="20"/>
      <c r="F2469" s="20"/>
      <c r="G2469" s="20"/>
      <c r="H2469" s="20"/>
      <c r="I2469" s="21"/>
    </row>
    <row r="2470" customFormat="false" ht="15" hidden="false" customHeight="false" outlineLevel="0" collapsed="false">
      <c r="A2470" s="30"/>
      <c r="B2470" s="21"/>
      <c r="C2470" s="21" t="str">
        <f aca="false">IF(B2470="","",IFERROR(INDEX(代理店一覧!$B$5:$B$204,MATCH(B2470,代理店一覧!$A$5:$A$204,0)),"※未登録のID"))</f>
        <v/>
      </c>
      <c r="D2470" s="20"/>
      <c r="E2470" s="20"/>
      <c r="F2470" s="20"/>
      <c r="G2470" s="20"/>
      <c r="H2470" s="20"/>
      <c r="I2470" s="21"/>
    </row>
    <row r="2471" customFormat="false" ht="15" hidden="false" customHeight="false" outlineLevel="0" collapsed="false">
      <c r="A2471" s="30"/>
      <c r="B2471" s="21"/>
      <c r="C2471" s="21" t="str">
        <f aca="false">IF(B2471="","",IFERROR(INDEX(代理店一覧!$B$5:$B$204,MATCH(B2471,代理店一覧!$A$5:$A$204,0)),"※未登録のID"))</f>
        <v/>
      </c>
      <c r="D2471" s="20"/>
      <c r="E2471" s="20"/>
      <c r="F2471" s="20"/>
      <c r="G2471" s="20"/>
      <c r="H2471" s="20"/>
      <c r="I2471" s="21"/>
    </row>
    <row r="2472" customFormat="false" ht="15" hidden="false" customHeight="false" outlineLevel="0" collapsed="false">
      <c r="A2472" s="30"/>
      <c r="B2472" s="21"/>
      <c r="C2472" s="21" t="str">
        <f aca="false">IF(B2472="","",IFERROR(INDEX(代理店一覧!$B$5:$B$204,MATCH(B2472,代理店一覧!$A$5:$A$204,0)),"※未登録のID"))</f>
        <v/>
      </c>
      <c r="D2472" s="20"/>
      <c r="E2472" s="20"/>
      <c r="F2472" s="20"/>
      <c r="G2472" s="20"/>
      <c r="H2472" s="20"/>
      <c r="I2472" s="21"/>
    </row>
    <row r="2473" customFormat="false" ht="15" hidden="false" customHeight="false" outlineLevel="0" collapsed="false">
      <c r="A2473" s="30"/>
      <c r="B2473" s="21"/>
      <c r="C2473" s="21" t="str">
        <f aca="false">IF(B2473="","",IFERROR(INDEX(代理店一覧!$B$5:$B$204,MATCH(B2473,代理店一覧!$A$5:$A$204,0)),"※未登録のID"))</f>
        <v/>
      </c>
      <c r="D2473" s="20"/>
      <c r="E2473" s="20"/>
      <c r="F2473" s="20"/>
      <c r="G2473" s="20"/>
      <c r="H2473" s="20"/>
      <c r="I2473" s="21"/>
    </row>
    <row r="2474" customFormat="false" ht="15" hidden="false" customHeight="false" outlineLevel="0" collapsed="false">
      <c r="A2474" s="30"/>
      <c r="B2474" s="21"/>
      <c r="C2474" s="21" t="str">
        <f aca="false">IF(B2474="","",IFERROR(INDEX(代理店一覧!$B$5:$B$204,MATCH(B2474,代理店一覧!$A$5:$A$204,0)),"※未登録のID"))</f>
        <v/>
      </c>
      <c r="D2474" s="20"/>
      <c r="E2474" s="20"/>
      <c r="F2474" s="20"/>
      <c r="G2474" s="20"/>
      <c r="H2474" s="20"/>
      <c r="I2474" s="21"/>
    </row>
    <row r="2475" customFormat="false" ht="15" hidden="false" customHeight="false" outlineLevel="0" collapsed="false">
      <c r="A2475" s="30"/>
      <c r="B2475" s="21"/>
      <c r="C2475" s="21" t="str">
        <f aca="false">IF(B2475="","",IFERROR(INDEX(代理店一覧!$B$5:$B$204,MATCH(B2475,代理店一覧!$A$5:$A$204,0)),"※未登録のID"))</f>
        <v/>
      </c>
      <c r="D2475" s="20"/>
      <c r="E2475" s="20"/>
      <c r="F2475" s="20"/>
      <c r="G2475" s="20"/>
      <c r="H2475" s="20"/>
      <c r="I2475" s="21"/>
    </row>
    <row r="2476" customFormat="false" ht="15" hidden="false" customHeight="false" outlineLevel="0" collapsed="false">
      <c r="A2476" s="30"/>
      <c r="B2476" s="21"/>
      <c r="C2476" s="21" t="str">
        <f aca="false">IF(B2476="","",IFERROR(INDEX(代理店一覧!$B$5:$B$204,MATCH(B2476,代理店一覧!$A$5:$A$204,0)),"※未登録のID"))</f>
        <v/>
      </c>
      <c r="D2476" s="20"/>
      <c r="E2476" s="20"/>
      <c r="F2476" s="20"/>
      <c r="G2476" s="20"/>
      <c r="H2476" s="20"/>
      <c r="I2476" s="21"/>
    </row>
    <row r="2477" customFormat="false" ht="15" hidden="false" customHeight="false" outlineLevel="0" collapsed="false">
      <c r="A2477" s="30"/>
      <c r="B2477" s="21"/>
      <c r="C2477" s="21" t="str">
        <f aca="false">IF(B2477="","",IFERROR(INDEX(代理店一覧!$B$5:$B$204,MATCH(B2477,代理店一覧!$A$5:$A$204,0)),"※未登録のID"))</f>
        <v/>
      </c>
      <c r="D2477" s="20"/>
      <c r="E2477" s="20"/>
      <c r="F2477" s="20"/>
      <c r="G2477" s="20"/>
      <c r="H2477" s="20"/>
      <c r="I2477" s="21"/>
    </row>
    <row r="2478" customFormat="false" ht="15" hidden="false" customHeight="false" outlineLevel="0" collapsed="false">
      <c r="A2478" s="30"/>
      <c r="B2478" s="21"/>
      <c r="C2478" s="21" t="str">
        <f aca="false">IF(B2478="","",IFERROR(INDEX(代理店一覧!$B$5:$B$204,MATCH(B2478,代理店一覧!$A$5:$A$204,0)),"※未登録のID"))</f>
        <v/>
      </c>
      <c r="D2478" s="20"/>
      <c r="E2478" s="20"/>
      <c r="F2478" s="20"/>
      <c r="G2478" s="20"/>
      <c r="H2478" s="20"/>
      <c r="I2478" s="21"/>
    </row>
    <row r="2479" customFormat="false" ht="15" hidden="false" customHeight="false" outlineLevel="0" collapsed="false">
      <c r="A2479" s="30"/>
      <c r="B2479" s="21"/>
      <c r="C2479" s="21" t="str">
        <f aca="false">IF(B2479="","",IFERROR(INDEX(代理店一覧!$B$5:$B$204,MATCH(B2479,代理店一覧!$A$5:$A$204,0)),"※未登録のID"))</f>
        <v/>
      </c>
      <c r="D2479" s="20"/>
      <c r="E2479" s="20"/>
      <c r="F2479" s="20"/>
      <c r="G2479" s="20"/>
      <c r="H2479" s="20"/>
      <c r="I2479" s="21"/>
    </row>
    <row r="2480" customFormat="false" ht="15" hidden="false" customHeight="false" outlineLevel="0" collapsed="false">
      <c r="A2480" s="30"/>
      <c r="B2480" s="21"/>
      <c r="C2480" s="21" t="str">
        <f aca="false">IF(B2480="","",IFERROR(INDEX(代理店一覧!$B$5:$B$204,MATCH(B2480,代理店一覧!$A$5:$A$204,0)),"※未登録のID"))</f>
        <v/>
      </c>
      <c r="D2480" s="20"/>
      <c r="E2480" s="20"/>
      <c r="F2480" s="20"/>
      <c r="G2480" s="20"/>
      <c r="H2480" s="20"/>
      <c r="I2480" s="21"/>
    </row>
    <row r="2481" customFormat="false" ht="15" hidden="false" customHeight="false" outlineLevel="0" collapsed="false">
      <c r="A2481" s="30"/>
      <c r="B2481" s="21"/>
      <c r="C2481" s="21" t="str">
        <f aca="false">IF(B2481="","",IFERROR(INDEX(代理店一覧!$B$5:$B$204,MATCH(B2481,代理店一覧!$A$5:$A$204,0)),"※未登録のID"))</f>
        <v/>
      </c>
      <c r="D2481" s="20"/>
      <c r="E2481" s="20"/>
      <c r="F2481" s="20"/>
      <c r="G2481" s="20"/>
      <c r="H2481" s="20"/>
      <c r="I2481" s="21"/>
    </row>
    <row r="2482" customFormat="false" ht="15" hidden="false" customHeight="false" outlineLevel="0" collapsed="false">
      <c r="A2482" s="30"/>
      <c r="B2482" s="21"/>
      <c r="C2482" s="21" t="str">
        <f aca="false">IF(B2482="","",IFERROR(INDEX(代理店一覧!$B$5:$B$204,MATCH(B2482,代理店一覧!$A$5:$A$204,0)),"※未登録のID"))</f>
        <v/>
      </c>
      <c r="D2482" s="20"/>
      <c r="E2482" s="20"/>
      <c r="F2482" s="20"/>
      <c r="G2482" s="20"/>
      <c r="H2482" s="20"/>
      <c r="I2482" s="21"/>
    </row>
    <row r="2483" customFormat="false" ht="15" hidden="false" customHeight="false" outlineLevel="0" collapsed="false">
      <c r="A2483" s="30"/>
      <c r="B2483" s="21"/>
      <c r="C2483" s="21" t="str">
        <f aca="false">IF(B2483="","",IFERROR(INDEX(代理店一覧!$B$5:$B$204,MATCH(B2483,代理店一覧!$A$5:$A$204,0)),"※未登録のID"))</f>
        <v/>
      </c>
      <c r="D2483" s="20"/>
      <c r="E2483" s="20"/>
      <c r="F2483" s="20"/>
      <c r="G2483" s="20"/>
      <c r="H2483" s="20"/>
      <c r="I2483" s="21"/>
    </row>
    <row r="2484" customFormat="false" ht="15" hidden="false" customHeight="false" outlineLevel="0" collapsed="false">
      <c r="A2484" s="30"/>
      <c r="B2484" s="21"/>
      <c r="C2484" s="21" t="str">
        <f aca="false">IF(B2484="","",IFERROR(INDEX(代理店一覧!$B$5:$B$204,MATCH(B2484,代理店一覧!$A$5:$A$204,0)),"※未登録のID"))</f>
        <v/>
      </c>
      <c r="D2484" s="20"/>
      <c r="E2484" s="20"/>
      <c r="F2484" s="20"/>
      <c r="G2484" s="20"/>
      <c r="H2484" s="20"/>
      <c r="I2484" s="21"/>
    </row>
    <row r="2485" customFormat="false" ht="15" hidden="false" customHeight="false" outlineLevel="0" collapsed="false">
      <c r="A2485" s="30"/>
      <c r="B2485" s="21"/>
      <c r="C2485" s="21" t="str">
        <f aca="false">IF(B2485="","",IFERROR(INDEX(代理店一覧!$B$5:$B$204,MATCH(B2485,代理店一覧!$A$5:$A$204,0)),"※未登録のID"))</f>
        <v/>
      </c>
      <c r="D2485" s="20"/>
      <c r="E2485" s="20"/>
      <c r="F2485" s="20"/>
      <c r="G2485" s="20"/>
      <c r="H2485" s="20"/>
      <c r="I2485" s="21"/>
    </row>
    <row r="2486" customFormat="false" ht="15" hidden="false" customHeight="false" outlineLevel="0" collapsed="false">
      <c r="A2486" s="30"/>
      <c r="B2486" s="21"/>
      <c r="C2486" s="21" t="str">
        <f aca="false">IF(B2486="","",IFERROR(INDEX(代理店一覧!$B$5:$B$204,MATCH(B2486,代理店一覧!$A$5:$A$204,0)),"※未登録のID"))</f>
        <v/>
      </c>
      <c r="D2486" s="20"/>
      <c r="E2486" s="20"/>
      <c r="F2486" s="20"/>
      <c r="G2486" s="20"/>
      <c r="H2486" s="20"/>
      <c r="I2486" s="21"/>
    </row>
    <row r="2487" customFormat="false" ht="15" hidden="false" customHeight="false" outlineLevel="0" collapsed="false">
      <c r="A2487" s="30"/>
      <c r="B2487" s="21"/>
      <c r="C2487" s="21" t="str">
        <f aca="false">IF(B2487="","",IFERROR(INDEX(代理店一覧!$B$5:$B$204,MATCH(B2487,代理店一覧!$A$5:$A$204,0)),"※未登録のID"))</f>
        <v/>
      </c>
      <c r="D2487" s="20"/>
      <c r="E2487" s="20"/>
      <c r="F2487" s="20"/>
      <c r="G2487" s="20"/>
      <c r="H2487" s="20"/>
      <c r="I2487" s="21"/>
    </row>
    <row r="2488" customFormat="false" ht="15" hidden="false" customHeight="false" outlineLevel="0" collapsed="false">
      <c r="A2488" s="30"/>
      <c r="B2488" s="21"/>
      <c r="C2488" s="21" t="str">
        <f aca="false">IF(B2488="","",IFERROR(INDEX(代理店一覧!$B$5:$B$204,MATCH(B2488,代理店一覧!$A$5:$A$204,0)),"※未登録のID"))</f>
        <v/>
      </c>
      <c r="D2488" s="20"/>
      <c r="E2488" s="20"/>
      <c r="F2488" s="20"/>
      <c r="G2488" s="20"/>
      <c r="H2488" s="20"/>
      <c r="I2488" s="21"/>
    </row>
    <row r="2489" customFormat="false" ht="15" hidden="false" customHeight="false" outlineLevel="0" collapsed="false">
      <c r="A2489" s="30"/>
      <c r="B2489" s="21"/>
      <c r="C2489" s="21" t="str">
        <f aca="false">IF(B2489="","",IFERROR(INDEX(代理店一覧!$B$5:$B$204,MATCH(B2489,代理店一覧!$A$5:$A$204,0)),"※未登録のID"))</f>
        <v/>
      </c>
      <c r="D2489" s="20"/>
      <c r="E2489" s="20"/>
      <c r="F2489" s="20"/>
      <c r="G2489" s="20"/>
      <c r="H2489" s="20"/>
      <c r="I2489" s="21"/>
    </row>
    <row r="2490" customFormat="false" ht="15" hidden="false" customHeight="false" outlineLevel="0" collapsed="false">
      <c r="A2490" s="30"/>
      <c r="B2490" s="21"/>
      <c r="C2490" s="21" t="str">
        <f aca="false">IF(B2490="","",IFERROR(INDEX(代理店一覧!$B$5:$B$204,MATCH(B2490,代理店一覧!$A$5:$A$204,0)),"※未登録のID"))</f>
        <v/>
      </c>
      <c r="D2490" s="20"/>
      <c r="E2490" s="20"/>
      <c r="F2490" s="20"/>
      <c r="G2490" s="20"/>
      <c r="H2490" s="20"/>
      <c r="I2490" s="21"/>
    </row>
    <row r="2491" customFormat="false" ht="15" hidden="false" customHeight="false" outlineLevel="0" collapsed="false">
      <c r="A2491" s="30"/>
      <c r="B2491" s="21"/>
      <c r="C2491" s="21" t="str">
        <f aca="false">IF(B2491="","",IFERROR(INDEX(代理店一覧!$B$5:$B$204,MATCH(B2491,代理店一覧!$A$5:$A$204,0)),"※未登録のID"))</f>
        <v/>
      </c>
      <c r="D2491" s="20"/>
      <c r="E2491" s="20"/>
      <c r="F2491" s="20"/>
      <c r="G2491" s="20"/>
      <c r="H2491" s="20"/>
      <c r="I2491" s="21"/>
    </row>
    <row r="2492" customFormat="false" ht="15" hidden="false" customHeight="false" outlineLevel="0" collapsed="false">
      <c r="A2492" s="30"/>
      <c r="B2492" s="21"/>
      <c r="C2492" s="21" t="str">
        <f aca="false">IF(B2492="","",IFERROR(INDEX(代理店一覧!$B$5:$B$204,MATCH(B2492,代理店一覧!$A$5:$A$204,0)),"※未登録のID"))</f>
        <v/>
      </c>
      <c r="D2492" s="20"/>
      <c r="E2492" s="20"/>
      <c r="F2492" s="20"/>
      <c r="G2492" s="20"/>
      <c r="H2492" s="20"/>
      <c r="I2492" s="21"/>
    </row>
    <row r="2493" customFormat="false" ht="15" hidden="false" customHeight="false" outlineLevel="0" collapsed="false">
      <c r="A2493" s="30"/>
      <c r="B2493" s="21"/>
      <c r="C2493" s="21" t="str">
        <f aca="false">IF(B2493="","",IFERROR(INDEX(代理店一覧!$B$5:$B$204,MATCH(B2493,代理店一覧!$A$5:$A$204,0)),"※未登録のID"))</f>
        <v/>
      </c>
      <c r="D2493" s="20"/>
      <c r="E2493" s="20"/>
      <c r="F2493" s="20"/>
      <c r="G2493" s="20"/>
      <c r="H2493" s="20"/>
      <c r="I2493" s="21"/>
    </row>
    <row r="2494" customFormat="false" ht="15" hidden="false" customHeight="false" outlineLevel="0" collapsed="false">
      <c r="A2494" s="30"/>
      <c r="B2494" s="21"/>
      <c r="C2494" s="21" t="str">
        <f aca="false">IF(B2494="","",IFERROR(INDEX(代理店一覧!$B$5:$B$204,MATCH(B2494,代理店一覧!$A$5:$A$204,0)),"※未登録のID"))</f>
        <v/>
      </c>
      <c r="D2494" s="20"/>
      <c r="E2494" s="20"/>
      <c r="F2494" s="20"/>
      <c r="G2494" s="20"/>
      <c r="H2494" s="20"/>
      <c r="I2494" s="21"/>
    </row>
    <row r="2495" customFormat="false" ht="15" hidden="false" customHeight="false" outlineLevel="0" collapsed="false">
      <c r="A2495" s="30"/>
      <c r="B2495" s="21"/>
      <c r="C2495" s="21" t="str">
        <f aca="false">IF(B2495="","",IFERROR(INDEX(代理店一覧!$B$5:$B$204,MATCH(B2495,代理店一覧!$A$5:$A$204,0)),"※未登録のID"))</f>
        <v/>
      </c>
      <c r="D2495" s="20"/>
      <c r="E2495" s="20"/>
      <c r="F2495" s="20"/>
      <c r="G2495" s="20"/>
      <c r="H2495" s="20"/>
      <c r="I2495" s="21"/>
    </row>
    <row r="2496" customFormat="false" ht="15" hidden="false" customHeight="false" outlineLevel="0" collapsed="false">
      <c r="A2496" s="30"/>
      <c r="B2496" s="21"/>
      <c r="C2496" s="21" t="str">
        <f aca="false">IF(B2496="","",IFERROR(INDEX(代理店一覧!$B$5:$B$204,MATCH(B2496,代理店一覧!$A$5:$A$204,0)),"※未登録のID"))</f>
        <v/>
      </c>
      <c r="D2496" s="20"/>
      <c r="E2496" s="20"/>
      <c r="F2496" s="20"/>
      <c r="G2496" s="20"/>
      <c r="H2496" s="20"/>
      <c r="I2496" s="21"/>
    </row>
    <row r="2497" customFormat="false" ht="15" hidden="false" customHeight="false" outlineLevel="0" collapsed="false">
      <c r="A2497" s="30"/>
      <c r="B2497" s="21"/>
      <c r="C2497" s="21" t="str">
        <f aca="false">IF(B2497="","",IFERROR(INDEX(代理店一覧!$B$5:$B$204,MATCH(B2497,代理店一覧!$A$5:$A$204,0)),"※未登録のID"))</f>
        <v/>
      </c>
      <c r="D2497" s="20"/>
      <c r="E2497" s="20"/>
      <c r="F2497" s="20"/>
      <c r="G2497" s="20"/>
      <c r="H2497" s="20"/>
      <c r="I2497" s="21"/>
    </row>
    <row r="2498" customFormat="false" ht="15" hidden="false" customHeight="false" outlineLevel="0" collapsed="false">
      <c r="A2498" s="30"/>
      <c r="B2498" s="21"/>
      <c r="C2498" s="21" t="str">
        <f aca="false">IF(B2498="","",IFERROR(INDEX(代理店一覧!$B$5:$B$204,MATCH(B2498,代理店一覧!$A$5:$A$204,0)),"※未登録のID"))</f>
        <v/>
      </c>
      <c r="D2498" s="20"/>
      <c r="E2498" s="20"/>
      <c r="F2498" s="20"/>
      <c r="G2498" s="20"/>
      <c r="H2498" s="20"/>
      <c r="I2498" s="21"/>
    </row>
    <row r="2499" customFormat="false" ht="15" hidden="false" customHeight="false" outlineLevel="0" collapsed="false">
      <c r="A2499" s="30"/>
      <c r="B2499" s="21"/>
      <c r="C2499" s="21" t="str">
        <f aca="false">IF(B2499="","",IFERROR(INDEX(代理店一覧!$B$5:$B$204,MATCH(B2499,代理店一覧!$A$5:$A$204,0)),"※未登録のID"))</f>
        <v/>
      </c>
      <c r="D2499" s="20"/>
      <c r="E2499" s="20"/>
      <c r="F2499" s="20"/>
      <c r="G2499" s="20"/>
      <c r="H2499" s="20"/>
      <c r="I2499" s="21"/>
    </row>
    <row r="2500" customFormat="false" ht="15" hidden="false" customHeight="false" outlineLevel="0" collapsed="false">
      <c r="A2500" s="30"/>
      <c r="B2500" s="21"/>
      <c r="C2500" s="21" t="str">
        <f aca="false">IF(B2500="","",IFERROR(INDEX(代理店一覧!$B$5:$B$204,MATCH(B2500,代理店一覧!$A$5:$A$204,0)),"※未登録のID"))</f>
        <v/>
      </c>
      <c r="D2500" s="20"/>
      <c r="E2500" s="20"/>
      <c r="F2500" s="20"/>
      <c r="G2500" s="20"/>
      <c r="H2500" s="20"/>
      <c r="I2500" s="21"/>
    </row>
    <row r="2501" customFormat="false" ht="15" hidden="false" customHeight="false" outlineLevel="0" collapsed="false">
      <c r="A2501" s="30"/>
      <c r="B2501" s="21"/>
      <c r="C2501" s="21" t="str">
        <f aca="false">IF(B2501="","",IFERROR(INDEX(代理店一覧!$B$5:$B$204,MATCH(B2501,代理店一覧!$A$5:$A$204,0)),"※未登録のID"))</f>
        <v/>
      </c>
      <c r="D2501" s="20"/>
      <c r="E2501" s="20"/>
      <c r="F2501" s="20"/>
      <c r="G2501" s="20"/>
      <c r="H2501" s="20"/>
      <c r="I2501" s="21"/>
    </row>
    <row r="2502" customFormat="false" ht="15" hidden="false" customHeight="false" outlineLevel="0" collapsed="false">
      <c r="A2502" s="30"/>
      <c r="B2502" s="21"/>
      <c r="C2502" s="21" t="str">
        <f aca="false">IF(B2502="","",IFERROR(INDEX(代理店一覧!$B$5:$B$204,MATCH(B2502,代理店一覧!$A$5:$A$204,0)),"※未登録のID"))</f>
        <v/>
      </c>
      <c r="D2502" s="20"/>
      <c r="E2502" s="20"/>
      <c r="F2502" s="20"/>
      <c r="G2502" s="20"/>
      <c r="H2502" s="20"/>
      <c r="I2502" s="21"/>
    </row>
    <row r="2503" customFormat="false" ht="15" hidden="false" customHeight="false" outlineLevel="0" collapsed="false">
      <c r="A2503" s="30"/>
      <c r="B2503" s="21"/>
      <c r="C2503" s="21" t="str">
        <f aca="false">IF(B2503="","",IFERROR(INDEX(代理店一覧!$B$5:$B$204,MATCH(B2503,代理店一覧!$A$5:$A$204,0)),"※未登録のID"))</f>
        <v/>
      </c>
      <c r="D2503" s="20"/>
      <c r="E2503" s="20"/>
      <c r="F2503" s="20"/>
      <c r="G2503" s="20"/>
      <c r="H2503" s="20"/>
      <c r="I2503" s="21"/>
    </row>
    <row r="2504" customFormat="false" ht="15" hidden="false" customHeight="false" outlineLevel="0" collapsed="false">
      <c r="A2504" s="30"/>
      <c r="B2504" s="21"/>
      <c r="C2504" s="21" t="str">
        <f aca="false">IF(B2504="","",IFERROR(INDEX(代理店一覧!$B$5:$B$204,MATCH(B2504,代理店一覧!$A$5:$A$204,0)),"※未登録のID"))</f>
        <v/>
      </c>
      <c r="D2504" s="20"/>
      <c r="E2504" s="20"/>
      <c r="F2504" s="20"/>
      <c r="G2504" s="20"/>
      <c r="H2504" s="20"/>
      <c r="I2504" s="21"/>
    </row>
    <row r="2505" customFormat="false" ht="15" hidden="false" customHeight="false" outlineLevel="0" collapsed="false">
      <c r="A2505" s="30"/>
      <c r="B2505" s="21"/>
      <c r="C2505" s="21" t="str">
        <f aca="false">IF(B2505="","",IFERROR(INDEX(代理店一覧!$B$5:$B$204,MATCH(B2505,代理店一覧!$A$5:$A$204,0)),"※未登録のID"))</f>
        <v/>
      </c>
      <c r="D2505" s="20"/>
      <c r="E2505" s="20"/>
      <c r="F2505" s="20"/>
      <c r="G2505" s="20"/>
      <c r="H2505" s="20"/>
      <c r="I2505" s="21"/>
    </row>
    <row r="2506" customFormat="false" ht="15" hidden="false" customHeight="false" outlineLevel="0" collapsed="false">
      <c r="A2506" s="30"/>
      <c r="B2506" s="21"/>
      <c r="C2506" s="21" t="str">
        <f aca="false">IF(B2506="","",IFERROR(INDEX(代理店一覧!$B$5:$B$204,MATCH(B2506,代理店一覧!$A$5:$A$204,0)),"※未登録のID"))</f>
        <v/>
      </c>
      <c r="D2506" s="20"/>
      <c r="E2506" s="20"/>
      <c r="F2506" s="20"/>
      <c r="G2506" s="20"/>
      <c r="H2506" s="20"/>
      <c r="I2506" s="21"/>
    </row>
    <row r="2507" customFormat="false" ht="15" hidden="false" customHeight="false" outlineLevel="0" collapsed="false">
      <c r="A2507" s="30"/>
      <c r="B2507" s="21"/>
      <c r="C2507" s="21" t="str">
        <f aca="false">IF(B2507="","",IFERROR(INDEX(代理店一覧!$B$5:$B$204,MATCH(B2507,代理店一覧!$A$5:$A$204,0)),"※未登録のID"))</f>
        <v/>
      </c>
      <c r="D2507" s="20"/>
      <c r="E2507" s="20"/>
      <c r="F2507" s="20"/>
      <c r="G2507" s="20"/>
      <c r="H2507" s="20"/>
      <c r="I2507" s="21"/>
    </row>
    <row r="2508" customFormat="false" ht="15" hidden="false" customHeight="false" outlineLevel="0" collapsed="false">
      <c r="A2508" s="30"/>
      <c r="B2508" s="21"/>
      <c r="C2508" s="21" t="str">
        <f aca="false">IF(B2508="","",IFERROR(INDEX(代理店一覧!$B$5:$B$204,MATCH(B2508,代理店一覧!$A$5:$A$204,0)),"※未登録のID"))</f>
        <v/>
      </c>
      <c r="D2508" s="20"/>
      <c r="E2508" s="20"/>
      <c r="F2508" s="20"/>
      <c r="G2508" s="20"/>
      <c r="H2508" s="20"/>
      <c r="I2508" s="21"/>
    </row>
    <row r="2509" customFormat="false" ht="15" hidden="false" customHeight="false" outlineLevel="0" collapsed="false">
      <c r="A2509" s="30"/>
      <c r="B2509" s="21"/>
      <c r="C2509" s="21" t="str">
        <f aca="false">IF(B2509="","",IFERROR(INDEX(代理店一覧!$B$5:$B$204,MATCH(B2509,代理店一覧!$A$5:$A$204,0)),"※未登録のID"))</f>
        <v/>
      </c>
      <c r="D2509" s="20"/>
      <c r="E2509" s="20"/>
      <c r="F2509" s="20"/>
      <c r="G2509" s="20"/>
      <c r="H2509" s="20"/>
      <c r="I2509" s="21"/>
    </row>
    <row r="2510" customFormat="false" ht="15" hidden="false" customHeight="false" outlineLevel="0" collapsed="false">
      <c r="A2510" s="30"/>
      <c r="B2510" s="21"/>
      <c r="C2510" s="21" t="str">
        <f aca="false">IF(B2510="","",IFERROR(INDEX(代理店一覧!$B$5:$B$204,MATCH(B2510,代理店一覧!$A$5:$A$204,0)),"※未登録のID"))</f>
        <v/>
      </c>
      <c r="D2510" s="20"/>
      <c r="E2510" s="20"/>
      <c r="F2510" s="20"/>
      <c r="G2510" s="20"/>
      <c r="H2510" s="20"/>
      <c r="I2510" s="21"/>
    </row>
    <row r="2511" customFormat="false" ht="15" hidden="false" customHeight="false" outlineLevel="0" collapsed="false">
      <c r="A2511" s="30"/>
      <c r="B2511" s="21"/>
      <c r="C2511" s="21" t="str">
        <f aca="false">IF(B2511="","",IFERROR(INDEX(代理店一覧!$B$5:$B$204,MATCH(B2511,代理店一覧!$A$5:$A$204,0)),"※未登録のID"))</f>
        <v/>
      </c>
      <c r="D2511" s="20"/>
      <c r="E2511" s="20"/>
      <c r="F2511" s="20"/>
      <c r="G2511" s="20"/>
      <c r="H2511" s="20"/>
      <c r="I2511" s="21"/>
    </row>
    <row r="2512" customFormat="false" ht="15" hidden="false" customHeight="false" outlineLevel="0" collapsed="false">
      <c r="A2512" s="30"/>
      <c r="B2512" s="21"/>
      <c r="C2512" s="21" t="str">
        <f aca="false">IF(B2512="","",IFERROR(INDEX(代理店一覧!$B$5:$B$204,MATCH(B2512,代理店一覧!$A$5:$A$204,0)),"※未登録のID"))</f>
        <v/>
      </c>
      <c r="D2512" s="20"/>
      <c r="E2512" s="20"/>
      <c r="F2512" s="20"/>
      <c r="G2512" s="20"/>
      <c r="H2512" s="20"/>
      <c r="I2512" s="21"/>
    </row>
    <row r="2513" customFormat="false" ht="15" hidden="false" customHeight="false" outlineLevel="0" collapsed="false">
      <c r="A2513" s="30"/>
      <c r="B2513" s="21"/>
      <c r="C2513" s="21" t="str">
        <f aca="false">IF(B2513="","",IFERROR(INDEX(代理店一覧!$B$5:$B$204,MATCH(B2513,代理店一覧!$A$5:$A$204,0)),"※未登録のID"))</f>
        <v/>
      </c>
      <c r="D2513" s="20"/>
      <c r="E2513" s="20"/>
      <c r="F2513" s="20"/>
      <c r="G2513" s="20"/>
      <c r="H2513" s="20"/>
      <c r="I2513" s="21"/>
    </row>
    <row r="2514" customFormat="false" ht="15" hidden="false" customHeight="false" outlineLevel="0" collapsed="false">
      <c r="A2514" s="30"/>
      <c r="B2514" s="21"/>
      <c r="C2514" s="21" t="str">
        <f aca="false">IF(B2514="","",IFERROR(INDEX(代理店一覧!$B$5:$B$204,MATCH(B2514,代理店一覧!$A$5:$A$204,0)),"※未登録のID"))</f>
        <v/>
      </c>
      <c r="D2514" s="20"/>
      <c r="E2514" s="20"/>
      <c r="F2514" s="20"/>
      <c r="G2514" s="20"/>
      <c r="H2514" s="20"/>
      <c r="I2514" s="21"/>
    </row>
    <row r="2515" customFormat="false" ht="15" hidden="false" customHeight="false" outlineLevel="0" collapsed="false">
      <c r="A2515" s="30"/>
      <c r="B2515" s="21"/>
      <c r="C2515" s="21" t="str">
        <f aca="false">IF(B2515="","",IFERROR(INDEX(代理店一覧!$B$5:$B$204,MATCH(B2515,代理店一覧!$A$5:$A$204,0)),"※未登録のID"))</f>
        <v/>
      </c>
      <c r="D2515" s="20"/>
      <c r="E2515" s="20"/>
      <c r="F2515" s="20"/>
      <c r="G2515" s="20"/>
      <c r="H2515" s="20"/>
      <c r="I2515" s="21"/>
    </row>
    <row r="2516" customFormat="false" ht="15" hidden="false" customHeight="false" outlineLevel="0" collapsed="false">
      <c r="A2516" s="30"/>
      <c r="B2516" s="21"/>
      <c r="C2516" s="21" t="str">
        <f aca="false">IF(B2516="","",IFERROR(INDEX(代理店一覧!$B$5:$B$204,MATCH(B2516,代理店一覧!$A$5:$A$204,0)),"※未登録のID"))</f>
        <v/>
      </c>
      <c r="D2516" s="20"/>
      <c r="E2516" s="20"/>
      <c r="F2516" s="20"/>
      <c r="G2516" s="20"/>
      <c r="H2516" s="20"/>
      <c r="I2516" s="21"/>
    </row>
    <row r="2517" customFormat="false" ht="15" hidden="false" customHeight="false" outlineLevel="0" collapsed="false">
      <c r="A2517" s="30"/>
      <c r="B2517" s="21"/>
      <c r="C2517" s="21" t="str">
        <f aca="false">IF(B2517="","",IFERROR(INDEX(代理店一覧!$B$5:$B$204,MATCH(B2517,代理店一覧!$A$5:$A$204,0)),"※未登録のID"))</f>
        <v/>
      </c>
      <c r="D2517" s="20"/>
      <c r="E2517" s="20"/>
      <c r="F2517" s="20"/>
      <c r="G2517" s="20"/>
      <c r="H2517" s="20"/>
      <c r="I2517" s="21"/>
    </row>
    <row r="2518" customFormat="false" ht="15" hidden="false" customHeight="false" outlineLevel="0" collapsed="false">
      <c r="A2518" s="30"/>
      <c r="B2518" s="21"/>
      <c r="C2518" s="21" t="str">
        <f aca="false">IF(B2518="","",IFERROR(INDEX(代理店一覧!$B$5:$B$204,MATCH(B2518,代理店一覧!$A$5:$A$204,0)),"※未登録のID"))</f>
        <v/>
      </c>
      <c r="D2518" s="20"/>
      <c r="E2518" s="20"/>
      <c r="F2518" s="20"/>
      <c r="G2518" s="20"/>
      <c r="H2518" s="20"/>
      <c r="I2518" s="21"/>
    </row>
    <row r="2519" customFormat="false" ht="15" hidden="false" customHeight="false" outlineLevel="0" collapsed="false">
      <c r="A2519" s="30"/>
      <c r="B2519" s="21"/>
      <c r="C2519" s="21" t="str">
        <f aca="false">IF(B2519="","",IFERROR(INDEX(代理店一覧!$B$5:$B$204,MATCH(B2519,代理店一覧!$A$5:$A$204,0)),"※未登録のID"))</f>
        <v/>
      </c>
      <c r="D2519" s="20"/>
      <c r="E2519" s="20"/>
      <c r="F2519" s="20"/>
      <c r="G2519" s="20"/>
      <c r="H2519" s="20"/>
      <c r="I2519" s="21"/>
    </row>
    <row r="2520" customFormat="false" ht="15" hidden="false" customHeight="false" outlineLevel="0" collapsed="false">
      <c r="A2520" s="30"/>
      <c r="B2520" s="21"/>
      <c r="C2520" s="21" t="str">
        <f aca="false">IF(B2520="","",IFERROR(INDEX(代理店一覧!$B$5:$B$204,MATCH(B2520,代理店一覧!$A$5:$A$204,0)),"※未登録のID"))</f>
        <v/>
      </c>
      <c r="D2520" s="20"/>
      <c r="E2520" s="20"/>
      <c r="F2520" s="20"/>
      <c r="G2520" s="20"/>
      <c r="H2520" s="20"/>
      <c r="I2520" s="21"/>
    </row>
    <row r="2521" customFormat="false" ht="15" hidden="false" customHeight="false" outlineLevel="0" collapsed="false">
      <c r="A2521" s="30"/>
      <c r="B2521" s="21"/>
      <c r="C2521" s="21" t="str">
        <f aca="false">IF(B2521="","",IFERROR(INDEX(代理店一覧!$B$5:$B$204,MATCH(B2521,代理店一覧!$A$5:$A$204,0)),"※未登録のID"))</f>
        <v/>
      </c>
      <c r="D2521" s="20"/>
      <c r="E2521" s="20"/>
      <c r="F2521" s="20"/>
      <c r="G2521" s="20"/>
      <c r="H2521" s="20"/>
      <c r="I2521" s="21"/>
    </row>
    <row r="2522" customFormat="false" ht="15" hidden="false" customHeight="false" outlineLevel="0" collapsed="false">
      <c r="A2522" s="30"/>
      <c r="B2522" s="21"/>
      <c r="C2522" s="21" t="str">
        <f aca="false">IF(B2522="","",IFERROR(INDEX(代理店一覧!$B$5:$B$204,MATCH(B2522,代理店一覧!$A$5:$A$204,0)),"※未登録のID"))</f>
        <v/>
      </c>
      <c r="D2522" s="20"/>
      <c r="E2522" s="20"/>
      <c r="F2522" s="20"/>
      <c r="G2522" s="20"/>
      <c r="H2522" s="20"/>
      <c r="I2522" s="21"/>
    </row>
    <row r="2523" customFormat="false" ht="15" hidden="false" customHeight="false" outlineLevel="0" collapsed="false">
      <c r="A2523" s="30"/>
      <c r="B2523" s="21"/>
      <c r="C2523" s="21" t="str">
        <f aca="false">IF(B2523="","",IFERROR(INDEX(代理店一覧!$B$5:$B$204,MATCH(B2523,代理店一覧!$A$5:$A$204,0)),"※未登録のID"))</f>
        <v/>
      </c>
      <c r="D2523" s="20"/>
      <c r="E2523" s="20"/>
      <c r="F2523" s="20"/>
      <c r="G2523" s="20"/>
      <c r="H2523" s="20"/>
      <c r="I2523" s="21"/>
    </row>
    <row r="2524" customFormat="false" ht="15" hidden="false" customHeight="false" outlineLevel="0" collapsed="false">
      <c r="A2524" s="30"/>
      <c r="B2524" s="21"/>
      <c r="C2524" s="21" t="str">
        <f aca="false">IF(B2524="","",IFERROR(INDEX(代理店一覧!$B$5:$B$204,MATCH(B2524,代理店一覧!$A$5:$A$204,0)),"※未登録のID"))</f>
        <v/>
      </c>
      <c r="D2524" s="20"/>
      <c r="E2524" s="20"/>
      <c r="F2524" s="20"/>
      <c r="G2524" s="20"/>
      <c r="H2524" s="20"/>
      <c r="I2524" s="21"/>
    </row>
    <row r="2525" customFormat="false" ht="15" hidden="false" customHeight="false" outlineLevel="0" collapsed="false">
      <c r="A2525" s="30"/>
      <c r="B2525" s="21"/>
      <c r="C2525" s="21" t="str">
        <f aca="false">IF(B2525="","",IFERROR(INDEX(代理店一覧!$B$5:$B$204,MATCH(B2525,代理店一覧!$A$5:$A$204,0)),"※未登録のID"))</f>
        <v/>
      </c>
      <c r="D2525" s="20"/>
      <c r="E2525" s="20"/>
      <c r="F2525" s="20"/>
      <c r="G2525" s="20"/>
      <c r="H2525" s="20"/>
      <c r="I2525" s="21"/>
    </row>
    <row r="2526" customFormat="false" ht="15" hidden="false" customHeight="false" outlineLevel="0" collapsed="false">
      <c r="A2526" s="30"/>
      <c r="B2526" s="21"/>
      <c r="C2526" s="21" t="str">
        <f aca="false">IF(B2526="","",IFERROR(INDEX(代理店一覧!$B$5:$B$204,MATCH(B2526,代理店一覧!$A$5:$A$204,0)),"※未登録のID"))</f>
        <v/>
      </c>
      <c r="D2526" s="20"/>
      <c r="E2526" s="20"/>
      <c r="F2526" s="20"/>
      <c r="G2526" s="20"/>
      <c r="H2526" s="20"/>
      <c r="I2526" s="21"/>
    </row>
    <row r="2527" customFormat="false" ht="15" hidden="false" customHeight="false" outlineLevel="0" collapsed="false">
      <c r="A2527" s="30"/>
      <c r="B2527" s="21"/>
      <c r="C2527" s="21" t="str">
        <f aca="false">IF(B2527="","",IFERROR(INDEX(代理店一覧!$B$5:$B$204,MATCH(B2527,代理店一覧!$A$5:$A$204,0)),"※未登録のID"))</f>
        <v/>
      </c>
      <c r="D2527" s="20"/>
      <c r="E2527" s="20"/>
      <c r="F2527" s="20"/>
      <c r="G2527" s="20"/>
      <c r="H2527" s="20"/>
      <c r="I2527" s="21"/>
    </row>
    <row r="2528" customFormat="false" ht="15" hidden="false" customHeight="false" outlineLevel="0" collapsed="false">
      <c r="A2528" s="30"/>
      <c r="B2528" s="21"/>
      <c r="C2528" s="21" t="str">
        <f aca="false">IF(B2528="","",IFERROR(INDEX(代理店一覧!$B$5:$B$204,MATCH(B2528,代理店一覧!$A$5:$A$204,0)),"※未登録のID"))</f>
        <v/>
      </c>
      <c r="D2528" s="20"/>
      <c r="E2528" s="20"/>
      <c r="F2528" s="20"/>
      <c r="G2528" s="20"/>
      <c r="H2528" s="20"/>
      <c r="I2528" s="21"/>
    </row>
    <row r="2529" customFormat="false" ht="15" hidden="false" customHeight="false" outlineLevel="0" collapsed="false">
      <c r="A2529" s="30"/>
      <c r="B2529" s="21"/>
      <c r="C2529" s="21" t="str">
        <f aca="false">IF(B2529="","",IFERROR(INDEX(代理店一覧!$B$5:$B$204,MATCH(B2529,代理店一覧!$A$5:$A$204,0)),"※未登録のID"))</f>
        <v/>
      </c>
      <c r="D2529" s="20"/>
      <c r="E2529" s="20"/>
      <c r="F2529" s="20"/>
      <c r="G2529" s="20"/>
      <c r="H2529" s="20"/>
      <c r="I2529" s="21"/>
    </row>
    <row r="2530" customFormat="false" ht="15" hidden="false" customHeight="false" outlineLevel="0" collapsed="false">
      <c r="A2530" s="30"/>
      <c r="B2530" s="21"/>
      <c r="C2530" s="21" t="str">
        <f aca="false">IF(B2530="","",IFERROR(INDEX(代理店一覧!$B$5:$B$204,MATCH(B2530,代理店一覧!$A$5:$A$204,0)),"※未登録のID"))</f>
        <v/>
      </c>
      <c r="D2530" s="20"/>
      <c r="E2530" s="20"/>
      <c r="F2530" s="20"/>
      <c r="G2530" s="20"/>
      <c r="H2530" s="20"/>
      <c r="I2530" s="21"/>
    </row>
    <row r="2531" customFormat="false" ht="15" hidden="false" customHeight="false" outlineLevel="0" collapsed="false">
      <c r="A2531" s="30"/>
      <c r="B2531" s="21"/>
      <c r="C2531" s="21" t="str">
        <f aca="false">IF(B2531="","",IFERROR(INDEX(代理店一覧!$B$5:$B$204,MATCH(B2531,代理店一覧!$A$5:$A$204,0)),"※未登録のID"))</f>
        <v/>
      </c>
      <c r="D2531" s="20"/>
      <c r="E2531" s="20"/>
      <c r="F2531" s="20"/>
      <c r="G2531" s="20"/>
      <c r="H2531" s="20"/>
      <c r="I2531" s="21"/>
    </row>
    <row r="2532" customFormat="false" ht="15" hidden="false" customHeight="false" outlineLevel="0" collapsed="false">
      <c r="A2532" s="30"/>
      <c r="B2532" s="21"/>
      <c r="C2532" s="21" t="str">
        <f aca="false">IF(B2532="","",IFERROR(INDEX(代理店一覧!$B$5:$B$204,MATCH(B2532,代理店一覧!$A$5:$A$204,0)),"※未登録のID"))</f>
        <v/>
      </c>
      <c r="D2532" s="20"/>
      <c r="E2532" s="20"/>
      <c r="F2532" s="20"/>
      <c r="G2532" s="20"/>
      <c r="H2532" s="20"/>
      <c r="I2532" s="21"/>
    </row>
    <row r="2533" customFormat="false" ht="15" hidden="false" customHeight="false" outlineLevel="0" collapsed="false">
      <c r="A2533" s="30"/>
      <c r="B2533" s="21"/>
      <c r="C2533" s="21" t="str">
        <f aca="false">IF(B2533="","",IFERROR(INDEX(代理店一覧!$B$5:$B$204,MATCH(B2533,代理店一覧!$A$5:$A$204,0)),"※未登録のID"))</f>
        <v/>
      </c>
      <c r="D2533" s="20"/>
      <c r="E2533" s="20"/>
      <c r="F2533" s="20"/>
      <c r="G2533" s="20"/>
      <c r="H2533" s="20"/>
      <c r="I2533" s="21"/>
    </row>
    <row r="2534" customFormat="false" ht="15" hidden="false" customHeight="false" outlineLevel="0" collapsed="false">
      <c r="A2534" s="30"/>
      <c r="B2534" s="21"/>
      <c r="C2534" s="21" t="str">
        <f aca="false">IF(B2534="","",IFERROR(INDEX(代理店一覧!$B$5:$B$204,MATCH(B2534,代理店一覧!$A$5:$A$204,0)),"※未登録のID"))</f>
        <v/>
      </c>
      <c r="D2534" s="20"/>
      <c r="E2534" s="20"/>
      <c r="F2534" s="20"/>
      <c r="G2534" s="20"/>
      <c r="H2534" s="20"/>
      <c r="I2534" s="21"/>
    </row>
    <row r="2535" customFormat="false" ht="15" hidden="false" customHeight="false" outlineLevel="0" collapsed="false">
      <c r="A2535" s="30"/>
      <c r="B2535" s="21"/>
      <c r="C2535" s="21" t="str">
        <f aca="false">IF(B2535="","",IFERROR(INDEX(代理店一覧!$B$5:$B$204,MATCH(B2535,代理店一覧!$A$5:$A$204,0)),"※未登録のID"))</f>
        <v/>
      </c>
      <c r="D2535" s="20"/>
      <c r="E2535" s="20"/>
      <c r="F2535" s="20"/>
      <c r="G2535" s="20"/>
      <c r="H2535" s="20"/>
      <c r="I2535" s="21"/>
    </row>
    <row r="2536" customFormat="false" ht="15" hidden="false" customHeight="false" outlineLevel="0" collapsed="false">
      <c r="A2536" s="30"/>
      <c r="B2536" s="21"/>
      <c r="C2536" s="21" t="str">
        <f aca="false">IF(B2536="","",IFERROR(INDEX(代理店一覧!$B$5:$B$204,MATCH(B2536,代理店一覧!$A$5:$A$204,0)),"※未登録のID"))</f>
        <v/>
      </c>
      <c r="D2536" s="20"/>
      <c r="E2536" s="20"/>
      <c r="F2536" s="20"/>
      <c r="G2536" s="20"/>
      <c r="H2536" s="20"/>
      <c r="I2536" s="21"/>
    </row>
    <row r="2537" customFormat="false" ht="15" hidden="false" customHeight="false" outlineLevel="0" collapsed="false">
      <c r="A2537" s="30"/>
      <c r="B2537" s="21"/>
      <c r="C2537" s="21" t="str">
        <f aca="false">IF(B2537="","",IFERROR(INDEX(代理店一覧!$B$5:$B$204,MATCH(B2537,代理店一覧!$A$5:$A$204,0)),"※未登録のID"))</f>
        <v/>
      </c>
      <c r="D2537" s="20"/>
      <c r="E2537" s="20"/>
      <c r="F2537" s="20"/>
      <c r="G2537" s="20"/>
      <c r="H2537" s="20"/>
      <c r="I2537" s="21"/>
    </row>
    <row r="2538" customFormat="false" ht="15" hidden="false" customHeight="false" outlineLevel="0" collapsed="false">
      <c r="A2538" s="30"/>
      <c r="B2538" s="21"/>
      <c r="C2538" s="21" t="str">
        <f aca="false">IF(B2538="","",IFERROR(INDEX(代理店一覧!$B$5:$B$204,MATCH(B2538,代理店一覧!$A$5:$A$204,0)),"※未登録のID"))</f>
        <v/>
      </c>
      <c r="D2538" s="20"/>
      <c r="E2538" s="20"/>
      <c r="F2538" s="20"/>
      <c r="G2538" s="20"/>
      <c r="H2538" s="20"/>
      <c r="I2538" s="21"/>
    </row>
    <row r="2539" customFormat="false" ht="15" hidden="false" customHeight="false" outlineLevel="0" collapsed="false">
      <c r="A2539" s="30"/>
      <c r="B2539" s="21"/>
      <c r="C2539" s="21" t="str">
        <f aca="false">IF(B2539="","",IFERROR(INDEX(代理店一覧!$B$5:$B$204,MATCH(B2539,代理店一覧!$A$5:$A$204,0)),"※未登録のID"))</f>
        <v/>
      </c>
      <c r="D2539" s="20"/>
      <c r="E2539" s="20"/>
      <c r="F2539" s="20"/>
      <c r="G2539" s="20"/>
      <c r="H2539" s="20"/>
      <c r="I2539" s="21"/>
    </row>
    <row r="2540" customFormat="false" ht="15" hidden="false" customHeight="false" outlineLevel="0" collapsed="false">
      <c r="A2540" s="30"/>
      <c r="B2540" s="21"/>
      <c r="C2540" s="21" t="str">
        <f aca="false">IF(B2540="","",IFERROR(INDEX(代理店一覧!$B$5:$B$204,MATCH(B2540,代理店一覧!$A$5:$A$204,0)),"※未登録のID"))</f>
        <v/>
      </c>
      <c r="D2540" s="20"/>
      <c r="E2540" s="20"/>
      <c r="F2540" s="20"/>
      <c r="G2540" s="20"/>
      <c r="H2540" s="20"/>
      <c r="I2540" s="21"/>
    </row>
    <row r="2541" customFormat="false" ht="15" hidden="false" customHeight="false" outlineLevel="0" collapsed="false">
      <c r="A2541" s="30"/>
      <c r="B2541" s="21"/>
      <c r="C2541" s="21" t="str">
        <f aca="false">IF(B2541="","",IFERROR(INDEX(代理店一覧!$B$5:$B$204,MATCH(B2541,代理店一覧!$A$5:$A$204,0)),"※未登録のID"))</f>
        <v/>
      </c>
      <c r="D2541" s="20"/>
      <c r="E2541" s="20"/>
      <c r="F2541" s="20"/>
      <c r="G2541" s="20"/>
      <c r="H2541" s="20"/>
      <c r="I2541" s="21"/>
    </row>
    <row r="2542" customFormat="false" ht="15" hidden="false" customHeight="false" outlineLevel="0" collapsed="false">
      <c r="A2542" s="30"/>
      <c r="B2542" s="21"/>
      <c r="C2542" s="21" t="str">
        <f aca="false">IF(B2542="","",IFERROR(INDEX(代理店一覧!$B$5:$B$204,MATCH(B2542,代理店一覧!$A$5:$A$204,0)),"※未登録のID"))</f>
        <v/>
      </c>
      <c r="D2542" s="20"/>
      <c r="E2542" s="20"/>
      <c r="F2542" s="20"/>
      <c r="G2542" s="20"/>
      <c r="H2542" s="20"/>
      <c r="I2542" s="21"/>
    </row>
    <row r="2543" customFormat="false" ht="15" hidden="false" customHeight="false" outlineLevel="0" collapsed="false">
      <c r="A2543" s="30"/>
      <c r="B2543" s="21"/>
      <c r="C2543" s="21" t="str">
        <f aca="false">IF(B2543="","",IFERROR(INDEX(代理店一覧!$B$5:$B$204,MATCH(B2543,代理店一覧!$A$5:$A$204,0)),"※未登録のID"))</f>
        <v/>
      </c>
      <c r="D2543" s="20"/>
      <c r="E2543" s="20"/>
      <c r="F2543" s="20"/>
      <c r="G2543" s="20"/>
      <c r="H2543" s="20"/>
      <c r="I2543" s="21"/>
    </row>
    <row r="2544" customFormat="false" ht="15" hidden="false" customHeight="false" outlineLevel="0" collapsed="false">
      <c r="A2544" s="30"/>
      <c r="B2544" s="21"/>
      <c r="C2544" s="21" t="str">
        <f aca="false">IF(B2544="","",IFERROR(INDEX(代理店一覧!$B$5:$B$204,MATCH(B2544,代理店一覧!$A$5:$A$204,0)),"※未登録のID"))</f>
        <v/>
      </c>
      <c r="D2544" s="20"/>
      <c r="E2544" s="20"/>
      <c r="F2544" s="20"/>
      <c r="G2544" s="20"/>
      <c r="H2544" s="20"/>
      <c r="I2544" s="21"/>
    </row>
    <row r="2545" customFormat="false" ht="15" hidden="false" customHeight="false" outlineLevel="0" collapsed="false">
      <c r="A2545" s="30"/>
      <c r="B2545" s="21"/>
      <c r="C2545" s="21" t="str">
        <f aca="false">IF(B2545="","",IFERROR(INDEX(代理店一覧!$B$5:$B$204,MATCH(B2545,代理店一覧!$A$5:$A$204,0)),"※未登録のID"))</f>
        <v/>
      </c>
      <c r="D2545" s="20"/>
      <c r="E2545" s="20"/>
      <c r="F2545" s="20"/>
      <c r="G2545" s="20"/>
      <c r="H2545" s="20"/>
      <c r="I2545" s="21"/>
    </row>
    <row r="2546" customFormat="false" ht="15" hidden="false" customHeight="false" outlineLevel="0" collapsed="false">
      <c r="A2546" s="30"/>
      <c r="B2546" s="21"/>
      <c r="C2546" s="21" t="str">
        <f aca="false">IF(B2546="","",IFERROR(INDEX(代理店一覧!$B$5:$B$204,MATCH(B2546,代理店一覧!$A$5:$A$204,0)),"※未登録のID"))</f>
        <v/>
      </c>
      <c r="D2546" s="20"/>
      <c r="E2546" s="20"/>
      <c r="F2546" s="20"/>
      <c r="G2546" s="20"/>
      <c r="H2546" s="20"/>
      <c r="I2546" s="21"/>
    </row>
    <row r="2547" customFormat="false" ht="15" hidden="false" customHeight="false" outlineLevel="0" collapsed="false">
      <c r="A2547" s="30"/>
      <c r="B2547" s="21"/>
      <c r="C2547" s="21" t="str">
        <f aca="false">IF(B2547="","",IFERROR(INDEX(代理店一覧!$B$5:$B$204,MATCH(B2547,代理店一覧!$A$5:$A$204,0)),"※未登録のID"))</f>
        <v/>
      </c>
      <c r="D2547" s="20"/>
      <c r="E2547" s="20"/>
      <c r="F2547" s="20"/>
      <c r="G2547" s="20"/>
      <c r="H2547" s="20"/>
      <c r="I2547" s="21"/>
    </row>
    <row r="2548" customFormat="false" ht="15" hidden="false" customHeight="false" outlineLevel="0" collapsed="false">
      <c r="A2548" s="30"/>
      <c r="B2548" s="21"/>
      <c r="C2548" s="21" t="str">
        <f aca="false">IF(B2548="","",IFERROR(INDEX(代理店一覧!$B$5:$B$204,MATCH(B2548,代理店一覧!$A$5:$A$204,0)),"※未登録のID"))</f>
        <v/>
      </c>
      <c r="D2548" s="20"/>
      <c r="E2548" s="20"/>
      <c r="F2548" s="20"/>
      <c r="G2548" s="20"/>
      <c r="H2548" s="20"/>
      <c r="I2548" s="21"/>
    </row>
    <row r="2549" customFormat="false" ht="15" hidden="false" customHeight="false" outlineLevel="0" collapsed="false">
      <c r="A2549" s="30"/>
      <c r="B2549" s="21"/>
      <c r="C2549" s="21" t="str">
        <f aca="false">IF(B2549="","",IFERROR(INDEX(代理店一覧!$B$5:$B$204,MATCH(B2549,代理店一覧!$A$5:$A$204,0)),"※未登録のID"))</f>
        <v/>
      </c>
      <c r="D2549" s="20"/>
      <c r="E2549" s="20"/>
      <c r="F2549" s="20"/>
      <c r="G2549" s="20"/>
      <c r="H2549" s="20"/>
      <c r="I2549" s="21"/>
    </row>
    <row r="2550" customFormat="false" ht="15" hidden="false" customHeight="false" outlineLevel="0" collapsed="false">
      <c r="A2550" s="30"/>
      <c r="B2550" s="21"/>
      <c r="C2550" s="21" t="str">
        <f aca="false">IF(B2550="","",IFERROR(INDEX(代理店一覧!$B$5:$B$204,MATCH(B2550,代理店一覧!$A$5:$A$204,0)),"※未登録のID"))</f>
        <v/>
      </c>
      <c r="D2550" s="20"/>
      <c r="E2550" s="20"/>
      <c r="F2550" s="20"/>
      <c r="G2550" s="20"/>
      <c r="H2550" s="20"/>
      <c r="I2550" s="21"/>
    </row>
    <row r="2551" customFormat="false" ht="15" hidden="false" customHeight="false" outlineLevel="0" collapsed="false">
      <c r="A2551" s="30"/>
      <c r="B2551" s="21"/>
      <c r="C2551" s="21" t="str">
        <f aca="false">IF(B2551="","",IFERROR(INDEX(代理店一覧!$B$5:$B$204,MATCH(B2551,代理店一覧!$A$5:$A$204,0)),"※未登録のID"))</f>
        <v/>
      </c>
      <c r="D2551" s="20"/>
      <c r="E2551" s="20"/>
      <c r="F2551" s="20"/>
      <c r="G2551" s="20"/>
      <c r="H2551" s="20"/>
      <c r="I2551" s="21"/>
    </row>
    <row r="2552" customFormat="false" ht="15" hidden="false" customHeight="false" outlineLevel="0" collapsed="false">
      <c r="A2552" s="30"/>
      <c r="B2552" s="21"/>
      <c r="C2552" s="21" t="str">
        <f aca="false">IF(B2552="","",IFERROR(INDEX(代理店一覧!$B$5:$B$204,MATCH(B2552,代理店一覧!$A$5:$A$204,0)),"※未登録のID"))</f>
        <v/>
      </c>
      <c r="D2552" s="20"/>
      <c r="E2552" s="20"/>
      <c r="F2552" s="20"/>
      <c r="G2552" s="20"/>
      <c r="H2552" s="20"/>
      <c r="I2552" s="21"/>
    </row>
    <row r="2553" customFormat="false" ht="15" hidden="false" customHeight="false" outlineLevel="0" collapsed="false">
      <c r="A2553" s="30"/>
      <c r="B2553" s="21"/>
      <c r="C2553" s="21" t="str">
        <f aca="false">IF(B2553="","",IFERROR(INDEX(代理店一覧!$B$5:$B$204,MATCH(B2553,代理店一覧!$A$5:$A$204,0)),"※未登録のID"))</f>
        <v/>
      </c>
      <c r="D2553" s="20"/>
      <c r="E2553" s="20"/>
      <c r="F2553" s="20"/>
      <c r="G2553" s="20"/>
      <c r="H2553" s="20"/>
      <c r="I2553" s="21"/>
    </row>
    <row r="2554" customFormat="false" ht="15" hidden="false" customHeight="false" outlineLevel="0" collapsed="false">
      <c r="A2554" s="30"/>
      <c r="B2554" s="21"/>
      <c r="C2554" s="21" t="str">
        <f aca="false">IF(B2554="","",IFERROR(INDEX(代理店一覧!$B$5:$B$204,MATCH(B2554,代理店一覧!$A$5:$A$204,0)),"※未登録のID"))</f>
        <v/>
      </c>
      <c r="D2554" s="20"/>
      <c r="E2554" s="20"/>
      <c r="F2554" s="20"/>
      <c r="G2554" s="20"/>
      <c r="H2554" s="20"/>
      <c r="I2554" s="21"/>
    </row>
    <row r="2555" customFormat="false" ht="15" hidden="false" customHeight="false" outlineLevel="0" collapsed="false">
      <c r="A2555" s="30"/>
      <c r="B2555" s="21"/>
      <c r="C2555" s="21" t="str">
        <f aca="false">IF(B2555="","",IFERROR(INDEX(代理店一覧!$B$5:$B$204,MATCH(B2555,代理店一覧!$A$5:$A$204,0)),"※未登録のID"))</f>
        <v/>
      </c>
      <c r="D2555" s="20"/>
      <c r="E2555" s="20"/>
      <c r="F2555" s="20"/>
      <c r="G2555" s="20"/>
      <c r="H2555" s="20"/>
      <c r="I2555" s="21"/>
    </row>
    <row r="2556" customFormat="false" ht="15" hidden="false" customHeight="false" outlineLevel="0" collapsed="false">
      <c r="A2556" s="30"/>
      <c r="B2556" s="21"/>
      <c r="C2556" s="21" t="str">
        <f aca="false">IF(B2556="","",IFERROR(INDEX(代理店一覧!$B$5:$B$204,MATCH(B2556,代理店一覧!$A$5:$A$204,0)),"※未登録のID"))</f>
        <v/>
      </c>
      <c r="D2556" s="20"/>
      <c r="E2556" s="20"/>
      <c r="F2556" s="20"/>
      <c r="G2556" s="20"/>
      <c r="H2556" s="20"/>
      <c r="I2556" s="21"/>
    </row>
    <row r="2557" customFormat="false" ht="15" hidden="false" customHeight="false" outlineLevel="0" collapsed="false">
      <c r="A2557" s="30"/>
      <c r="B2557" s="21"/>
      <c r="C2557" s="21" t="str">
        <f aca="false">IF(B2557="","",IFERROR(INDEX(代理店一覧!$B$5:$B$204,MATCH(B2557,代理店一覧!$A$5:$A$204,0)),"※未登録のID"))</f>
        <v/>
      </c>
      <c r="D2557" s="20"/>
      <c r="E2557" s="20"/>
      <c r="F2557" s="20"/>
      <c r="G2557" s="20"/>
      <c r="H2557" s="20"/>
      <c r="I2557" s="21"/>
    </row>
    <row r="2558" customFormat="false" ht="15" hidden="false" customHeight="false" outlineLevel="0" collapsed="false">
      <c r="A2558" s="30"/>
      <c r="B2558" s="21"/>
      <c r="C2558" s="21" t="str">
        <f aca="false">IF(B2558="","",IFERROR(INDEX(代理店一覧!$B$5:$B$204,MATCH(B2558,代理店一覧!$A$5:$A$204,0)),"※未登録のID"))</f>
        <v/>
      </c>
      <c r="D2558" s="20"/>
      <c r="E2558" s="20"/>
      <c r="F2558" s="20"/>
      <c r="G2558" s="20"/>
      <c r="H2558" s="20"/>
      <c r="I2558" s="21"/>
    </row>
    <row r="2559" customFormat="false" ht="15" hidden="false" customHeight="false" outlineLevel="0" collapsed="false">
      <c r="A2559" s="30"/>
      <c r="B2559" s="21"/>
      <c r="C2559" s="21" t="str">
        <f aca="false">IF(B2559="","",IFERROR(INDEX(代理店一覧!$B$5:$B$204,MATCH(B2559,代理店一覧!$A$5:$A$204,0)),"※未登録のID"))</f>
        <v/>
      </c>
      <c r="D2559" s="20"/>
      <c r="E2559" s="20"/>
      <c r="F2559" s="20"/>
      <c r="G2559" s="20"/>
      <c r="H2559" s="20"/>
      <c r="I2559" s="21"/>
    </row>
    <row r="2560" customFormat="false" ht="15" hidden="false" customHeight="false" outlineLevel="0" collapsed="false">
      <c r="A2560" s="30"/>
      <c r="B2560" s="21"/>
      <c r="C2560" s="21" t="str">
        <f aca="false">IF(B2560="","",IFERROR(INDEX(代理店一覧!$B$5:$B$204,MATCH(B2560,代理店一覧!$A$5:$A$204,0)),"※未登録のID"))</f>
        <v/>
      </c>
      <c r="D2560" s="20"/>
      <c r="E2560" s="20"/>
      <c r="F2560" s="20"/>
      <c r="G2560" s="20"/>
      <c r="H2560" s="20"/>
      <c r="I2560" s="21"/>
    </row>
    <row r="2561" customFormat="false" ht="15" hidden="false" customHeight="false" outlineLevel="0" collapsed="false">
      <c r="A2561" s="30"/>
      <c r="B2561" s="21"/>
      <c r="C2561" s="21" t="str">
        <f aca="false">IF(B2561="","",IFERROR(INDEX(代理店一覧!$B$5:$B$204,MATCH(B2561,代理店一覧!$A$5:$A$204,0)),"※未登録のID"))</f>
        <v/>
      </c>
      <c r="D2561" s="20"/>
      <c r="E2561" s="20"/>
      <c r="F2561" s="20"/>
      <c r="G2561" s="20"/>
      <c r="H2561" s="20"/>
      <c r="I2561" s="21"/>
    </row>
    <row r="2562" customFormat="false" ht="15" hidden="false" customHeight="false" outlineLevel="0" collapsed="false">
      <c r="A2562" s="30"/>
      <c r="B2562" s="21"/>
      <c r="C2562" s="21" t="str">
        <f aca="false">IF(B2562="","",IFERROR(INDEX(代理店一覧!$B$5:$B$204,MATCH(B2562,代理店一覧!$A$5:$A$204,0)),"※未登録のID"))</f>
        <v/>
      </c>
      <c r="D2562" s="20"/>
      <c r="E2562" s="20"/>
      <c r="F2562" s="20"/>
      <c r="G2562" s="20"/>
      <c r="H2562" s="20"/>
      <c r="I2562" s="21"/>
    </row>
    <row r="2563" customFormat="false" ht="15" hidden="false" customHeight="false" outlineLevel="0" collapsed="false">
      <c r="A2563" s="30"/>
      <c r="B2563" s="21"/>
      <c r="C2563" s="21" t="str">
        <f aca="false">IF(B2563="","",IFERROR(INDEX(代理店一覧!$B$5:$B$204,MATCH(B2563,代理店一覧!$A$5:$A$204,0)),"※未登録のID"))</f>
        <v/>
      </c>
      <c r="D2563" s="20"/>
      <c r="E2563" s="20"/>
      <c r="F2563" s="20"/>
      <c r="G2563" s="20"/>
      <c r="H2563" s="20"/>
      <c r="I2563" s="21"/>
    </row>
    <row r="2564" customFormat="false" ht="15" hidden="false" customHeight="false" outlineLevel="0" collapsed="false">
      <c r="A2564" s="30"/>
      <c r="B2564" s="21"/>
      <c r="C2564" s="21" t="str">
        <f aca="false">IF(B2564="","",IFERROR(INDEX(代理店一覧!$B$5:$B$204,MATCH(B2564,代理店一覧!$A$5:$A$204,0)),"※未登録のID"))</f>
        <v/>
      </c>
      <c r="D2564" s="20"/>
      <c r="E2564" s="20"/>
      <c r="F2564" s="20"/>
      <c r="G2564" s="20"/>
      <c r="H2564" s="20"/>
      <c r="I2564" s="21"/>
    </row>
    <row r="2565" customFormat="false" ht="15" hidden="false" customHeight="false" outlineLevel="0" collapsed="false">
      <c r="A2565" s="30"/>
      <c r="B2565" s="21"/>
      <c r="C2565" s="21" t="str">
        <f aca="false">IF(B2565="","",IFERROR(INDEX(代理店一覧!$B$5:$B$204,MATCH(B2565,代理店一覧!$A$5:$A$204,0)),"※未登録のID"))</f>
        <v/>
      </c>
      <c r="D2565" s="20"/>
      <c r="E2565" s="20"/>
      <c r="F2565" s="20"/>
      <c r="G2565" s="20"/>
      <c r="H2565" s="20"/>
      <c r="I2565" s="21"/>
    </row>
    <row r="2566" customFormat="false" ht="15" hidden="false" customHeight="false" outlineLevel="0" collapsed="false">
      <c r="A2566" s="30"/>
      <c r="B2566" s="21"/>
      <c r="C2566" s="21" t="str">
        <f aca="false">IF(B2566="","",IFERROR(INDEX(代理店一覧!$B$5:$B$204,MATCH(B2566,代理店一覧!$A$5:$A$204,0)),"※未登録のID"))</f>
        <v/>
      </c>
      <c r="D2566" s="20"/>
      <c r="E2566" s="20"/>
      <c r="F2566" s="20"/>
      <c r="G2566" s="20"/>
      <c r="H2566" s="20"/>
      <c r="I2566" s="21"/>
    </row>
    <row r="2567" customFormat="false" ht="15" hidden="false" customHeight="false" outlineLevel="0" collapsed="false">
      <c r="A2567" s="30"/>
      <c r="B2567" s="21"/>
      <c r="C2567" s="21" t="str">
        <f aca="false">IF(B2567="","",IFERROR(INDEX(代理店一覧!$B$5:$B$204,MATCH(B2567,代理店一覧!$A$5:$A$204,0)),"※未登録のID"))</f>
        <v/>
      </c>
      <c r="D2567" s="20"/>
      <c r="E2567" s="20"/>
      <c r="F2567" s="20"/>
      <c r="G2567" s="20"/>
      <c r="H2567" s="20"/>
      <c r="I2567" s="21"/>
    </row>
    <row r="2568" customFormat="false" ht="15" hidden="false" customHeight="false" outlineLevel="0" collapsed="false">
      <c r="A2568" s="30"/>
      <c r="B2568" s="21"/>
      <c r="C2568" s="21" t="str">
        <f aca="false">IF(B2568="","",IFERROR(INDEX(代理店一覧!$B$5:$B$204,MATCH(B2568,代理店一覧!$A$5:$A$204,0)),"※未登録のID"))</f>
        <v/>
      </c>
      <c r="D2568" s="20"/>
      <c r="E2568" s="20"/>
      <c r="F2568" s="20"/>
      <c r="G2568" s="20"/>
      <c r="H2568" s="20"/>
      <c r="I2568" s="21"/>
    </row>
    <row r="2569" customFormat="false" ht="15" hidden="false" customHeight="false" outlineLevel="0" collapsed="false">
      <c r="A2569" s="30"/>
      <c r="B2569" s="21"/>
      <c r="C2569" s="21" t="str">
        <f aca="false">IF(B2569="","",IFERROR(INDEX(代理店一覧!$B$5:$B$204,MATCH(B2569,代理店一覧!$A$5:$A$204,0)),"※未登録のID"))</f>
        <v/>
      </c>
      <c r="D2569" s="20"/>
      <c r="E2569" s="20"/>
      <c r="F2569" s="20"/>
      <c r="G2569" s="20"/>
      <c r="H2569" s="20"/>
      <c r="I2569" s="21"/>
    </row>
    <row r="2570" customFormat="false" ht="15" hidden="false" customHeight="false" outlineLevel="0" collapsed="false">
      <c r="A2570" s="30"/>
      <c r="B2570" s="21"/>
      <c r="C2570" s="21" t="str">
        <f aca="false">IF(B2570="","",IFERROR(INDEX(代理店一覧!$B$5:$B$204,MATCH(B2570,代理店一覧!$A$5:$A$204,0)),"※未登録のID"))</f>
        <v/>
      </c>
      <c r="D2570" s="20"/>
      <c r="E2570" s="20"/>
      <c r="F2570" s="20"/>
      <c r="G2570" s="20"/>
      <c r="H2570" s="20"/>
      <c r="I2570" s="21"/>
    </row>
    <row r="2571" customFormat="false" ht="15" hidden="false" customHeight="false" outlineLevel="0" collapsed="false">
      <c r="A2571" s="30"/>
      <c r="B2571" s="21"/>
      <c r="C2571" s="21" t="str">
        <f aca="false">IF(B2571="","",IFERROR(INDEX(代理店一覧!$B$5:$B$204,MATCH(B2571,代理店一覧!$A$5:$A$204,0)),"※未登録のID"))</f>
        <v/>
      </c>
      <c r="D2571" s="20"/>
      <c r="E2571" s="20"/>
      <c r="F2571" s="20"/>
      <c r="G2571" s="20"/>
      <c r="H2571" s="20"/>
      <c r="I2571" s="21"/>
    </row>
    <row r="2572" customFormat="false" ht="15" hidden="false" customHeight="false" outlineLevel="0" collapsed="false">
      <c r="A2572" s="30"/>
      <c r="B2572" s="21"/>
      <c r="C2572" s="21" t="str">
        <f aca="false">IF(B2572="","",IFERROR(INDEX(代理店一覧!$B$5:$B$204,MATCH(B2572,代理店一覧!$A$5:$A$204,0)),"※未登録のID"))</f>
        <v/>
      </c>
      <c r="D2572" s="20"/>
      <c r="E2572" s="20"/>
      <c r="F2572" s="20"/>
      <c r="G2572" s="20"/>
      <c r="H2572" s="20"/>
      <c r="I2572" s="21"/>
    </row>
    <row r="2573" customFormat="false" ht="15" hidden="false" customHeight="false" outlineLevel="0" collapsed="false">
      <c r="A2573" s="30"/>
      <c r="B2573" s="21"/>
      <c r="C2573" s="21" t="str">
        <f aca="false">IF(B2573="","",IFERROR(INDEX(代理店一覧!$B$5:$B$204,MATCH(B2573,代理店一覧!$A$5:$A$204,0)),"※未登録のID"))</f>
        <v/>
      </c>
      <c r="D2573" s="20"/>
      <c r="E2573" s="20"/>
      <c r="F2573" s="20"/>
      <c r="G2573" s="20"/>
      <c r="H2573" s="20"/>
      <c r="I2573" s="21"/>
    </row>
    <row r="2574" customFormat="false" ht="15" hidden="false" customHeight="false" outlineLevel="0" collapsed="false">
      <c r="A2574" s="30"/>
      <c r="B2574" s="21"/>
      <c r="C2574" s="21" t="str">
        <f aca="false">IF(B2574="","",IFERROR(INDEX(代理店一覧!$B$5:$B$204,MATCH(B2574,代理店一覧!$A$5:$A$204,0)),"※未登録のID"))</f>
        <v/>
      </c>
      <c r="D2574" s="20"/>
      <c r="E2574" s="20"/>
      <c r="F2574" s="20"/>
      <c r="G2574" s="20"/>
      <c r="H2574" s="20"/>
      <c r="I2574" s="21"/>
    </row>
    <row r="2575" customFormat="false" ht="15" hidden="false" customHeight="false" outlineLevel="0" collapsed="false">
      <c r="A2575" s="30"/>
      <c r="B2575" s="21"/>
      <c r="C2575" s="21" t="str">
        <f aca="false">IF(B2575="","",IFERROR(INDEX(代理店一覧!$B$5:$B$204,MATCH(B2575,代理店一覧!$A$5:$A$204,0)),"※未登録のID"))</f>
        <v/>
      </c>
      <c r="D2575" s="20"/>
      <c r="E2575" s="20"/>
      <c r="F2575" s="20"/>
      <c r="G2575" s="20"/>
      <c r="H2575" s="20"/>
      <c r="I2575" s="21"/>
    </row>
    <row r="2576" customFormat="false" ht="15" hidden="false" customHeight="false" outlineLevel="0" collapsed="false">
      <c r="A2576" s="30"/>
      <c r="B2576" s="21"/>
      <c r="C2576" s="21" t="str">
        <f aca="false">IF(B2576="","",IFERROR(INDEX(代理店一覧!$B$5:$B$204,MATCH(B2576,代理店一覧!$A$5:$A$204,0)),"※未登録のID"))</f>
        <v/>
      </c>
      <c r="D2576" s="20"/>
      <c r="E2576" s="20"/>
      <c r="F2576" s="20"/>
      <c r="G2576" s="20"/>
      <c r="H2576" s="20"/>
      <c r="I2576" s="21"/>
    </row>
    <row r="2577" customFormat="false" ht="15" hidden="false" customHeight="false" outlineLevel="0" collapsed="false">
      <c r="A2577" s="30"/>
      <c r="B2577" s="21"/>
      <c r="C2577" s="21" t="str">
        <f aca="false">IF(B2577="","",IFERROR(INDEX(代理店一覧!$B$5:$B$204,MATCH(B2577,代理店一覧!$A$5:$A$204,0)),"※未登録のID"))</f>
        <v/>
      </c>
      <c r="D2577" s="20"/>
      <c r="E2577" s="20"/>
      <c r="F2577" s="20"/>
      <c r="G2577" s="20"/>
      <c r="H2577" s="20"/>
      <c r="I2577" s="21"/>
    </row>
    <row r="2578" customFormat="false" ht="15" hidden="false" customHeight="false" outlineLevel="0" collapsed="false">
      <c r="A2578" s="30"/>
      <c r="B2578" s="21"/>
      <c r="C2578" s="21" t="str">
        <f aca="false">IF(B2578="","",IFERROR(INDEX(代理店一覧!$B$5:$B$204,MATCH(B2578,代理店一覧!$A$5:$A$204,0)),"※未登録のID"))</f>
        <v/>
      </c>
      <c r="D2578" s="20"/>
      <c r="E2578" s="20"/>
      <c r="F2578" s="20"/>
      <c r="G2578" s="20"/>
      <c r="H2578" s="20"/>
      <c r="I2578" s="21"/>
    </row>
    <row r="2579" customFormat="false" ht="15" hidden="false" customHeight="false" outlineLevel="0" collapsed="false">
      <c r="A2579" s="30"/>
      <c r="B2579" s="21"/>
      <c r="C2579" s="21" t="str">
        <f aca="false">IF(B2579="","",IFERROR(INDEX(代理店一覧!$B$5:$B$204,MATCH(B2579,代理店一覧!$A$5:$A$204,0)),"※未登録のID"))</f>
        <v/>
      </c>
      <c r="D2579" s="20"/>
      <c r="E2579" s="20"/>
      <c r="F2579" s="20"/>
      <c r="G2579" s="20"/>
      <c r="H2579" s="20"/>
      <c r="I2579" s="21"/>
    </row>
    <row r="2580" customFormat="false" ht="15" hidden="false" customHeight="false" outlineLevel="0" collapsed="false">
      <c r="A2580" s="30"/>
      <c r="B2580" s="21"/>
      <c r="C2580" s="21" t="str">
        <f aca="false">IF(B2580="","",IFERROR(INDEX(代理店一覧!$B$5:$B$204,MATCH(B2580,代理店一覧!$A$5:$A$204,0)),"※未登録のID"))</f>
        <v/>
      </c>
      <c r="D2580" s="20"/>
      <c r="E2580" s="20"/>
      <c r="F2580" s="20"/>
      <c r="G2580" s="20"/>
      <c r="H2580" s="20"/>
      <c r="I2580" s="21"/>
    </row>
    <row r="2581" customFormat="false" ht="15" hidden="false" customHeight="false" outlineLevel="0" collapsed="false">
      <c r="A2581" s="30"/>
      <c r="B2581" s="21"/>
      <c r="C2581" s="21" t="str">
        <f aca="false">IF(B2581="","",IFERROR(INDEX(代理店一覧!$B$5:$B$204,MATCH(B2581,代理店一覧!$A$5:$A$204,0)),"※未登録のID"))</f>
        <v/>
      </c>
      <c r="D2581" s="20"/>
      <c r="E2581" s="20"/>
      <c r="F2581" s="20"/>
      <c r="G2581" s="20"/>
      <c r="H2581" s="20"/>
      <c r="I2581" s="21"/>
    </row>
    <row r="2582" customFormat="false" ht="15" hidden="false" customHeight="false" outlineLevel="0" collapsed="false">
      <c r="A2582" s="30"/>
      <c r="B2582" s="21"/>
      <c r="C2582" s="21" t="str">
        <f aca="false">IF(B2582="","",IFERROR(INDEX(代理店一覧!$B$5:$B$204,MATCH(B2582,代理店一覧!$A$5:$A$204,0)),"※未登録のID"))</f>
        <v/>
      </c>
      <c r="D2582" s="20"/>
      <c r="E2582" s="20"/>
      <c r="F2582" s="20"/>
      <c r="G2582" s="20"/>
      <c r="H2582" s="20"/>
      <c r="I2582" s="21"/>
    </row>
    <row r="2583" customFormat="false" ht="15" hidden="false" customHeight="false" outlineLevel="0" collapsed="false">
      <c r="A2583" s="30"/>
      <c r="B2583" s="21"/>
      <c r="C2583" s="21" t="str">
        <f aca="false">IF(B2583="","",IFERROR(INDEX(代理店一覧!$B$5:$B$204,MATCH(B2583,代理店一覧!$A$5:$A$204,0)),"※未登録のID"))</f>
        <v/>
      </c>
      <c r="D2583" s="20"/>
      <c r="E2583" s="20"/>
      <c r="F2583" s="20"/>
      <c r="G2583" s="20"/>
      <c r="H2583" s="20"/>
      <c r="I2583" s="21"/>
    </row>
    <row r="2584" customFormat="false" ht="15" hidden="false" customHeight="false" outlineLevel="0" collapsed="false">
      <c r="A2584" s="30"/>
      <c r="B2584" s="21"/>
      <c r="C2584" s="21" t="str">
        <f aca="false">IF(B2584="","",IFERROR(INDEX(代理店一覧!$B$5:$B$204,MATCH(B2584,代理店一覧!$A$5:$A$204,0)),"※未登録のID"))</f>
        <v/>
      </c>
      <c r="D2584" s="20"/>
      <c r="E2584" s="20"/>
      <c r="F2584" s="20"/>
      <c r="G2584" s="20"/>
      <c r="H2584" s="20"/>
      <c r="I2584" s="21"/>
    </row>
    <row r="2585" customFormat="false" ht="15" hidden="false" customHeight="false" outlineLevel="0" collapsed="false">
      <c r="A2585" s="30"/>
      <c r="B2585" s="21"/>
      <c r="C2585" s="21" t="str">
        <f aca="false">IF(B2585="","",IFERROR(INDEX(代理店一覧!$B$5:$B$204,MATCH(B2585,代理店一覧!$A$5:$A$204,0)),"※未登録のID"))</f>
        <v/>
      </c>
      <c r="D2585" s="20"/>
      <c r="E2585" s="20"/>
      <c r="F2585" s="20"/>
      <c r="G2585" s="20"/>
      <c r="H2585" s="20"/>
      <c r="I2585" s="21"/>
    </row>
    <row r="2586" customFormat="false" ht="15" hidden="false" customHeight="false" outlineLevel="0" collapsed="false">
      <c r="A2586" s="30"/>
      <c r="B2586" s="21"/>
      <c r="C2586" s="21" t="str">
        <f aca="false">IF(B2586="","",IFERROR(INDEX(代理店一覧!$B$5:$B$204,MATCH(B2586,代理店一覧!$A$5:$A$204,0)),"※未登録のID"))</f>
        <v/>
      </c>
      <c r="D2586" s="20"/>
      <c r="E2586" s="20"/>
      <c r="F2586" s="20"/>
      <c r="G2586" s="20"/>
      <c r="H2586" s="20"/>
      <c r="I2586" s="21"/>
    </row>
    <row r="2587" customFormat="false" ht="15" hidden="false" customHeight="false" outlineLevel="0" collapsed="false">
      <c r="A2587" s="30"/>
      <c r="B2587" s="21"/>
      <c r="C2587" s="21" t="str">
        <f aca="false">IF(B2587="","",IFERROR(INDEX(代理店一覧!$B$5:$B$204,MATCH(B2587,代理店一覧!$A$5:$A$204,0)),"※未登録のID"))</f>
        <v/>
      </c>
      <c r="D2587" s="20"/>
      <c r="E2587" s="20"/>
      <c r="F2587" s="20"/>
      <c r="G2587" s="20"/>
      <c r="H2587" s="20"/>
      <c r="I2587" s="21"/>
    </row>
    <row r="2588" customFormat="false" ht="15" hidden="false" customHeight="false" outlineLevel="0" collapsed="false">
      <c r="A2588" s="30"/>
      <c r="B2588" s="21"/>
      <c r="C2588" s="21" t="str">
        <f aca="false">IF(B2588="","",IFERROR(INDEX(代理店一覧!$B$5:$B$204,MATCH(B2588,代理店一覧!$A$5:$A$204,0)),"※未登録のID"))</f>
        <v/>
      </c>
      <c r="D2588" s="20"/>
      <c r="E2588" s="20"/>
      <c r="F2588" s="20"/>
      <c r="G2588" s="20"/>
      <c r="H2588" s="20"/>
      <c r="I2588" s="21"/>
    </row>
    <row r="2589" customFormat="false" ht="15" hidden="false" customHeight="false" outlineLevel="0" collapsed="false">
      <c r="A2589" s="30"/>
      <c r="B2589" s="21"/>
      <c r="C2589" s="21" t="str">
        <f aca="false">IF(B2589="","",IFERROR(INDEX(代理店一覧!$B$5:$B$204,MATCH(B2589,代理店一覧!$A$5:$A$204,0)),"※未登録のID"))</f>
        <v/>
      </c>
      <c r="D2589" s="20"/>
      <c r="E2589" s="20"/>
      <c r="F2589" s="20"/>
      <c r="G2589" s="20"/>
      <c r="H2589" s="20"/>
      <c r="I2589" s="21"/>
    </row>
    <row r="2590" customFormat="false" ht="15" hidden="false" customHeight="false" outlineLevel="0" collapsed="false">
      <c r="A2590" s="30"/>
      <c r="B2590" s="21"/>
      <c r="C2590" s="21" t="str">
        <f aca="false">IF(B2590="","",IFERROR(INDEX(代理店一覧!$B$5:$B$204,MATCH(B2590,代理店一覧!$A$5:$A$204,0)),"※未登録のID"))</f>
        <v/>
      </c>
      <c r="D2590" s="20"/>
      <c r="E2590" s="20"/>
      <c r="F2590" s="20"/>
      <c r="G2590" s="20"/>
      <c r="H2590" s="20"/>
      <c r="I2590" s="21"/>
    </row>
    <row r="2591" customFormat="false" ht="15" hidden="false" customHeight="false" outlineLevel="0" collapsed="false">
      <c r="A2591" s="30"/>
      <c r="B2591" s="21"/>
      <c r="C2591" s="21" t="str">
        <f aca="false">IF(B2591="","",IFERROR(INDEX(代理店一覧!$B$5:$B$204,MATCH(B2591,代理店一覧!$A$5:$A$204,0)),"※未登録のID"))</f>
        <v/>
      </c>
      <c r="D2591" s="20"/>
      <c r="E2591" s="20"/>
      <c r="F2591" s="20"/>
      <c r="G2591" s="20"/>
      <c r="H2591" s="20"/>
      <c r="I2591" s="21"/>
    </row>
    <row r="2592" customFormat="false" ht="15" hidden="false" customHeight="false" outlineLevel="0" collapsed="false">
      <c r="A2592" s="30"/>
      <c r="B2592" s="21"/>
      <c r="C2592" s="21" t="str">
        <f aca="false">IF(B2592="","",IFERROR(INDEX(代理店一覧!$B$5:$B$204,MATCH(B2592,代理店一覧!$A$5:$A$204,0)),"※未登録のID"))</f>
        <v/>
      </c>
      <c r="D2592" s="20"/>
      <c r="E2592" s="20"/>
      <c r="F2592" s="20"/>
      <c r="G2592" s="20"/>
      <c r="H2592" s="20"/>
      <c r="I2592" s="21"/>
    </row>
    <row r="2593" customFormat="false" ht="15" hidden="false" customHeight="false" outlineLevel="0" collapsed="false">
      <c r="A2593" s="30"/>
      <c r="B2593" s="21"/>
      <c r="C2593" s="21" t="str">
        <f aca="false">IF(B2593="","",IFERROR(INDEX(代理店一覧!$B$5:$B$204,MATCH(B2593,代理店一覧!$A$5:$A$204,0)),"※未登録のID"))</f>
        <v/>
      </c>
      <c r="D2593" s="20"/>
      <c r="E2593" s="20"/>
      <c r="F2593" s="20"/>
      <c r="G2593" s="20"/>
      <c r="H2593" s="20"/>
      <c r="I2593" s="21"/>
    </row>
    <row r="2594" customFormat="false" ht="15" hidden="false" customHeight="false" outlineLevel="0" collapsed="false">
      <c r="A2594" s="30"/>
      <c r="B2594" s="21"/>
      <c r="C2594" s="21" t="str">
        <f aca="false">IF(B2594="","",IFERROR(INDEX(代理店一覧!$B$5:$B$204,MATCH(B2594,代理店一覧!$A$5:$A$204,0)),"※未登録のID"))</f>
        <v/>
      </c>
      <c r="D2594" s="20"/>
      <c r="E2594" s="20"/>
      <c r="F2594" s="20"/>
      <c r="G2594" s="20"/>
      <c r="H2594" s="20"/>
      <c r="I2594" s="21"/>
    </row>
    <row r="2595" customFormat="false" ht="15" hidden="false" customHeight="false" outlineLevel="0" collapsed="false">
      <c r="A2595" s="30"/>
      <c r="B2595" s="21"/>
      <c r="C2595" s="21" t="str">
        <f aca="false">IF(B2595="","",IFERROR(INDEX(代理店一覧!$B$5:$B$204,MATCH(B2595,代理店一覧!$A$5:$A$204,0)),"※未登録のID"))</f>
        <v/>
      </c>
      <c r="D2595" s="20"/>
      <c r="E2595" s="20"/>
      <c r="F2595" s="20"/>
      <c r="G2595" s="20"/>
      <c r="H2595" s="20"/>
      <c r="I2595" s="21"/>
    </row>
    <row r="2596" customFormat="false" ht="15" hidden="false" customHeight="false" outlineLevel="0" collapsed="false">
      <c r="A2596" s="30"/>
      <c r="B2596" s="21"/>
      <c r="C2596" s="21" t="str">
        <f aca="false">IF(B2596="","",IFERROR(INDEX(代理店一覧!$B$5:$B$204,MATCH(B2596,代理店一覧!$A$5:$A$204,0)),"※未登録のID"))</f>
        <v/>
      </c>
      <c r="D2596" s="20"/>
      <c r="E2596" s="20"/>
      <c r="F2596" s="20"/>
      <c r="G2596" s="20"/>
      <c r="H2596" s="20"/>
      <c r="I2596" s="21"/>
    </row>
    <row r="2597" customFormat="false" ht="15" hidden="false" customHeight="false" outlineLevel="0" collapsed="false">
      <c r="A2597" s="30"/>
      <c r="B2597" s="21"/>
      <c r="C2597" s="21" t="str">
        <f aca="false">IF(B2597="","",IFERROR(INDEX(代理店一覧!$B$5:$B$204,MATCH(B2597,代理店一覧!$A$5:$A$204,0)),"※未登録のID"))</f>
        <v/>
      </c>
      <c r="D2597" s="20"/>
      <c r="E2597" s="20"/>
      <c r="F2597" s="20"/>
      <c r="G2597" s="20"/>
      <c r="H2597" s="20"/>
      <c r="I2597" s="21"/>
    </row>
    <row r="2598" customFormat="false" ht="15" hidden="false" customHeight="false" outlineLevel="0" collapsed="false">
      <c r="A2598" s="30"/>
      <c r="B2598" s="21"/>
      <c r="C2598" s="21" t="str">
        <f aca="false">IF(B2598="","",IFERROR(INDEX(代理店一覧!$B$5:$B$204,MATCH(B2598,代理店一覧!$A$5:$A$204,0)),"※未登録のID"))</f>
        <v/>
      </c>
      <c r="D2598" s="20"/>
      <c r="E2598" s="20"/>
      <c r="F2598" s="20"/>
      <c r="G2598" s="20"/>
      <c r="H2598" s="20"/>
      <c r="I2598" s="21"/>
    </row>
    <row r="2599" customFormat="false" ht="15" hidden="false" customHeight="false" outlineLevel="0" collapsed="false">
      <c r="A2599" s="30"/>
      <c r="B2599" s="21"/>
      <c r="C2599" s="21" t="str">
        <f aca="false">IF(B2599="","",IFERROR(INDEX(代理店一覧!$B$5:$B$204,MATCH(B2599,代理店一覧!$A$5:$A$204,0)),"※未登録のID"))</f>
        <v/>
      </c>
      <c r="D2599" s="20"/>
      <c r="E2599" s="20"/>
      <c r="F2599" s="20"/>
      <c r="G2599" s="20"/>
      <c r="H2599" s="20"/>
      <c r="I2599" s="21"/>
    </row>
    <row r="2600" customFormat="false" ht="15" hidden="false" customHeight="false" outlineLevel="0" collapsed="false">
      <c r="A2600" s="30"/>
      <c r="B2600" s="21"/>
      <c r="C2600" s="21" t="str">
        <f aca="false">IF(B2600="","",IFERROR(INDEX(代理店一覧!$B$5:$B$204,MATCH(B2600,代理店一覧!$A$5:$A$204,0)),"※未登録のID"))</f>
        <v/>
      </c>
      <c r="D2600" s="20"/>
      <c r="E2600" s="20"/>
      <c r="F2600" s="20"/>
      <c r="G2600" s="20"/>
      <c r="H2600" s="20"/>
      <c r="I2600" s="21"/>
    </row>
    <row r="2601" customFormat="false" ht="15" hidden="false" customHeight="false" outlineLevel="0" collapsed="false">
      <c r="A2601" s="30"/>
      <c r="B2601" s="21"/>
      <c r="C2601" s="21" t="str">
        <f aca="false">IF(B2601="","",IFERROR(INDEX(代理店一覧!$B$5:$B$204,MATCH(B2601,代理店一覧!$A$5:$A$204,0)),"※未登録のID"))</f>
        <v/>
      </c>
      <c r="D2601" s="20"/>
      <c r="E2601" s="20"/>
      <c r="F2601" s="20"/>
      <c r="G2601" s="20"/>
      <c r="H2601" s="20"/>
      <c r="I2601" s="21"/>
    </row>
    <row r="2602" customFormat="false" ht="15" hidden="false" customHeight="false" outlineLevel="0" collapsed="false">
      <c r="A2602" s="30"/>
      <c r="B2602" s="21"/>
      <c r="C2602" s="21" t="str">
        <f aca="false">IF(B2602="","",IFERROR(INDEX(代理店一覧!$B$5:$B$204,MATCH(B2602,代理店一覧!$A$5:$A$204,0)),"※未登録のID"))</f>
        <v/>
      </c>
      <c r="D2602" s="20"/>
      <c r="E2602" s="20"/>
      <c r="F2602" s="20"/>
      <c r="G2602" s="20"/>
      <c r="H2602" s="20"/>
      <c r="I2602" s="21"/>
    </row>
    <row r="2603" customFormat="false" ht="15" hidden="false" customHeight="false" outlineLevel="0" collapsed="false">
      <c r="A2603" s="30"/>
      <c r="B2603" s="21"/>
      <c r="C2603" s="21" t="str">
        <f aca="false">IF(B2603="","",IFERROR(INDEX(代理店一覧!$B$5:$B$204,MATCH(B2603,代理店一覧!$A$5:$A$204,0)),"※未登録のID"))</f>
        <v/>
      </c>
      <c r="D2603" s="20"/>
      <c r="E2603" s="20"/>
      <c r="F2603" s="20"/>
      <c r="G2603" s="20"/>
      <c r="H2603" s="20"/>
      <c r="I2603" s="21"/>
    </row>
    <row r="2604" customFormat="false" ht="15" hidden="false" customHeight="false" outlineLevel="0" collapsed="false">
      <c r="A2604" s="30"/>
      <c r="B2604" s="21"/>
      <c r="C2604" s="21" t="str">
        <f aca="false">IF(B2604="","",IFERROR(INDEX(代理店一覧!$B$5:$B$204,MATCH(B2604,代理店一覧!$A$5:$A$204,0)),"※未登録のID"))</f>
        <v/>
      </c>
      <c r="D2604" s="20"/>
      <c r="E2604" s="20"/>
      <c r="F2604" s="20"/>
      <c r="G2604" s="20"/>
      <c r="H2604" s="20"/>
      <c r="I2604" s="21"/>
    </row>
    <row r="2605" customFormat="false" ht="15" hidden="false" customHeight="false" outlineLevel="0" collapsed="false">
      <c r="A2605" s="30"/>
      <c r="B2605" s="21"/>
      <c r="C2605" s="21" t="str">
        <f aca="false">IF(B2605="","",IFERROR(INDEX(代理店一覧!$B$5:$B$204,MATCH(B2605,代理店一覧!$A$5:$A$204,0)),"※未登録のID"))</f>
        <v/>
      </c>
      <c r="D2605" s="20"/>
      <c r="E2605" s="20"/>
      <c r="F2605" s="20"/>
      <c r="G2605" s="20"/>
      <c r="H2605" s="20"/>
      <c r="I2605" s="21"/>
    </row>
    <row r="2606" customFormat="false" ht="15" hidden="false" customHeight="false" outlineLevel="0" collapsed="false">
      <c r="A2606" s="30"/>
      <c r="B2606" s="21"/>
      <c r="C2606" s="21" t="str">
        <f aca="false">IF(B2606="","",IFERROR(INDEX(代理店一覧!$B$5:$B$204,MATCH(B2606,代理店一覧!$A$5:$A$204,0)),"※未登録のID"))</f>
        <v/>
      </c>
      <c r="D2606" s="20"/>
      <c r="E2606" s="20"/>
      <c r="F2606" s="20"/>
      <c r="G2606" s="20"/>
      <c r="H2606" s="20"/>
      <c r="I2606" s="21"/>
    </row>
    <row r="2607" customFormat="false" ht="15" hidden="false" customHeight="false" outlineLevel="0" collapsed="false">
      <c r="A2607" s="30"/>
      <c r="B2607" s="21"/>
      <c r="C2607" s="21" t="str">
        <f aca="false">IF(B2607="","",IFERROR(INDEX(代理店一覧!$B$5:$B$204,MATCH(B2607,代理店一覧!$A$5:$A$204,0)),"※未登録のID"))</f>
        <v/>
      </c>
      <c r="D2607" s="20"/>
      <c r="E2607" s="20"/>
      <c r="F2607" s="20"/>
      <c r="G2607" s="20"/>
      <c r="H2607" s="20"/>
      <c r="I2607" s="21"/>
    </row>
    <row r="2608" customFormat="false" ht="15" hidden="false" customHeight="false" outlineLevel="0" collapsed="false">
      <c r="A2608" s="30"/>
      <c r="B2608" s="21"/>
      <c r="C2608" s="21" t="str">
        <f aca="false">IF(B2608="","",IFERROR(INDEX(代理店一覧!$B$5:$B$204,MATCH(B2608,代理店一覧!$A$5:$A$204,0)),"※未登録のID"))</f>
        <v/>
      </c>
      <c r="D2608" s="20"/>
      <c r="E2608" s="20"/>
      <c r="F2608" s="20"/>
      <c r="G2608" s="20"/>
      <c r="H2608" s="20"/>
      <c r="I2608" s="21"/>
    </row>
    <row r="2609" customFormat="false" ht="15" hidden="false" customHeight="false" outlineLevel="0" collapsed="false">
      <c r="A2609" s="30"/>
      <c r="B2609" s="21"/>
      <c r="C2609" s="21" t="str">
        <f aca="false">IF(B2609="","",IFERROR(INDEX(代理店一覧!$B$5:$B$204,MATCH(B2609,代理店一覧!$A$5:$A$204,0)),"※未登録のID"))</f>
        <v/>
      </c>
      <c r="D2609" s="20"/>
      <c r="E2609" s="20"/>
      <c r="F2609" s="20"/>
      <c r="G2609" s="20"/>
      <c r="H2609" s="20"/>
      <c r="I2609" s="21"/>
    </row>
    <row r="2610" customFormat="false" ht="15" hidden="false" customHeight="false" outlineLevel="0" collapsed="false">
      <c r="A2610" s="30"/>
      <c r="B2610" s="21"/>
      <c r="C2610" s="21" t="str">
        <f aca="false">IF(B2610="","",IFERROR(INDEX(代理店一覧!$B$5:$B$204,MATCH(B2610,代理店一覧!$A$5:$A$204,0)),"※未登録のID"))</f>
        <v/>
      </c>
      <c r="D2610" s="20"/>
      <c r="E2610" s="20"/>
      <c r="F2610" s="20"/>
      <c r="G2610" s="20"/>
      <c r="H2610" s="20"/>
      <c r="I2610" s="21"/>
    </row>
    <row r="2611" customFormat="false" ht="15" hidden="false" customHeight="false" outlineLevel="0" collapsed="false">
      <c r="A2611" s="30"/>
      <c r="B2611" s="21"/>
      <c r="C2611" s="21" t="str">
        <f aca="false">IF(B2611="","",IFERROR(INDEX(代理店一覧!$B$5:$B$204,MATCH(B2611,代理店一覧!$A$5:$A$204,0)),"※未登録のID"))</f>
        <v/>
      </c>
      <c r="D2611" s="20"/>
      <c r="E2611" s="20"/>
      <c r="F2611" s="20"/>
      <c r="G2611" s="20"/>
      <c r="H2611" s="20"/>
      <c r="I2611" s="21"/>
    </row>
    <row r="2612" customFormat="false" ht="15" hidden="false" customHeight="false" outlineLevel="0" collapsed="false">
      <c r="A2612" s="30"/>
      <c r="B2612" s="21"/>
      <c r="C2612" s="21" t="str">
        <f aca="false">IF(B2612="","",IFERROR(INDEX(代理店一覧!$B$5:$B$204,MATCH(B2612,代理店一覧!$A$5:$A$204,0)),"※未登録のID"))</f>
        <v/>
      </c>
      <c r="D2612" s="20"/>
      <c r="E2612" s="20"/>
      <c r="F2612" s="20"/>
      <c r="G2612" s="20"/>
      <c r="H2612" s="20"/>
      <c r="I2612" s="21"/>
    </row>
    <row r="2613" customFormat="false" ht="15" hidden="false" customHeight="false" outlineLevel="0" collapsed="false">
      <c r="A2613" s="30"/>
      <c r="B2613" s="21"/>
      <c r="C2613" s="21" t="str">
        <f aca="false">IF(B2613="","",IFERROR(INDEX(代理店一覧!$B$5:$B$204,MATCH(B2613,代理店一覧!$A$5:$A$204,0)),"※未登録のID"))</f>
        <v/>
      </c>
      <c r="D2613" s="20"/>
      <c r="E2613" s="20"/>
      <c r="F2613" s="20"/>
      <c r="G2613" s="20"/>
      <c r="H2613" s="20"/>
      <c r="I2613" s="21"/>
    </row>
    <row r="2614" customFormat="false" ht="15" hidden="false" customHeight="false" outlineLevel="0" collapsed="false">
      <c r="A2614" s="30"/>
      <c r="B2614" s="21"/>
      <c r="C2614" s="21" t="str">
        <f aca="false">IF(B2614="","",IFERROR(INDEX(代理店一覧!$B$5:$B$204,MATCH(B2614,代理店一覧!$A$5:$A$204,0)),"※未登録のID"))</f>
        <v/>
      </c>
      <c r="D2614" s="20"/>
      <c r="E2614" s="20"/>
      <c r="F2614" s="20"/>
      <c r="G2614" s="20"/>
      <c r="H2614" s="20"/>
      <c r="I2614" s="21"/>
    </row>
    <row r="2615" customFormat="false" ht="15" hidden="false" customHeight="false" outlineLevel="0" collapsed="false">
      <c r="A2615" s="30"/>
      <c r="B2615" s="21"/>
      <c r="C2615" s="21" t="str">
        <f aca="false">IF(B2615="","",IFERROR(INDEX(代理店一覧!$B$5:$B$204,MATCH(B2615,代理店一覧!$A$5:$A$204,0)),"※未登録のID"))</f>
        <v/>
      </c>
      <c r="D2615" s="20"/>
      <c r="E2615" s="20"/>
      <c r="F2615" s="20"/>
      <c r="G2615" s="20"/>
      <c r="H2615" s="20"/>
      <c r="I2615" s="21"/>
    </row>
    <row r="2616" customFormat="false" ht="15" hidden="false" customHeight="false" outlineLevel="0" collapsed="false">
      <c r="A2616" s="30"/>
      <c r="B2616" s="21"/>
      <c r="C2616" s="21" t="str">
        <f aca="false">IF(B2616="","",IFERROR(INDEX(代理店一覧!$B$5:$B$204,MATCH(B2616,代理店一覧!$A$5:$A$204,0)),"※未登録のID"))</f>
        <v/>
      </c>
      <c r="D2616" s="20"/>
      <c r="E2616" s="20"/>
      <c r="F2616" s="20"/>
      <c r="G2616" s="20"/>
      <c r="H2616" s="20"/>
      <c r="I2616" s="21"/>
    </row>
    <row r="2617" customFormat="false" ht="15" hidden="false" customHeight="false" outlineLevel="0" collapsed="false">
      <c r="A2617" s="30"/>
      <c r="B2617" s="21"/>
      <c r="C2617" s="21" t="str">
        <f aca="false">IF(B2617="","",IFERROR(INDEX(代理店一覧!$B$5:$B$204,MATCH(B2617,代理店一覧!$A$5:$A$204,0)),"※未登録のID"))</f>
        <v/>
      </c>
      <c r="D2617" s="20"/>
      <c r="E2617" s="20"/>
      <c r="F2617" s="20"/>
      <c r="G2617" s="20"/>
      <c r="H2617" s="20"/>
      <c r="I2617" s="21"/>
    </row>
    <row r="2618" customFormat="false" ht="15" hidden="false" customHeight="false" outlineLevel="0" collapsed="false">
      <c r="A2618" s="30"/>
      <c r="B2618" s="21"/>
      <c r="C2618" s="21" t="str">
        <f aca="false">IF(B2618="","",IFERROR(INDEX(代理店一覧!$B$5:$B$204,MATCH(B2618,代理店一覧!$A$5:$A$204,0)),"※未登録のID"))</f>
        <v/>
      </c>
      <c r="D2618" s="20"/>
      <c r="E2618" s="20"/>
      <c r="F2618" s="20"/>
      <c r="G2618" s="20"/>
      <c r="H2618" s="20"/>
      <c r="I2618" s="21"/>
    </row>
    <row r="2619" customFormat="false" ht="15" hidden="false" customHeight="false" outlineLevel="0" collapsed="false">
      <c r="A2619" s="30"/>
      <c r="B2619" s="21"/>
      <c r="C2619" s="21" t="str">
        <f aca="false">IF(B2619="","",IFERROR(INDEX(代理店一覧!$B$5:$B$204,MATCH(B2619,代理店一覧!$A$5:$A$204,0)),"※未登録のID"))</f>
        <v/>
      </c>
      <c r="D2619" s="20"/>
      <c r="E2619" s="20"/>
      <c r="F2619" s="20"/>
      <c r="G2619" s="20"/>
      <c r="H2619" s="20"/>
      <c r="I2619" s="21"/>
    </row>
    <row r="2620" customFormat="false" ht="15" hidden="false" customHeight="false" outlineLevel="0" collapsed="false">
      <c r="A2620" s="30"/>
      <c r="B2620" s="21"/>
      <c r="C2620" s="21" t="str">
        <f aca="false">IF(B2620="","",IFERROR(INDEX(代理店一覧!$B$5:$B$204,MATCH(B2620,代理店一覧!$A$5:$A$204,0)),"※未登録のID"))</f>
        <v/>
      </c>
      <c r="D2620" s="20"/>
      <c r="E2620" s="20"/>
      <c r="F2620" s="20"/>
      <c r="G2620" s="20"/>
      <c r="H2620" s="20"/>
      <c r="I2620" s="21"/>
    </row>
    <row r="2621" customFormat="false" ht="15" hidden="false" customHeight="false" outlineLevel="0" collapsed="false">
      <c r="A2621" s="30"/>
      <c r="B2621" s="21"/>
      <c r="C2621" s="21" t="str">
        <f aca="false">IF(B2621="","",IFERROR(INDEX(代理店一覧!$B$5:$B$204,MATCH(B2621,代理店一覧!$A$5:$A$204,0)),"※未登録のID"))</f>
        <v/>
      </c>
      <c r="D2621" s="20"/>
      <c r="E2621" s="20"/>
      <c r="F2621" s="20"/>
      <c r="G2621" s="20"/>
      <c r="H2621" s="20"/>
      <c r="I2621" s="21"/>
    </row>
    <row r="2622" customFormat="false" ht="15" hidden="false" customHeight="false" outlineLevel="0" collapsed="false">
      <c r="A2622" s="30"/>
      <c r="B2622" s="21"/>
      <c r="C2622" s="21" t="str">
        <f aca="false">IF(B2622="","",IFERROR(INDEX(代理店一覧!$B$5:$B$204,MATCH(B2622,代理店一覧!$A$5:$A$204,0)),"※未登録のID"))</f>
        <v/>
      </c>
      <c r="D2622" s="20"/>
      <c r="E2622" s="20"/>
      <c r="F2622" s="20"/>
      <c r="G2622" s="20"/>
      <c r="H2622" s="20"/>
      <c r="I2622" s="21"/>
    </row>
    <row r="2623" customFormat="false" ht="15" hidden="false" customHeight="false" outlineLevel="0" collapsed="false">
      <c r="A2623" s="30"/>
      <c r="B2623" s="21"/>
      <c r="C2623" s="21" t="str">
        <f aca="false">IF(B2623="","",IFERROR(INDEX(代理店一覧!$B$5:$B$204,MATCH(B2623,代理店一覧!$A$5:$A$204,0)),"※未登録のID"))</f>
        <v/>
      </c>
      <c r="D2623" s="20"/>
      <c r="E2623" s="20"/>
      <c r="F2623" s="20"/>
      <c r="G2623" s="20"/>
      <c r="H2623" s="20"/>
      <c r="I2623" s="21"/>
    </row>
    <row r="2624" customFormat="false" ht="15" hidden="false" customHeight="false" outlineLevel="0" collapsed="false">
      <c r="A2624" s="30"/>
      <c r="B2624" s="21"/>
      <c r="C2624" s="21" t="str">
        <f aca="false">IF(B2624="","",IFERROR(INDEX(代理店一覧!$B$5:$B$204,MATCH(B2624,代理店一覧!$A$5:$A$204,0)),"※未登録のID"))</f>
        <v/>
      </c>
      <c r="D2624" s="20"/>
      <c r="E2624" s="20"/>
      <c r="F2624" s="20"/>
      <c r="G2624" s="20"/>
      <c r="H2624" s="20"/>
      <c r="I2624" s="21"/>
    </row>
    <row r="2625" customFormat="false" ht="15" hidden="false" customHeight="false" outlineLevel="0" collapsed="false">
      <c r="A2625" s="30"/>
      <c r="B2625" s="21"/>
      <c r="C2625" s="21" t="str">
        <f aca="false">IF(B2625="","",IFERROR(INDEX(代理店一覧!$B$5:$B$204,MATCH(B2625,代理店一覧!$A$5:$A$204,0)),"※未登録のID"))</f>
        <v/>
      </c>
      <c r="D2625" s="20"/>
      <c r="E2625" s="20"/>
      <c r="F2625" s="20"/>
      <c r="G2625" s="20"/>
      <c r="H2625" s="20"/>
      <c r="I2625" s="21"/>
    </row>
    <row r="2626" customFormat="false" ht="15" hidden="false" customHeight="false" outlineLevel="0" collapsed="false">
      <c r="A2626" s="30"/>
      <c r="B2626" s="21"/>
      <c r="C2626" s="21" t="str">
        <f aca="false">IF(B2626="","",IFERROR(INDEX(代理店一覧!$B$5:$B$204,MATCH(B2626,代理店一覧!$A$5:$A$204,0)),"※未登録のID"))</f>
        <v/>
      </c>
      <c r="D2626" s="20"/>
      <c r="E2626" s="20"/>
      <c r="F2626" s="20"/>
      <c r="G2626" s="20"/>
      <c r="H2626" s="20"/>
      <c r="I2626" s="21"/>
    </row>
    <row r="2627" customFormat="false" ht="15" hidden="false" customHeight="false" outlineLevel="0" collapsed="false">
      <c r="A2627" s="30"/>
      <c r="B2627" s="21"/>
      <c r="C2627" s="21" t="str">
        <f aca="false">IF(B2627="","",IFERROR(INDEX(代理店一覧!$B$5:$B$204,MATCH(B2627,代理店一覧!$A$5:$A$204,0)),"※未登録のID"))</f>
        <v/>
      </c>
      <c r="D2627" s="20"/>
      <c r="E2627" s="20"/>
      <c r="F2627" s="20"/>
      <c r="G2627" s="20"/>
      <c r="H2627" s="20"/>
      <c r="I2627" s="21"/>
    </row>
    <row r="2628" customFormat="false" ht="15" hidden="false" customHeight="false" outlineLevel="0" collapsed="false">
      <c r="A2628" s="30"/>
      <c r="B2628" s="21"/>
      <c r="C2628" s="21" t="str">
        <f aca="false">IF(B2628="","",IFERROR(INDEX(代理店一覧!$B$5:$B$204,MATCH(B2628,代理店一覧!$A$5:$A$204,0)),"※未登録のID"))</f>
        <v/>
      </c>
      <c r="D2628" s="20"/>
      <c r="E2628" s="20"/>
      <c r="F2628" s="20"/>
      <c r="G2628" s="20"/>
      <c r="H2628" s="20"/>
      <c r="I2628" s="21"/>
    </row>
    <row r="2629" customFormat="false" ht="15" hidden="false" customHeight="false" outlineLevel="0" collapsed="false">
      <c r="A2629" s="30"/>
      <c r="B2629" s="21"/>
      <c r="C2629" s="21" t="str">
        <f aca="false">IF(B2629="","",IFERROR(INDEX(代理店一覧!$B$5:$B$204,MATCH(B2629,代理店一覧!$A$5:$A$204,0)),"※未登録のID"))</f>
        <v/>
      </c>
      <c r="D2629" s="20"/>
      <c r="E2629" s="20"/>
      <c r="F2629" s="20"/>
      <c r="G2629" s="20"/>
      <c r="H2629" s="20"/>
      <c r="I2629" s="21"/>
    </row>
    <row r="2630" customFormat="false" ht="15" hidden="false" customHeight="false" outlineLevel="0" collapsed="false">
      <c r="A2630" s="30"/>
      <c r="B2630" s="21"/>
      <c r="C2630" s="21" t="str">
        <f aca="false">IF(B2630="","",IFERROR(INDEX(代理店一覧!$B$5:$B$204,MATCH(B2630,代理店一覧!$A$5:$A$204,0)),"※未登録のID"))</f>
        <v/>
      </c>
      <c r="D2630" s="20"/>
      <c r="E2630" s="20"/>
      <c r="F2630" s="20"/>
      <c r="G2630" s="20"/>
      <c r="H2630" s="20"/>
      <c r="I2630" s="21"/>
    </row>
    <row r="2631" customFormat="false" ht="15" hidden="false" customHeight="false" outlineLevel="0" collapsed="false">
      <c r="A2631" s="30"/>
      <c r="B2631" s="21"/>
      <c r="C2631" s="21" t="str">
        <f aca="false">IF(B2631="","",IFERROR(INDEX(代理店一覧!$B$5:$B$204,MATCH(B2631,代理店一覧!$A$5:$A$204,0)),"※未登録のID"))</f>
        <v/>
      </c>
      <c r="D2631" s="20"/>
      <c r="E2631" s="20"/>
      <c r="F2631" s="20"/>
      <c r="G2631" s="20"/>
      <c r="H2631" s="20"/>
      <c r="I2631" s="21"/>
    </row>
    <row r="2632" customFormat="false" ht="15" hidden="false" customHeight="false" outlineLevel="0" collapsed="false">
      <c r="A2632" s="30"/>
      <c r="B2632" s="21"/>
      <c r="C2632" s="21" t="str">
        <f aca="false">IF(B2632="","",IFERROR(INDEX(代理店一覧!$B$5:$B$204,MATCH(B2632,代理店一覧!$A$5:$A$204,0)),"※未登録のID"))</f>
        <v/>
      </c>
      <c r="D2632" s="20"/>
      <c r="E2632" s="20"/>
      <c r="F2632" s="20"/>
      <c r="G2632" s="20"/>
      <c r="H2632" s="20"/>
      <c r="I2632" s="21"/>
    </row>
    <row r="2633" customFormat="false" ht="15" hidden="false" customHeight="false" outlineLevel="0" collapsed="false">
      <c r="A2633" s="30"/>
      <c r="B2633" s="21"/>
      <c r="C2633" s="21" t="str">
        <f aca="false">IF(B2633="","",IFERROR(INDEX(代理店一覧!$B$5:$B$204,MATCH(B2633,代理店一覧!$A$5:$A$204,0)),"※未登録のID"))</f>
        <v/>
      </c>
      <c r="D2633" s="20"/>
      <c r="E2633" s="20"/>
      <c r="F2633" s="20"/>
      <c r="G2633" s="20"/>
      <c r="H2633" s="20"/>
      <c r="I2633" s="21"/>
    </row>
    <row r="2634" customFormat="false" ht="15" hidden="false" customHeight="false" outlineLevel="0" collapsed="false">
      <c r="A2634" s="30"/>
      <c r="B2634" s="21"/>
      <c r="C2634" s="21" t="str">
        <f aca="false">IF(B2634="","",IFERROR(INDEX(代理店一覧!$B$5:$B$204,MATCH(B2634,代理店一覧!$A$5:$A$204,0)),"※未登録のID"))</f>
        <v/>
      </c>
      <c r="D2634" s="20"/>
      <c r="E2634" s="20"/>
      <c r="F2634" s="20"/>
      <c r="G2634" s="20"/>
      <c r="H2634" s="20"/>
      <c r="I2634" s="21"/>
    </row>
    <row r="2635" customFormat="false" ht="15" hidden="false" customHeight="false" outlineLevel="0" collapsed="false">
      <c r="A2635" s="30"/>
      <c r="B2635" s="21"/>
      <c r="C2635" s="21" t="str">
        <f aca="false">IF(B2635="","",IFERROR(INDEX(代理店一覧!$B$5:$B$204,MATCH(B2635,代理店一覧!$A$5:$A$204,0)),"※未登録のID"))</f>
        <v/>
      </c>
      <c r="D2635" s="20"/>
      <c r="E2635" s="20"/>
      <c r="F2635" s="20"/>
      <c r="G2635" s="20"/>
      <c r="H2635" s="20"/>
      <c r="I2635" s="21"/>
    </row>
    <row r="2636" customFormat="false" ht="15" hidden="false" customHeight="false" outlineLevel="0" collapsed="false">
      <c r="A2636" s="30"/>
      <c r="B2636" s="21"/>
      <c r="C2636" s="21" t="str">
        <f aca="false">IF(B2636="","",IFERROR(INDEX(代理店一覧!$B$5:$B$204,MATCH(B2636,代理店一覧!$A$5:$A$204,0)),"※未登録のID"))</f>
        <v/>
      </c>
      <c r="D2636" s="20"/>
      <c r="E2636" s="20"/>
      <c r="F2636" s="20"/>
      <c r="G2636" s="20"/>
      <c r="H2636" s="20"/>
      <c r="I2636" s="21"/>
    </row>
    <row r="2637" customFormat="false" ht="15" hidden="false" customHeight="false" outlineLevel="0" collapsed="false">
      <c r="A2637" s="30"/>
      <c r="B2637" s="21"/>
      <c r="C2637" s="21" t="str">
        <f aca="false">IF(B2637="","",IFERROR(INDEX(代理店一覧!$B$5:$B$204,MATCH(B2637,代理店一覧!$A$5:$A$204,0)),"※未登録のID"))</f>
        <v/>
      </c>
      <c r="D2637" s="20"/>
      <c r="E2637" s="20"/>
      <c r="F2637" s="20"/>
      <c r="G2637" s="20"/>
      <c r="H2637" s="20"/>
      <c r="I2637" s="21"/>
    </row>
    <row r="2638" customFormat="false" ht="15" hidden="false" customHeight="false" outlineLevel="0" collapsed="false">
      <c r="A2638" s="30"/>
      <c r="B2638" s="21"/>
      <c r="C2638" s="21" t="str">
        <f aca="false">IF(B2638="","",IFERROR(INDEX(代理店一覧!$B$5:$B$204,MATCH(B2638,代理店一覧!$A$5:$A$204,0)),"※未登録のID"))</f>
        <v/>
      </c>
      <c r="D2638" s="20"/>
      <c r="E2638" s="20"/>
      <c r="F2638" s="20"/>
      <c r="G2638" s="20"/>
      <c r="H2638" s="20"/>
      <c r="I2638" s="21"/>
    </row>
    <row r="2639" customFormat="false" ht="15" hidden="false" customHeight="false" outlineLevel="0" collapsed="false">
      <c r="A2639" s="30"/>
      <c r="B2639" s="21"/>
      <c r="C2639" s="21" t="str">
        <f aca="false">IF(B2639="","",IFERROR(INDEX(代理店一覧!$B$5:$B$204,MATCH(B2639,代理店一覧!$A$5:$A$204,0)),"※未登録のID"))</f>
        <v/>
      </c>
      <c r="D2639" s="20"/>
      <c r="E2639" s="20"/>
      <c r="F2639" s="20"/>
      <c r="G2639" s="20"/>
      <c r="H2639" s="20"/>
      <c r="I2639" s="21"/>
    </row>
    <row r="2640" customFormat="false" ht="15" hidden="false" customHeight="false" outlineLevel="0" collapsed="false">
      <c r="A2640" s="30"/>
      <c r="B2640" s="21"/>
      <c r="C2640" s="21" t="str">
        <f aca="false">IF(B2640="","",IFERROR(INDEX(代理店一覧!$B$5:$B$204,MATCH(B2640,代理店一覧!$A$5:$A$204,0)),"※未登録のID"))</f>
        <v/>
      </c>
      <c r="D2640" s="20"/>
      <c r="E2640" s="20"/>
      <c r="F2640" s="20"/>
      <c r="G2640" s="20"/>
      <c r="H2640" s="20"/>
      <c r="I2640" s="21"/>
    </row>
    <row r="2641" customFormat="false" ht="15" hidden="false" customHeight="false" outlineLevel="0" collapsed="false">
      <c r="A2641" s="30"/>
      <c r="B2641" s="21"/>
      <c r="C2641" s="21" t="str">
        <f aca="false">IF(B2641="","",IFERROR(INDEX(代理店一覧!$B$5:$B$204,MATCH(B2641,代理店一覧!$A$5:$A$204,0)),"※未登録のID"))</f>
        <v/>
      </c>
      <c r="D2641" s="20"/>
      <c r="E2641" s="20"/>
      <c r="F2641" s="20"/>
      <c r="G2641" s="20"/>
      <c r="H2641" s="20"/>
      <c r="I2641" s="21"/>
    </row>
    <row r="2642" customFormat="false" ht="15" hidden="false" customHeight="false" outlineLevel="0" collapsed="false">
      <c r="A2642" s="30"/>
      <c r="B2642" s="21"/>
      <c r="C2642" s="21" t="str">
        <f aca="false">IF(B2642="","",IFERROR(INDEX(代理店一覧!$B$5:$B$204,MATCH(B2642,代理店一覧!$A$5:$A$204,0)),"※未登録のID"))</f>
        <v/>
      </c>
      <c r="D2642" s="20"/>
      <c r="E2642" s="20"/>
      <c r="F2642" s="20"/>
      <c r="G2642" s="20"/>
      <c r="H2642" s="20"/>
      <c r="I2642" s="21"/>
    </row>
    <row r="2643" customFormat="false" ht="15" hidden="false" customHeight="false" outlineLevel="0" collapsed="false">
      <c r="A2643" s="30"/>
      <c r="B2643" s="21"/>
      <c r="C2643" s="21" t="str">
        <f aca="false">IF(B2643="","",IFERROR(INDEX(代理店一覧!$B$5:$B$204,MATCH(B2643,代理店一覧!$A$5:$A$204,0)),"※未登録のID"))</f>
        <v/>
      </c>
      <c r="D2643" s="20"/>
      <c r="E2643" s="20"/>
      <c r="F2643" s="20"/>
      <c r="G2643" s="20"/>
      <c r="H2643" s="20"/>
      <c r="I2643" s="21"/>
    </row>
    <row r="2644" customFormat="false" ht="15" hidden="false" customHeight="false" outlineLevel="0" collapsed="false">
      <c r="A2644" s="30"/>
      <c r="B2644" s="21"/>
      <c r="C2644" s="21" t="str">
        <f aca="false">IF(B2644="","",IFERROR(INDEX(代理店一覧!$B$5:$B$204,MATCH(B2644,代理店一覧!$A$5:$A$204,0)),"※未登録のID"))</f>
        <v/>
      </c>
      <c r="D2644" s="20"/>
      <c r="E2644" s="20"/>
      <c r="F2644" s="20"/>
      <c r="G2644" s="20"/>
      <c r="H2644" s="20"/>
      <c r="I2644" s="21"/>
    </row>
    <row r="2645" customFormat="false" ht="15" hidden="false" customHeight="false" outlineLevel="0" collapsed="false">
      <c r="A2645" s="30"/>
      <c r="B2645" s="21"/>
      <c r="C2645" s="21" t="str">
        <f aca="false">IF(B2645="","",IFERROR(INDEX(代理店一覧!$B$5:$B$204,MATCH(B2645,代理店一覧!$A$5:$A$204,0)),"※未登録のID"))</f>
        <v/>
      </c>
      <c r="D2645" s="20"/>
      <c r="E2645" s="20"/>
      <c r="F2645" s="20"/>
      <c r="G2645" s="20"/>
      <c r="H2645" s="20"/>
      <c r="I2645" s="21"/>
    </row>
    <row r="2646" customFormat="false" ht="15" hidden="false" customHeight="false" outlineLevel="0" collapsed="false">
      <c r="A2646" s="30"/>
      <c r="B2646" s="21"/>
      <c r="C2646" s="21" t="str">
        <f aca="false">IF(B2646="","",IFERROR(INDEX(代理店一覧!$B$5:$B$204,MATCH(B2646,代理店一覧!$A$5:$A$204,0)),"※未登録のID"))</f>
        <v/>
      </c>
      <c r="D2646" s="20"/>
      <c r="E2646" s="20"/>
      <c r="F2646" s="20"/>
      <c r="G2646" s="20"/>
      <c r="H2646" s="20"/>
      <c r="I2646" s="21"/>
    </row>
    <row r="2647" customFormat="false" ht="15" hidden="false" customHeight="false" outlineLevel="0" collapsed="false">
      <c r="A2647" s="30"/>
      <c r="B2647" s="21"/>
      <c r="C2647" s="21" t="str">
        <f aca="false">IF(B2647="","",IFERROR(INDEX(代理店一覧!$B$5:$B$204,MATCH(B2647,代理店一覧!$A$5:$A$204,0)),"※未登録のID"))</f>
        <v/>
      </c>
      <c r="D2647" s="20"/>
      <c r="E2647" s="20"/>
      <c r="F2647" s="20"/>
      <c r="G2647" s="20"/>
      <c r="H2647" s="20"/>
      <c r="I2647" s="21"/>
    </row>
    <row r="2648" customFormat="false" ht="15" hidden="false" customHeight="false" outlineLevel="0" collapsed="false">
      <c r="A2648" s="30"/>
      <c r="B2648" s="21"/>
      <c r="C2648" s="21" t="str">
        <f aca="false">IF(B2648="","",IFERROR(INDEX(代理店一覧!$B$5:$B$204,MATCH(B2648,代理店一覧!$A$5:$A$204,0)),"※未登録のID"))</f>
        <v/>
      </c>
      <c r="D2648" s="20"/>
      <c r="E2648" s="20"/>
      <c r="F2648" s="20"/>
      <c r="G2648" s="20"/>
      <c r="H2648" s="20"/>
      <c r="I2648" s="21"/>
    </row>
    <row r="2649" customFormat="false" ht="15" hidden="false" customHeight="false" outlineLevel="0" collapsed="false">
      <c r="A2649" s="30"/>
      <c r="B2649" s="21"/>
      <c r="C2649" s="21" t="str">
        <f aca="false">IF(B2649="","",IFERROR(INDEX(代理店一覧!$B$5:$B$204,MATCH(B2649,代理店一覧!$A$5:$A$204,0)),"※未登録のID"))</f>
        <v/>
      </c>
      <c r="D2649" s="20"/>
      <c r="E2649" s="20"/>
      <c r="F2649" s="20"/>
      <c r="G2649" s="20"/>
      <c r="H2649" s="20"/>
      <c r="I2649" s="21"/>
    </row>
    <row r="2650" customFormat="false" ht="15" hidden="false" customHeight="false" outlineLevel="0" collapsed="false">
      <c r="A2650" s="30"/>
      <c r="B2650" s="21"/>
      <c r="C2650" s="21" t="str">
        <f aca="false">IF(B2650="","",IFERROR(INDEX(代理店一覧!$B$5:$B$204,MATCH(B2650,代理店一覧!$A$5:$A$204,0)),"※未登録のID"))</f>
        <v/>
      </c>
      <c r="D2650" s="20"/>
      <c r="E2650" s="20"/>
      <c r="F2650" s="20"/>
      <c r="G2650" s="20"/>
      <c r="H2650" s="20"/>
      <c r="I2650" s="21"/>
    </row>
    <row r="2651" customFormat="false" ht="15" hidden="false" customHeight="false" outlineLevel="0" collapsed="false">
      <c r="A2651" s="30"/>
      <c r="B2651" s="21"/>
      <c r="C2651" s="21" t="str">
        <f aca="false">IF(B2651="","",IFERROR(INDEX(代理店一覧!$B$5:$B$204,MATCH(B2651,代理店一覧!$A$5:$A$204,0)),"※未登録のID"))</f>
        <v/>
      </c>
      <c r="D2651" s="20"/>
      <c r="E2651" s="20"/>
      <c r="F2651" s="20"/>
      <c r="G2651" s="20"/>
      <c r="H2651" s="20"/>
      <c r="I2651" s="21"/>
    </row>
    <row r="2652" customFormat="false" ht="15" hidden="false" customHeight="false" outlineLevel="0" collapsed="false">
      <c r="A2652" s="30"/>
      <c r="B2652" s="21"/>
      <c r="C2652" s="21" t="str">
        <f aca="false">IF(B2652="","",IFERROR(INDEX(代理店一覧!$B$5:$B$204,MATCH(B2652,代理店一覧!$A$5:$A$204,0)),"※未登録のID"))</f>
        <v/>
      </c>
      <c r="D2652" s="20"/>
      <c r="E2652" s="20"/>
      <c r="F2652" s="20"/>
      <c r="G2652" s="20"/>
      <c r="H2652" s="20"/>
      <c r="I2652" s="21"/>
    </row>
    <row r="2653" customFormat="false" ht="15" hidden="false" customHeight="false" outlineLevel="0" collapsed="false">
      <c r="A2653" s="30"/>
      <c r="B2653" s="21"/>
      <c r="C2653" s="21" t="str">
        <f aca="false">IF(B2653="","",IFERROR(INDEX(代理店一覧!$B$5:$B$204,MATCH(B2653,代理店一覧!$A$5:$A$204,0)),"※未登録のID"))</f>
        <v/>
      </c>
      <c r="D2653" s="20"/>
      <c r="E2653" s="20"/>
      <c r="F2653" s="20"/>
      <c r="G2653" s="20"/>
      <c r="H2653" s="20"/>
      <c r="I2653" s="21"/>
    </row>
    <row r="2654" customFormat="false" ht="15" hidden="false" customHeight="false" outlineLevel="0" collapsed="false">
      <c r="A2654" s="30"/>
      <c r="B2654" s="21"/>
      <c r="C2654" s="21" t="str">
        <f aca="false">IF(B2654="","",IFERROR(INDEX(代理店一覧!$B$5:$B$204,MATCH(B2654,代理店一覧!$A$5:$A$204,0)),"※未登録のID"))</f>
        <v/>
      </c>
      <c r="D2654" s="20"/>
      <c r="E2654" s="20"/>
      <c r="F2654" s="20"/>
      <c r="G2654" s="20"/>
      <c r="H2654" s="20"/>
      <c r="I2654" s="21"/>
    </row>
    <row r="2655" customFormat="false" ht="15" hidden="false" customHeight="false" outlineLevel="0" collapsed="false">
      <c r="A2655" s="30"/>
      <c r="B2655" s="21"/>
      <c r="C2655" s="21" t="str">
        <f aca="false">IF(B2655="","",IFERROR(INDEX(代理店一覧!$B$5:$B$204,MATCH(B2655,代理店一覧!$A$5:$A$204,0)),"※未登録のID"))</f>
        <v/>
      </c>
      <c r="D2655" s="20"/>
      <c r="E2655" s="20"/>
      <c r="F2655" s="20"/>
      <c r="G2655" s="20"/>
      <c r="H2655" s="20"/>
      <c r="I2655" s="21"/>
    </row>
    <row r="2656" customFormat="false" ht="15" hidden="false" customHeight="false" outlineLevel="0" collapsed="false">
      <c r="A2656" s="30"/>
      <c r="B2656" s="21"/>
      <c r="C2656" s="21" t="str">
        <f aca="false">IF(B2656="","",IFERROR(INDEX(代理店一覧!$B$5:$B$204,MATCH(B2656,代理店一覧!$A$5:$A$204,0)),"※未登録のID"))</f>
        <v/>
      </c>
      <c r="D2656" s="20"/>
      <c r="E2656" s="20"/>
      <c r="F2656" s="20"/>
      <c r="G2656" s="20"/>
      <c r="H2656" s="20"/>
      <c r="I2656" s="21"/>
    </row>
    <row r="2657" customFormat="false" ht="15" hidden="false" customHeight="false" outlineLevel="0" collapsed="false">
      <c r="A2657" s="30"/>
      <c r="B2657" s="21"/>
      <c r="C2657" s="21" t="str">
        <f aca="false">IF(B2657="","",IFERROR(INDEX(代理店一覧!$B$5:$B$204,MATCH(B2657,代理店一覧!$A$5:$A$204,0)),"※未登録のID"))</f>
        <v/>
      </c>
      <c r="D2657" s="20"/>
      <c r="E2657" s="20"/>
      <c r="F2657" s="20"/>
      <c r="G2657" s="20"/>
      <c r="H2657" s="20"/>
      <c r="I2657" s="21"/>
    </row>
    <row r="2658" customFormat="false" ht="15" hidden="false" customHeight="false" outlineLevel="0" collapsed="false">
      <c r="A2658" s="30"/>
      <c r="B2658" s="21"/>
      <c r="C2658" s="21" t="str">
        <f aca="false">IF(B2658="","",IFERROR(INDEX(代理店一覧!$B$5:$B$204,MATCH(B2658,代理店一覧!$A$5:$A$204,0)),"※未登録のID"))</f>
        <v/>
      </c>
      <c r="D2658" s="20"/>
      <c r="E2658" s="20"/>
      <c r="F2658" s="20"/>
      <c r="G2658" s="20"/>
      <c r="H2658" s="20"/>
      <c r="I2658" s="21"/>
    </row>
    <row r="2659" customFormat="false" ht="15" hidden="false" customHeight="false" outlineLevel="0" collapsed="false">
      <c r="A2659" s="30"/>
      <c r="B2659" s="21"/>
      <c r="C2659" s="21" t="str">
        <f aca="false">IF(B2659="","",IFERROR(INDEX(代理店一覧!$B$5:$B$204,MATCH(B2659,代理店一覧!$A$5:$A$204,0)),"※未登録のID"))</f>
        <v/>
      </c>
      <c r="D2659" s="20"/>
      <c r="E2659" s="20"/>
      <c r="F2659" s="20"/>
      <c r="G2659" s="20"/>
      <c r="H2659" s="20"/>
      <c r="I2659" s="21"/>
    </row>
    <row r="2660" customFormat="false" ht="15" hidden="false" customHeight="false" outlineLevel="0" collapsed="false">
      <c r="A2660" s="30"/>
      <c r="B2660" s="21"/>
      <c r="C2660" s="21" t="str">
        <f aca="false">IF(B2660="","",IFERROR(INDEX(代理店一覧!$B$5:$B$204,MATCH(B2660,代理店一覧!$A$5:$A$204,0)),"※未登録のID"))</f>
        <v/>
      </c>
      <c r="D2660" s="20"/>
      <c r="E2660" s="20"/>
      <c r="F2660" s="20"/>
      <c r="G2660" s="20"/>
      <c r="H2660" s="20"/>
      <c r="I2660" s="21"/>
    </row>
    <row r="2661" customFormat="false" ht="15" hidden="false" customHeight="false" outlineLevel="0" collapsed="false">
      <c r="A2661" s="30"/>
      <c r="B2661" s="21"/>
      <c r="C2661" s="21" t="str">
        <f aca="false">IF(B2661="","",IFERROR(INDEX(代理店一覧!$B$5:$B$204,MATCH(B2661,代理店一覧!$A$5:$A$204,0)),"※未登録のID"))</f>
        <v/>
      </c>
      <c r="D2661" s="20"/>
      <c r="E2661" s="20"/>
      <c r="F2661" s="20"/>
      <c r="G2661" s="20"/>
      <c r="H2661" s="20"/>
      <c r="I2661" s="21"/>
    </row>
    <row r="2662" customFormat="false" ht="15" hidden="false" customHeight="false" outlineLevel="0" collapsed="false">
      <c r="A2662" s="30"/>
      <c r="B2662" s="21"/>
      <c r="C2662" s="21" t="str">
        <f aca="false">IF(B2662="","",IFERROR(INDEX(代理店一覧!$B$5:$B$204,MATCH(B2662,代理店一覧!$A$5:$A$204,0)),"※未登録のID"))</f>
        <v/>
      </c>
      <c r="D2662" s="20"/>
      <c r="E2662" s="20"/>
      <c r="F2662" s="20"/>
      <c r="G2662" s="20"/>
      <c r="H2662" s="20"/>
      <c r="I2662" s="21"/>
    </row>
    <row r="2663" customFormat="false" ht="15" hidden="false" customHeight="false" outlineLevel="0" collapsed="false">
      <c r="A2663" s="30"/>
      <c r="B2663" s="21"/>
      <c r="C2663" s="21" t="str">
        <f aca="false">IF(B2663="","",IFERROR(INDEX(代理店一覧!$B$5:$B$204,MATCH(B2663,代理店一覧!$A$5:$A$204,0)),"※未登録のID"))</f>
        <v/>
      </c>
      <c r="D2663" s="20"/>
      <c r="E2663" s="20"/>
      <c r="F2663" s="20"/>
      <c r="G2663" s="20"/>
      <c r="H2663" s="20"/>
      <c r="I2663" s="21"/>
    </row>
    <row r="2664" customFormat="false" ht="15" hidden="false" customHeight="false" outlineLevel="0" collapsed="false">
      <c r="A2664" s="30"/>
      <c r="B2664" s="21"/>
      <c r="C2664" s="21" t="str">
        <f aca="false">IF(B2664="","",IFERROR(INDEX(代理店一覧!$B$5:$B$204,MATCH(B2664,代理店一覧!$A$5:$A$204,0)),"※未登録のID"))</f>
        <v/>
      </c>
      <c r="D2664" s="20"/>
      <c r="E2664" s="20"/>
      <c r="F2664" s="20"/>
      <c r="G2664" s="20"/>
      <c r="H2664" s="20"/>
      <c r="I2664" s="21"/>
    </row>
    <row r="2665" customFormat="false" ht="15" hidden="false" customHeight="false" outlineLevel="0" collapsed="false">
      <c r="A2665" s="30"/>
      <c r="B2665" s="21"/>
      <c r="C2665" s="21" t="str">
        <f aca="false">IF(B2665="","",IFERROR(INDEX(代理店一覧!$B$5:$B$204,MATCH(B2665,代理店一覧!$A$5:$A$204,0)),"※未登録のID"))</f>
        <v/>
      </c>
      <c r="D2665" s="20"/>
      <c r="E2665" s="20"/>
      <c r="F2665" s="20"/>
      <c r="G2665" s="20"/>
      <c r="H2665" s="20"/>
      <c r="I2665" s="21"/>
    </row>
    <row r="2666" customFormat="false" ht="15" hidden="false" customHeight="false" outlineLevel="0" collapsed="false">
      <c r="A2666" s="30"/>
      <c r="B2666" s="21"/>
      <c r="C2666" s="21" t="str">
        <f aca="false">IF(B2666="","",IFERROR(INDEX(代理店一覧!$B$5:$B$204,MATCH(B2666,代理店一覧!$A$5:$A$204,0)),"※未登録のID"))</f>
        <v/>
      </c>
      <c r="D2666" s="20"/>
      <c r="E2666" s="20"/>
      <c r="F2666" s="20"/>
      <c r="G2666" s="20"/>
      <c r="H2666" s="20"/>
      <c r="I2666" s="21"/>
    </row>
    <row r="2667" customFormat="false" ht="15" hidden="false" customHeight="false" outlineLevel="0" collapsed="false">
      <c r="A2667" s="30"/>
      <c r="B2667" s="21"/>
      <c r="C2667" s="21" t="str">
        <f aca="false">IF(B2667="","",IFERROR(INDEX(代理店一覧!$B$5:$B$204,MATCH(B2667,代理店一覧!$A$5:$A$204,0)),"※未登録のID"))</f>
        <v/>
      </c>
      <c r="D2667" s="20"/>
      <c r="E2667" s="20"/>
      <c r="F2667" s="20"/>
      <c r="G2667" s="20"/>
      <c r="H2667" s="20"/>
      <c r="I2667" s="21"/>
    </row>
    <row r="2668" customFormat="false" ht="15" hidden="false" customHeight="false" outlineLevel="0" collapsed="false">
      <c r="A2668" s="30"/>
      <c r="B2668" s="21"/>
      <c r="C2668" s="21" t="str">
        <f aca="false">IF(B2668="","",IFERROR(INDEX(代理店一覧!$B$5:$B$204,MATCH(B2668,代理店一覧!$A$5:$A$204,0)),"※未登録のID"))</f>
        <v/>
      </c>
      <c r="D2668" s="20"/>
      <c r="E2668" s="20"/>
      <c r="F2668" s="20"/>
      <c r="G2668" s="20"/>
      <c r="H2668" s="20"/>
      <c r="I2668" s="21"/>
    </row>
    <row r="2669" customFormat="false" ht="15" hidden="false" customHeight="false" outlineLevel="0" collapsed="false">
      <c r="A2669" s="30"/>
      <c r="B2669" s="21"/>
      <c r="C2669" s="21" t="str">
        <f aca="false">IF(B2669="","",IFERROR(INDEX(代理店一覧!$B$5:$B$204,MATCH(B2669,代理店一覧!$A$5:$A$204,0)),"※未登録のID"))</f>
        <v/>
      </c>
      <c r="D2669" s="20"/>
      <c r="E2669" s="20"/>
      <c r="F2669" s="20"/>
      <c r="G2669" s="20"/>
      <c r="H2669" s="20"/>
      <c r="I2669" s="21"/>
    </row>
    <row r="2670" customFormat="false" ht="15" hidden="false" customHeight="false" outlineLevel="0" collapsed="false">
      <c r="A2670" s="30"/>
      <c r="B2670" s="21"/>
      <c r="C2670" s="21" t="str">
        <f aca="false">IF(B2670="","",IFERROR(INDEX(代理店一覧!$B$5:$B$204,MATCH(B2670,代理店一覧!$A$5:$A$204,0)),"※未登録のID"))</f>
        <v/>
      </c>
      <c r="D2670" s="20"/>
      <c r="E2670" s="20"/>
      <c r="F2670" s="20"/>
      <c r="G2670" s="20"/>
      <c r="H2670" s="20"/>
      <c r="I2670" s="21"/>
    </row>
    <row r="2671" customFormat="false" ht="15" hidden="false" customHeight="false" outlineLevel="0" collapsed="false">
      <c r="A2671" s="30"/>
      <c r="B2671" s="21"/>
      <c r="C2671" s="21" t="str">
        <f aca="false">IF(B2671="","",IFERROR(INDEX(代理店一覧!$B$5:$B$204,MATCH(B2671,代理店一覧!$A$5:$A$204,0)),"※未登録のID"))</f>
        <v/>
      </c>
      <c r="D2671" s="20"/>
      <c r="E2671" s="20"/>
      <c r="F2671" s="20"/>
      <c r="G2671" s="20"/>
      <c r="H2671" s="20"/>
      <c r="I2671" s="21"/>
    </row>
    <row r="2672" customFormat="false" ht="15" hidden="false" customHeight="false" outlineLevel="0" collapsed="false">
      <c r="A2672" s="30"/>
      <c r="B2672" s="21"/>
      <c r="C2672" s="21" t="str">
        <f aca="false">IF(B2672="","",IFERROR(INDEX(代理店一覧!$B$5:$B$204,MATCH(B2672,代理店一覧!$A$5:$A$204,0)),"※未登録のID"))</f>
        <v/>
      </c>
      <c r="D2672" s="20"/>
      <c r="E2672" s="20"/>
      <c r="F2672" s="20"/>
      <c r="G2672" s="20"/>
      <c r="H2672" s="20"/>
      <c r="I2672" s="21"/>
    </row>
    <row r="2673" customFormat="false" ht="15" hidden="false" customHeight="false" outlineLevel="0" collapsed="false">
      <c r="A2673" s="30"/>
      <c r="B2673" s="21"/>
      <c r="C2673" s="21" t="str">
        <f aca="false">IF(B2673="","",IFERROR(INDEX(代理店一覧!$B$5:$B$204,MATCH(B2673,代理店一覧!$A$5:$A$204,0)),"※未登録のID"))</f>
        <v/>
      </c>
      <c r="D2673" s="20"/>
      <c r="E2673" s="20"/>
      <c r="F2673" s="20"/>
      <c r="G2673" s="20"/>
      <c r="H2673" s="20"/>
      <c r="I2673" s="21"/>
    </row>
    <row r="2674" customFormat="false" ht="15" hidden="false" customHeight="false" outlineLevel="0" collapsed="false">
      <c r="A2674" s="30"/>
      <c r="B2674" s="21"/>
      <c r="C2674" s="21" t="str">
        <f aca="false">IF(B2674="","",IFERROR(INDEX(代理店一覧!$B$5:$B$204,MATCH(B2674,代理店一覧!$A$5:$A$204,0)),"※未登録のID"))</f>
        <v/>
      </c>
      <c r="D2674" s="20"/>
      <c r="E2674" s="20"/>
      <c r="F2674" s="20"/>
      <c r="G2674" s="20"/>
      <c r="H2674" s="20"/>
      <c r="I2674" s="21"/>
    </row>
    <row r="2675" customFormat="false" ht="15" hidden="false" customHeight="false" outlineLevel="0" collapsed="false">
      <c r="A2675" s="30"/>
      <c r="B2675" s="21"/>
      <c r="C2675" s="21" t="str">
        <f aca="false">IF(B2675="","",IFERROR(INDEX(代理店一覧!$B$5:$B$204,MATCH(B2675,代理店一覧!$A$5:$A$204,0)),"※未登録のID"))</f>
        <v/>
      </c>
      <c r="D2675" s="20"/>
      <c r="E2675" s="20"/>
      <c r="F2675" s="20"/>
      <c r="G2675" s="20"/>
      <c r="H2675" s="20"/>
      <c r="I2675" s="21"/>
    </row>
    <row r="2676" customFormat="false" ht="15" hidden="false" customHeight="false" outlineLevel="0" collapsed="false">
      <c r="A2676" s="30"/>
      <c r="B2676" s="21"/>
      <c r="C2676" s="21" t="str">
        <f aca="false">IF(B2676="","",IFERROR(INDEX(代理店一覧!$B$5:$B$204,MATCH(B2676,代理店一覧!$A$5:$A$204,0)),"※未登録のID"))</f>
        <v/>
      </c>
      <c r="D2676" s="20"/>
      <c r="E2676" s="20"/>
      <c r="F2676" s="20"/>
      <c r="G2676" s="20"/>
      <c r="H2676" s="20"/>
      <c r="I2676" s="21"/>
    </row>
    <row r="2677" customFormat="false" ht="15" hidden="false" customHeight="false" outlineLevel="0" collapsed="false">
      <c r="A2677" s="30"/>
      <c r="B2677" s="21"/>
      <c r="C2677" s="21" t="str">
        <f aca="false">IF(B2677="","",IFERROR(INDEX(代理店一覧!$B$5:$B$204,MATCH(B2677,代理店一覧!$A$5:$A$204,0)),"※未登録のID"))</f>
        <v/>
      </c>
      <c r="D2677" s="20"/>
      <c r="E2677" s="20"/>
      <c r="F2677" s="20"/>
      <c r="G2677" s="20"/>
      <c r="H2677" s="20"/>
      <c r="I2677" s="21"/>
    </row>
    <row r="2678" customFormat="false" ht="15" hidden="false" customHeight="false" outlineLevel="0" collapsed="false">
      <c r="A2678" s="30"/>
      <c r="B2678" s="21"/>
      <c r="C2678" s="21" t="str">
        <f aca="false">IF(B2678="","",IFERROR(INDEX(代理店一覧!$B$5:$B$204,MATCH(B2678,代理店一覧!$A$5:$A$204,0)),"※未登録のID"))</f>
        <v/>
      </c>
      <c r="D2678" s="20"/>
      <c r="E2678" s="20"/>
      <c r="F2678" s="20"/>
      <c r="G2678" s="20"/>
      <c r="H2678" s="20"/>
      <c r="I2678" s="21"/>
    </row>
    <row r="2679" customFormat="false" ht="15" hidden="false" customHeight="false" outlineLevel="0" collapsed="false">
      <c r="A2679" s="30"/>
      <c r="B2679" s="21"/>
      <c r="C2679" s="21" t="str">
        <f aca="false">IF(B2679="","",IFERROR(INDEX(代理店一覧!$B$5:$B$204,MATCH(B2679,代理店一覧!$A$5:$A$204,0)),"※未登録のID"))</f>
        <v/>
      </c>
      <c r="D2679" s="20"/>
      <c r="E2679" s="20"/>
      <c r="F2679" s="20"/>
      <c r="G2679" s="20"/>
      <c r="H2679" s="20"/>
      <c r="I2679" s="21"/>
    </row>
    <row r="2680" customFormat="false" ht="15" hidden="false" customHeight="false" outlineLevel="0" collapsed="false">
      <c r="A2680" s="30"/>
      <c r="B2680" s="21"/>
      <c r="C2680" s="21" t="str">
        <f aca="false">IF(B2680="","",IFERROR(INDEX(代理店一覧!$B$5:$B$204,MATCH(B2680,代理店一覧!$A$5:$A$204,0)),"※未登録のID"))</f>
        <v/>
      </c>
      <c r="D2680" s="20"/>
      <c r="E2680" s="20"/>
      <c r="F2680" s="20"/>
      <c r="G2680" s="20"/>
      <c r="H2680" s="20"/>
      <c r="I2680" s="21"/>
    </row>
    <row r="2681" customFormat="false" ht="15" hidden="false" customHeight="false" outlineLevel="0" collapsed="false">
      <c r="A2681" s="30"/>
      <c r="B2681" s="21"/>
      <c r="C2681" s="21" t="str">
        <f aca="false">IF(B2681="","",IFERROR(INDEX(代理店一覧!$B$5:$B$204,MATCH(B2681,代理店一覧!$A$5:$A$204,0)),"※未登録のID"))</f>
        <v/>
      </c>
      <c r="D2681" s="20"/>
      <c r="E2681" s="20"/>
      <c r="F2681" s="20"/>
      <c r="G2681" s="20"/>
      <c r="H2681" s="20"/>
      <c r="I2681" s="21"/>
    </row>
    <row r="2682" customFormat="false" ht="15" hidden="false" customHeight="false" outlineLevel="0" collapsed="false">
      <c r="A2682" s="30"/>
      <c r="B2682" s="21"/>
      <c r="C2682" s="21" t="str">
        <f aca="false">IF(B2682="","",IFERROR(INDEX(代理店一覧!$B$5:$B$204,MATCH(B2682,代理店一覧!$A$5:$A$204,0)),"※未登録のID"))</f>
        <v/>
      </c>
      <c r="D2682" s="20"/>
      <c r="E2682" s="20"/>
      <c r="F2682" s="20"/>
      <c r="G2682" s="20"/>
      <c r="H2682" s="20"/>
      <c r="I2682" s="21"/>
    </row>
    <row r="2683" customFormat="false" ht="15" hidden="false" customHeight="false" outlineLevel="0" collapsed="false">
      <c r="A2683" s="30"/>
      <c r="B2683" s="21"/>
      <c r="C2683" s="21" t="str">
        <f aca="false">IF(B2683="","",IFERROR(INDEX(代理店一覧!$B$5:$B$204,MATCH(B2683,代理店一覧!$A$5:$A$204,0)),"※未登録のID"))</f>
        <v/>
      </c>
      <c r="D2683" s="20"/>
      <c r="E2683" s="20"/>
      <c r="F2683" s="20"/>
      <c r="G2683" s="20"/>
      <c r="H2683" s="20"/>
      <c r="I2683" s="21"/>
    </row>
    <row r="2684" customFormat="false" ht="15" hidden="false" customHeight="false" outlineLevel="0" collapsed="false">
      <c r="A2684" s="30"/>
      <c r="B2684" s="21"/>
      <c r="C2684" s="21" t="str">
        <f aca="false">IF(B2684="","",IFERROR(INDEX(代理店一覧!$B$5:$B$204,MATCH(B2684,代理店一覧!$A$5:$A$204,0)),"※未登録のID"))</f>
        <v/>
      </c>
      <c r="D2684" s="20"/>
      <c r="E2684" s="20"/>
      <c r="F2684" s="20"/>
      <c r="G2684" s="20"/>
      <c r="H2684" s="20"/>
      <c r="I2684" s="21"/>
    </row>
    <row r="2685" customFormat="false" ht="15" hidden="false" customHeight="false" outlineLevel="0" collapsed="false">
      <c r="A2685" s="30"/>
      <c r="B2685" s="21"/>
      <c r="C2685" s="21" t="str">
        <f aca="false">IF(B2685="","",IFERROR(INDEX(代理店一覧!$B$5:$B$204,MATCH(B2685,代理店一覧!$A$5:$A$204,0)),"※未登録のID"))</f>
        <v/>
      </c>
      <c r="D2685" s="20"/>
      <c r="E2685" s="20"/>
      <c r="F2685" s="20"/>
      <c r="G2685" s="20"/>
      <c r="H2685" s="20"/>
      <c r="I2685" s="21"/>
    </row>
    <row r="2686" customFormat="false" ht="15" hidden="false" customHeight="false" outlineLevel="0" collapsed="false">
      <c r="A2686" s="30"/>
      <c r="B2686" s="21"/>
      <c r="C2686" s="21" t="str">
        <f aca="false">IF(B2686="","",IFERROR(INDEX(代理店一覧!$B$5:$B$204,MATCH(B2686,代理店一覧!$A$5:$A$204,0)),"※未登録のID"))</f>
        <v/>
      </c>
      <c r="D2686" s="20"/>
      <c r="E2686" s="20"/>
      <c r="F2686" s="20"/>
      <c r="G2686" s="20"/>
      <c r="H2686" s="20"/>
      <c r="I2686" s="21"/>
    </row>
    <row r="2687" customFormat="false" ht="15" hidden="false" customHeight="false" outlineLevel="0" collapsed="false">
      <c r="A2687" s="30"/>
      <c r="B2687" s="21"/>
      <c r="C2687" s="21" t="str">
        <f aca="false">IF(B2687="","",IFERROR(INDEX(代理店一覧!$B$5:$B$204,MATCH(B2687,代理店一覧!$A$5:$A$204,0)),"※未登録のID"))</f>
        <v/>
      </c>
      <c r="D2687" s="20"/>
      <c r="E2687" s="20"/>
      <c r="F2687" s="20"/>
      <c r="G2687" s="20"/>
      <c r="H2687" s="20"/>
      <c r="I2687" s="21"/>
    </row>
    <row r="2688" customFormat="false" ht="15" hidden="false" customHeight="false" outlineLevel="0" collapsed="false">
      <c r="A2688" s="30"/>
      <c r="B2688" s="21"/>
      <c r="C2688" s="21" t="str">
        <f aca="false">IF(B2688="","",IFERROR(INDEX(代理店一覧!$B$5:$B$204,MATCH(B2688,代理店一覧!$A$5:$A$204,0)),"※未登録のID"))</f>
        <v/>
      </c>
      <c r="D2688" s="20"/>
      <c r="E2688" s="20"/>
      <c r="F2688" s="20"/>
      <c r="G2688" s="20"/>
      <c r="H2688" s="20"/>
      <c r="I2688" s="21"/>
    </row>
    <row r="2689" customFormat="false" ht="15" hidden="false" customHeight="false" outlineLevel="0" collapsed="false">
      <c r="A2689" s="30"/>
      <c r="B2689" s="21"/>
      <c r="C2689" s="21" t="str">
        <f aca="false">IF(B2689="","",IFERROR(INDEX(代理店一覧!$B$5:$B$204,MATCH(B2689,代理店一覧!$A$5:$A$204,0)),"※未登録のID"))</f>
        <v/>
      </c>
      <c r="D2689" s="20"/>
      <c r="E2689" s="20"/>
      <c r="F2689" s="20"/>
      <c r="G2689" s="20"/>
      <c r="H2689" s="20"/>
      <c r="I2689" s="21"/>
    </row>
    <row r="2690" customFormat="false" ht="15" hidden="false" customHeight="false" outlineLevel="0" collapsed="false">
      <c r="A2690" s="30"/>
      <c r="B2690" s="21"/>
      <c r="C2690" s="21" t="str">
        <f aca="false">IF(B2690="","",IFERROR(INDEX(代理店一覧!$B$5:$B$204,MATCH(B2690,代理店一覧!$A$5:$A$204,0)),"※未登録のID"))</f>
        <v/>
      </c>
      <c r="D2690" s="20"/>
      <c r="E2690" s="20"/>
      <c r="F2690" s="20"/>
      <c r="G2690" s="20"/>
      <c r="H2690" s="20"/>
      <c r="I2690" s="21"/>
    </row>
    <row r="2691" customFormat="false" ht="15" hidden="false" customHeight="false" outlineLevel="0" collapsed="false">
      <c r="A2691" s="30"/>
      <c r="B2691" s="21"/>
      <c r="C2691" s="21" t="str">
        <f aca="false">IF(B2691="","",IFERROR(INDEX(代理店一覧!$B$5:$B$204,MATCH(B2691,代理店一覧!$A$5:$A$204,0)),"※未登録のID"))</f>
        <v/>
      </c>
      <c r="D2691" s="20"/>
      <c r="E2691" s="20"/>
      <c r="F2691" s="20"/>
      <c r="G2691" s="20"/>
      <c r="H2691" s="20"/>
      <c r="I2691" s="21"/>
    </row>
    <row r="2692" customFormat="false" ht="15" hidden="false" customHeight="false" outlineLevel="0" collapsed="false">
      <c r="A2692" s="30"/>
      <c r="B2692" s="21"/>
      <c r="C2692" s="21" t="str">
        <f aca="false">IF(B2692="","",IFERROR(INDEX(代理店一覧!$B$5:$B$204,MATCH(B2692,代理店一覧!$A$5:$A$204,0)),"※未登録のID"))</f>
        <v/>
      </c>
      <c r="D2692" s="20"/>
      <c r="E2692" s="20"/>
      <c r="F2692" s="20"/>
      <c r="G2692" s="20"/>
      <c r="H2692" s="20"/>
      <c r="I2692" s="21"/>
    </row>
    <row r="2693" customFormat="false" ht="15" hidden="false" customHeight="false" outlineLevel="0" collapsed="false">
      <c r="A2693" s="30"/>
      <c r="B2693" s="21"/>
      <c r="C2693" s="21" t="str">
        <f aca="false">IF(B2693="","",IFERROR(INDEX(代理店一覧!$B$5:$B$204,MATCH(B2693,代理店一覧!$A$5:$A$204,0)),"※未登録のID"))</f>
        <v/>
      </c>
      <c r="D2693" s="20"/>
      <c r="E2693" s="20"/>
      <c r="F2693" s="20"/>
      <c r="G2693" s="20"/>
      <c r="H2693" s="20"/>
      <c r="I2693" s="21"/>
    </row>
    <row r="2694" customFormat="false" ht="15" hidden="false" customHeight="false" outlineLevel="0" collapsed="false">
      <c r="A2694" s="30"/>
      <c r="B2694" s="21"/>
      <c r="C2694" s="21" t="str">
        <f aca="false">IF(B2694="","",IFERROR(INDEX(代理店一覧!$B$5:$B$204,MATCH(B2694,代理店一覧!$A$5:$A$204,0)),"※未登録のID"))</f>
        <v/>
      </c>
      <c r="D2694" s="20"/>
      <c r="E2694" s="20"/>
      <c r="F2694" s="20"/>
      <c r="G2694" s="20"/>
      <c r="H2694" s="20"/>
      <c r="I2694" s="21"/>
    </row>
    <row r="2695" customFormat="false" ht="15" hidden="false" customHeight="false" outlineLevel="0" collapsed="false">
      <c r="A2695" s="30"/>
      <c r="B2695" s="21"/>
      <c r="C2695" s="21" t="str">
        <f aca="false">IF(B2695="","",IFERROR(INDEX(代理店一覧!$B$5:$B$204,MATCH(B2695,代理店一覧!$A$5:$A$204,0)),"※未登録のID"))</f>
        <v/>
      </c>
      <c r="D2695" s="20"/>
      <c r="E2695" s="20"/>
      <c r="F2695" s="20"/>
      <c r="G2695" s="20"/>
      <c r="H2695" s="20"/>
      <c r="I2695" s="21"/>
    </row>
    <row r="2696" customFormat="false" ht="15" hidden="false" customHeight="false" outlineLevel="0" collapsed="false">
      <c r="A2696" s="30"/>
      <c r="B2696" s="21"/>
      <c r="C2696" s="21" t="str">
        <f aca="false">IF(B2696="","",IFERROR(INDEX(代理店一覧!$B$5:$B$204,MATCH(B2696,代理店一覧!$A$5:$A$204,0)),"※未登録のID"))</f>
        <v/>
      </c>
      <c r="D2696" s="20"/>
      <c r="E2696" s="20"/>
      <c r="F2696" s="20"/>
      <c r="G2696" s="20"/>
      <c r="H2696" s="20"/>
      <c r="I2696" s="21"/>
    </row>
    <row r="2697" customFormat="false" ht="15" hidden="false" customHeight="false" outlineLevel="0" collapsed="false">
      <c r="A2697" s="30"/>
      <c r="B2697" s="21"/>
      <c r="C2697" s="21" t="str">
        <f aca="false">IF(B2697="","",IFERROR(INDEX(代理店一覧!$B$5:$B$204,MATCH(B2697,代理店一覧!$A$5:$A$204,0)),"※未登録のID"))</f>
        <v/>
      </c>
      <c r="D2697" s="20"/>
      <c r="E2697" s="20"/>
      <c r="F2697" s="20"/>
      <c r="G2697" s="20"/>
      <c r="H2697" s="20"/>
      <c r="I2697" s="21"/>
    </row>
    <row r="2698" customFormat="false" ht="15" hidden="false" customHeight="false" outlineLevel="0" collapsed="false">
      <c r="A2698" s="30"/>
      <c r="B2698" s="21"/>
      <c r="C2698" s="21" t="str">
        <f aca="false">IF(B2698="","",IFERROR(INDEX(代理店一覧!$B$5:$B$204,MATCH(B2698,代理店一覧!$A$5:$A$204,0)),"※未登録のID"))</f>
        <v/>
      </c>
      <c r="D2698" s="20"/>
      <c r="E2698" s="20"/>
      <c r="F2698" s="20"/>
      <c r="G2698" s="20"/>
      <c r="H2698" s="20"/>
      <c r="I2698" s="21"/>
    </row>
    <row r="2699" customFormat="false" ht="15" hidden="false" customHeight="false" outlineLevel="0" collapsed="false">
      <c r="A2699" s="30"/>
      <c r="B2699" s="21"/>
      <c r="C2699" s="21" t="str">
        <f aca="false">IF(B2699="","",IFERROR(INDEX(代理店一覧!$B$5:$B$204,MATCH(B2699,代理店一覧!$A$5:$A$204,0)),"※未登録のID"))</f>
        <v/>
      </c>
      <c r="D2699" s="20"/>
      <c r="E2699" s="20"/>
      <c r="F2699" s="20"/>
      <c r="G2699" s="20"/>
      <c r="H2699" s="20"/>
      <c r="I2699" s="21"/>
    </row>
    <row r="2700" customFormat="false" ht="15" hidden="false" customHeight="false" outlineLevel="0" collapsed="false">
      <c r="A2700" s="30"/>
      <c r="B2700" s="21"/>
      <c r="C2700" s="21" t="str">
        <f aca="false">IF(B2700="","",IFERROR(INDEX(代理店一覧!$B$5:$B$204,MATCH(B2700,代理店一覧!$A$5:$A$204,0)),"※未登録のID"))</f>
        <v/>
      </c>
      <c r="D2700" s="20"/>
      <c r="E2700" s="20"/>
      <c r="F2700" s="20"/>
      <c r="G2700" s="20"/>
      <c r="H2700" s="20"/>
      <c r="I2700" s="21"/>
    </row>
    <row r="2701" customFormat="false" ht="15" hidden="false" customHeight="false" outlineLevel="0" collapsed="false">
      <c r="A2701" s="30"/>
      <c r="B2701" s="21"/>
      <c r="C2701" s="21" t="str">
        <f aca="false">IF(B2701="","",IFERROR(INDEX(代理店一覧!$B$5:$B$204,MATCH(B2701,代理店一覧!$A$5:$A$204,0)),"※未登録のID"))</f>
        <v/>
      </c>
      <c r="D2701" s="20"/>
      <c r="E2701" s="20"/>
      <c r="F2701" s="20"/>
      <c r="G2701" s="20"/>
      <c r="H2701" s="20"/>
      <c r="I2701" s="21"/>
    </row>
    <row r="2702" customFormat="false" ht="15" hidden="false" customHeight="false" outlineLevel="0" collapsed="false">
      <c r="A2702" s="30"/>
      <c r="B2702" s="21"/>
      <c r="C2702" s="21" t="str">
        <f aca="false">IF(B2702="","",IFERROR(INDEX(代理店一覧!$B$5:$B$204,MATCH(B2702,代理店一覧!$A$5:$A$204,0)),"※未登録のID"))</f>
        <v/>
      </c>
      <c r="D2702" s="20"/>
      <c r="E2702" s="20"/>
      <c r="F2702" s="20"/>
      <c r="G2702" s="20"/>
      <c r="H2702" s="20"/>
      <c r="I2702" s="21"/>
    </row>
    <row r="2703" customFormat="false" ht="15" hidden="false" customHeight="false" outlineLevel="0" collapsed="false">
      <c r="A2703" s="30"/>
      <c r="B2703" s="21"/>
      <c r="C2703" s="21" t="str">
        <f aca="false">IF(B2703="","",IFERROR(INDEX(代理店一覧!$B$5:$B$204,MATCH(B2703,代理店一覧!$A$5:$A$204,0)),"※未登録のID"))</f>
        <v/>
      </c>
      <c r="D2703" s="20"/>
      <c r="E2703" s="20"/>
      <c r="F2703" s="20"/>
      <c r="G2703" s="20"/>
      <c r="H2703" s="20"/>
      <c r="I2703" s="21"/>
    </row>
    <row r="2704" customFormat="false" ht="15" hidden="false" customHeight="false" outlineLevel="0" collapsed="false">
      <c r="A2704" s="30"/>
      <c r="B2704" s="21"/>
      <c r="C2704" s="21" t="str">
        <f aca="false">IF(B2704="","",IFERROR(INDEX(代理店一覧!$B$5:$B$204,MATCH(B2704,代理店一覧!$A$5:$A$204,0)),"※未登録のID"))</f>
        <v/>
      </c>
      <c r="D2704" s="20"/>
      <c r="E2704" s="20"/>
      <c r="F2704" s="20"/>
      <c r="G2704" s="20"/>
      <c r="H2704" s="20"/>
      <c r="I2704" s="21"/>
    </row>
    <row r="2705" customFormat="false" ht="15" hidden="false" customHeight="false" outlineLevel="0" collapsed="false">
      <c r="A2705" s="30"/>
      <c r="B2705" s="21"/>
      <c r="C2705" s="21" t="str">
        <f aca="false">IF(B2705="","",IFERROR(INDEX(代理店一覧!$B$5:$B$204,MATCH(B2705,代理店一覧!$A$5:$A$204,0)),"※未登録のID"))</f>
        <v/>
      </c>
      <c r="D2705" s="20"/>
      <c r="E2705" s="20"/>
      <c r="F2705" s="20"/>
      <c r="G2705" s="20"/>
      <c r="H2705" s="20"/>
      <c r="I2705" s="21"/>
    </row>
    <row r="2706" customFormat="false" ht="15" hidden="false" customHeight="false" outlineLevel="0" collapsed="false">
      <c r="A2706" s="30"/>
      <c r="B2706" s="21"/>
      <c r="C2706" s="21" t="str">
        <f aca="false">IF(B2706="","",IFERROR(INDEX(代理店一覧!$B$5:$B$204,MATCH(B2706,代理店一覧!$A$5:$A$204,0)),"※未登録のID"))</f>
        <v/>
      </c>
      <c r="D2706" s="20"/>
      <c r="E2706" s="20"/>
      <c r="F2706" s="20"/>
      <c r="G2706" s="20"/>
      <c r="H2706" s="20"/>
      <c r="I2706" s="21"/>
    </row>
    <row r="2707" customFormat="false" ht="15" hidden="false" customHeight="false" outlineLevel="0" collapsed="false">
      <c r="A2707" s="30"/>
      <c r="B2707" s="21"/>
      <c r="C2707" s="21" t="str">
        <f aca="false">IF(B2707="","",IFERROR(INDEX(代理店一覧!$B$5:$B$204,MATCH(B2707,代理店一覧!$A$5:$A$204,0)),"※未登録のID"))</f>
        <v/>
      </c>
      <c r="D2707" s="20"/>
      <c r="E2707" s="20"/>
      <c r="F2707" s="20"/>
      <c r="G2707" s="20"/>
      <c r="H2707" s="20"/>
      <c r="I2707" s="21"/>
    </row>
    <row r="2708" customFormat="false" ht="15" hidden="false" customHeight="false" outlineLevel="0" collapsed="false">
      <c r="A2708" s="30"/>
      <c r="B2708" s="21"/>
      <c r="C2708" s="21" t="str">
        <f aca="false">IF(B2708="","",IFERROR(INDEX(代理店一覧!$B$5:$B$204,MATCH(B2708,代理店一覧!$A$5:$A$204,0)),"※未登録のID"))</f>
        <v/>
      </c>
      <c r="D2708" s="20"/>
      <c r="E2708" s="20"/>
      <c r="F2708" s="20"/>
      <c r="G2708" s="20"/>
      <c r="H2708" s="20"/>
      <c r="I2708" s="21"/>
    </row>
    <row r="2709" customFormat="false" ht="15" hidden="false" customHeight="false" outlineLevel="0" collapsed="false">
      <c r="A2709" s="30"/>
      <c r="B2709" s="21"/>
      <c r="C2709" s="21" t="str">
        <f aca="false">IF(B2709="","",IFERROR(INDEX(代理店一覧!$B$5:$B$204,MATCH(B2709,代理店一覧!$A$5:$A$204,0)),"※未登録のID"))</f>
        <v/>
      </c>
      <c r="D2709" s="20"/>
      <c r="E2709" s="20"/>
      <c r="F2709" s="20"/>
      <c r="G2709" s="20"/>
      <c r="H2709" s="20"/>
      <c r="I2709" s="21"/>
    </row>
    <row r="2710" customFormat="false" ht="15" hidden="false" customHeight="false" outlineLevel="0" collapsed="false">
      <c r="A2710" s="30"/>
      <c r="B2710" s="21"/>
      <c r="C2710" s="21" t="str">
        <f aca="false">IF(B2710="","",IFERROR(INDEX(代理店一覧!$B$5:$B$204,MATCH(B2710,代理店一覧!$A$5:$A$204,0)),"※未登録のID"))</f>
        <v/>
      </c>
      <c r="D2710" s="20"/>
      <c r="E2710" s="20"/>
      <c r="F2710" s="20"/>
      <c r="G2710" s="20"/>
      <c r="H2710" s="20"/>
      <c r="I2710" s="21"/>
    </row>
    <row r="2711" customFormat="false" ht="15" hidden="false" customHeight="false" outlineLevel="0" collapsed="false">
      <c r="A2711" s="30"/>
      <c r="B2711" s="21"/>
      <c r="C2711" s="21" t="str">
        <f aca="false">IF(B2711="","",IFERROR(INDEX(代理店一覧!$B$5:$B$204,MATCH(B2711,代理店一覧!$A$5:$A$204,0)),"※未登録のID"))</f>
        <v/>
      </c>
      <c r="D2711" s="20"/>
      <c r="E2711" s="20"/>
      <c r="F2711" s="20"/>
      <c r="G2711" s="20"/>
      <c r="H2711" s="20"/>
      <c r="I2711" s="21"/>
    </row>
    <row r="2712" customFormat="false" ht="15" hidden="false" customHeight="false" outlineLevel="0" collapsed="false">
      <c r="A2712" s="30"/>
      <c r="B2712" s="21"/>
      <c r="C2712" s="21" t="str">
        <f aca="false">IF(B2712="","",IFERROR(INDEX(代理店一覧!$B$5:$B$204,MATCH(B2712,代理店一覧!$A$5:$A$204,0)),"※未登録のID"))</f>
        <v/>
      </c>
      <c r="D2712" s="20"/>
      <c r="E2712" s="20"/>
      <c r="F2712" s="20"/>
      <c r="G2712" s="20"/>
      <c r="H2712" s="20"/>
      <c r="I2712" s="21"/>
    </row>
    <row r="2713" customFormat="false" ht="15" hidden="false" customHeight="false" outlineLevel="0" collapsed="false">
      <c r="A2713" s="30"/>
      <c r="B2713" s="21"/>
      <c r="C2713" s="21" t="str">
        <f aca="false">IF(B2713="","",IFERROR(INDEX(代理店一覧!$B$5:$B$204,MATCH(B2713,代理店一覧!$A$5:$A$204,0)),"※未登録のID"))</f>
        <v/>
      </c>
      <c r="D2713" s="20"/>
      <c r="E2713" s="20"/>
      <c r="F2713" s="20"/>
      <c r="G2713" s="20"/>
      <c r="H2713" s="20"/>
      <c r="I2713" s="21"/>
    </row>
    <row r="2714" customFormat="false" ht="15" hidden="false" customHeight="false" outlineLevel="0" collapsed="false">
      <c r="A2714" s="30"/>
      <c r="B2714" s="21"/>
      <c r="C2714" s="21" t="str">
        <f aca="false">IF(B2714="","",IFERROR(INDEX(代理店一覧!$B$5:$B$204,MATCH(B2714,代理店一覧!$A$5:$A$204,0)),"※未登録のID"))</f>
        <v/>
      </c>
      <c r="D2714" s="20"/>
      <c r="E2714" s="20"/>
      <c r="F2714" s="20"/>
      <c r="G2714" s="20"/>
      <c r="H2714" s="20"/>
      <c r="I2714" s="21"/>
    </row>
    <row r="2715" customFormat="false" ht="15" hidden="false" customHeight="false" outlineLevel="0" collapsed="false">
      <c r="A2715" s="30"/>
      <c r="B2715" s="21"/>
      <c r="C2715" s="21" t="str">
        <f aca="false">IF(B2715="","",IFERROR(INDEX(代理店一覧!$B$5:$B$204,MATCH(B2715,代理店一覧!$A$5:$A$204,0)),"※未登録のID"))</f>
        <v/>
      </c>
      <c r="D2715" s="20"/>
      <c r="E2715" s="20"/>
      <c r="F2715" s="20"/>
      <c r="G2715" s="20"/>
      <c r="H2715" s="20"/>
      <c r="I2715" s="21"/>
    </row>
    <row r="2716" customFormat="false" ht="15" hidden="false" customHeight="false" outlineLevel="0" collapsed="false">
      <c r="A2716" s="30"/>
      <c r="B2716" s="21"/>
      <c r="C2716" s="21" t="str">
        <f aca="false">IF(B2716="","",IFERROR(INDEX(代理店一覧!$B$5:$B$204,MATCH(B2716,代理店一覧!$A$5:$A$204,0)),"※未登録のID"))</f>
        <v/>
      </c>
      <c r="D2716" s="20"/>
      <c r="E2716" s="20"/>
      <c r="F2716" s="20"/>
      <c r="G2716" s="20"/>
      <c r="H2716" s="20"/>
      <c r="I2716" s="21"/>
    </row>
    <row r="2717" customFormat="false" ht="15" hidden="false" customHeight="false" outlineLevel="0" collapsed="false">
      <c r="A2717" s="30"/>
      <c r="B2717" s="21"/>
      <c r="C2717" s="21" t="str">
        <f aca="false">IF(B2717="","",IFERROR(INDEX(代理店一覧!$B$5:$B$204,MATCH(B2717,代理店一覧!$A$5:$A$204,0)),"※未登録のID"))</f>
        <v/>
      </c>
      <c r="D2717" s="20"/>
      <c r="E2717" s="20"/>
      <c r="F2717" s="20"/>
      <c r="G2717" s="20"/>
      <c r="H2717" s="20"/>
      <c r="I2717" s="21"/>
    </row>
    <row r="2718" customFormat="false" ht="15" hidden="false" customHeight="false" outlineLevel="0" collapsed="false">
      <c r="A2718" s="30"/>
      <c r="B2718" s="21"/>
      <c r="C2718" s="21" t="str">
        <f aca="false">IF(B2718="","",IFERROR(INDEX(代理店一覧!$B$5:$B$204,MATCH(B2718,代理店一覧!$A$5:$A$204,0)),"※未登録のID"))</f>
        <v/>
      </c>
      <c r="D2718" s="20"/>
      <c r="E2718" s="20"/>
      <c r="F2718" s="20"/>
      <c r="G2718" s="20"/>
      <c r="H2718" s="20"/>
      <c r="I2718" s="21"/>
    </row>
    <row r="2719" customFormat="false" ht="15" hidden="false" customHeight="false" outlineLevel="0" collapsed="false">
      <c r="A2719" s="30"/>
      <c r="B2719" s="21"/>
      <c r="C2719" s="21" t="str">
        <f aca="false">IF(B2719="","",IFERROR(INDEX(代理店一覧!$B$5:$B$204,MATCH(B2719,代理店一覧!$A$5:$A$204,0)),"※未登録のID"))</f>
        <v/>
      </c>
      <c r="D2719" s="20"/>
      <c r="E2719" s="20"/>
      <c r="F2719" s="20"/>
      <c r="G2719" s="20"/>
      <c r="H2719" s="20"/>
      <c r="I2719" s="21"/>
    </row>
    <row r="2720" customFormat="false" ht="15" hidden="false" customHeight="false" outlineLevel="0" collapsed="false">
      <c r="A2720" s="30"/>
      <c r="B2720" s="21"/>
      <c r="C2720" s="21" t="str">
        <f aca="false">IF(B2720="","",IFERROR(INDEX(代理店一覧!$B$5:$B$204,MATCH(B2720,代理店一覧!$A$5:$A$204,0)),"※未登録のID"))</f>
        <v/>
      </c>
      <c r="D2720" s="20"/>
      <c r="E2720" s="20"/>
      <c r="F2720" s="20"/>
      <c r="G2720" s="20"/>
      <c r="H2720" s="20"/>
      <c r="I2720" s="21"/>
    </row>
    <row r="2721" customFormat="false" ht="15" hidden="false" customHeight="false" outlineLevel="0" collapsed="false">
      <c r="A2721" s="30"/>
      <c r="B2721" s="21"/>
      <c r="C2721" s="21" t="str">
        <f aca="false">IF(B2721="","",IFERROR(INDEX(代理店一覧!$B$5:$B$204,MATCH(B2721,代理店一覧!$A$5:$A$204,0)),"※未登録のID"))</f>
        <v/>
      </c>
      <c r="D2721" s="20"/>
      <c r="E2721" s="20"/>
      <c r="F2721" s="20"/>
      <c r="G2721" s="20"/>
      <c r="H2721" s="20"/>
      <c r="I2721" s="21"/>
    </row>
    <row r="2722" customFormat="false" ht="15" hidden="false" customHeight="false" outlineLevel="0" collapsed="false">
      <c r="A2722" s="30"/>
      <c r="B2722" s="21"/>
      <c r="C2722" s="21" t="str">
        <f aca="false">IF(B2722="","",IFERROR(INDEX(代理店一覧!$B$5:$B$204,MATCH(B2722,代理店一覧!$A$5:$A$204,0)),"※未登録のID"))</f>
        <v/>
      </c>
      <c r="D2722" s="20"/>
      <c r="E2722" s="20"/>
      <c r="F2722" s="20"/>
      <c r="G2722" s="20"/>
      <c r="H2722" s="20"/>
      <c r="I2722" s="21"/>
    </row>
    <row r="2723" customFormat="false" ht="15" hidden="false" customHeight="false" outlineLevel="0" collapsed="false">
      <c r="A2723" s="30"/>
      <c r="B2723" s="21"/>
      <c r="C2723" s="21" t="str">
        <f aca="false">IF(B2723="","",IFERROR(INDEX(代理店一覧!$B$5:$B$204,MATCH(B2723,代理店一覧!$A$5:$A$204,0)),"※未登録のID"))</f>
        <v/>
      </c>
      <c r="D2723" s="20"/>
      <c r="E2723" s="20"/>
      <c r="F2723" s="20"/>
      <c r="G2723" s="20"/>
      <c r="H2723" s="20"/>
      <c r="I2723" s="21"/>
    </row>
    <row r="2724" customFormat="false" ht="15" hidden="false" customHeight="false" outlineLevel="0" collapsed="false">
      <c r="A2724" s="30"/>
      <c r="B2724" s="21"/>
      <c r="C2724" s="21" t="str">
        <f aca="false">IF(B2724="","",IFERROR(INDEX(代理店一覧!$B$5:$B$204,MATCH(B2724,代理店一覧!$A$5:$A$204,0)),"※未登録のID"))</f>
        <v/>
      </c>
      <c r="D2724" s="20"/>
      <c r="E2724" s="20"/>
      <c r="F2724" s="20"/>
      <c r="G2724" s="20"/>
      <c r="H2724" s="20"/>
      <c r="I2724" s="21"/>
    </row>
    <row r="2725" customFormat="false" ht="15" hidden="false" customHeight="false" outlineLevel="0" collapsed="false">
      <c r="A2725" s="30"/>
      <c r="B2725" s="21"/>
      <c r="C2725" s="21" t="str">
        <f aca="false">IF(B2725="","",IFERROR(INDEX(代理店一覧!$B$5:$B$204,MATCH(B2725,代理店一覧!$A$5:$A$204,0)),"※未登録のID"))</f>
        <v/>
      </c>
      <c r="D2725" s="20"/>
      <c r="E2725" s="20"/>
      <c r="F2725" s="20"/>
      <c r="G2725" s="20"/>
      <c r="H2725" s="20"/>
      <c r="I2725" s="21"/>
    </row>
    <row r="2726" customFormat="false" ht="15" hidden="false" customHeight="false" outlineLevel="0" collapsed="false">
      <c r="A2726" s="30"/>
      <c r="B2726" s="21"/>
      <c r="C2726" s="21" t="str">
        <f aca="false">IF(B2726="","",IFERROR(INDEX(代理店一覧!$B$5:$B$204,MATCH(B2726,代理店一覧!$A$5:$A$204,0)),"※未登録のID"))</f>
        <v/>
      </c>
      <c r="D2726" s="20"/>
      <c r="E2726" s="20"/>
      <c r="F2726" s="20"/>
      <c r="G2726" s="20"/>
      <c r="H2726" s="20"/>
      <c r="I2726" s="21"/>
    </row>
    <row r="2727" customFormat="false" ht="15" hidden="false" customHeight="false" outlineLevel="0" collapsed="false">
      <c r="A2727" s="30"/>
      <c r="B2727" s="21"/>
      <c r="C2727" s="21" t="str">
        <f aca="false">IF(B2727="","",IFERROR(INDEX(代理店一覧!$B$5:$B$204,MATCH(B2727,代理店一覧!$A$5:$A$204,0)),"※未登録のID"))</f>
        <v/>
      </c>
      <c r="D2727" s="20"/>
      <c r="E2727" s="20"/>
      <c r="F2727" s="20"/>
      <c r="G2727" s="20"/>
      <c r="H2727" s="20"/>
      <c r="I2727" s="21"/>
    </row>
    <row r="2728" customFormat="false" ht="15" hidden="false" customHeight="false" outlineLevel="0" collapsed="false">
      <c r="A2728" s="30"/>
      <c r="B2728" s="21"/>
      <c r="C2728" s="21" t="str">
        <f aca="false">IF(B2728="","",IFERROR(INDEX(代理店一覧!$B$5:$B$204,MATCH(B2728,代理店一覧!$A$5:$A$204,0)),"※未登録のID"))</f>
        <v/>
      </c>
      <c r="D2728" s="20"/>
      <c r="E2728" s="20"/>
      <c r="F2728" s="20"/>
      <c r="G2728" s="20"/>
      <c r="H2728" s="20"/>
      <c r="I2728" s="21"/>
    </row>
    <row r="2729" customFormat="false" ht="15" hidden="false" customHeight="false" outlineLevel="0" collapsed="false">
      <c r="A2729" s="30"/>
      <c r="B2729" s="21"/>
      <c r="C2729" s="21" t="str">
        <f aca="false">IF(B2729="","",IFERROR(INDEX(代理店一覧!$B$5:$B$204,MATCH(B2729,代理店一覧!$A$5:$A$204,0)),"※未登録のID"))</f>
        <v/>
      </c>
      <c r="D2729" s="20"/>
      <c r="E2729" s="20"/>
      <c r="F2729" s="20"/>
      <c r="G2729" s="20"/>
      <c r="H2729" s="20"/>
      <c r="I2729" s="21"/>
    </row>
    <row r="2730" customFormat="false" ht="15" hidden="false" customHeight="false" outlineLevel="0" collapsed="false">
      <c r="A2730" s="30"/>
      <c r="B2730" s="21"/>
      <c r="C2730" s="21" t="str">
        <f aca="false">IF(B2730="","",IFERROR(INDEX(代理店一覧!$B$5:$B$204,MATCH(B2730,代理店一覧!$A$5:$A$204,0)),"※未登録のID"))</f>
        <v/>
      </c>
      <c r="D2730" s="20"/>
      <c r="E2730" s="20"/>
      <c r="F2730" s="20"/>
      <c r="G2730" s="20"/>
      <c r="H2730" s="20"/>
      <c r="I2730" s="21"/>
    </row>
    <row r="2731" customFormat="false" ht="15" hidden="false" customHeight="false" outlineLevel="0" collapsed="false">
      <c r="A2731" s="30"/>
      <c r="B2731" s="21"/>
      <c r="C2731" s="21" t="str">
        <f aca="false">IF(B2731="","",IFERROR(INDEX(代理店一覧!$B$5:$B$204,MATCH(B2731,代理店一覧!$A$5:$A$204,0)),"※未登録のID"))</f>
        <v/>
      </c>
      <c r="D2731" s="20"/>
      <c r="E2731" s="20"/>
      <c r="F2731" s="20"/>
      <c r="G2731" s="20"/>
      <c r="H2731" s="20"/>
      <c r="I2731" s="21"/>
    </row>
    <row r="2732" customFormat="false" ht="15" hidden="false" customHeight="false" outlineLevel="0" collapsed="false">
      <c r="A2732" s="30"/>
      <c r="B2732" s="21"/>
      <c r="C2732" s="21" t="str">
        <f aca="false">IF(B2732="","",IFERROR(INDEX(代理店一覧!$B$5:$B$204,MATCH(B2732,代理店一覧!$A$5:$A$204,0)),"※未登録のID"))</f>
        <v/>
      </c>
      <c r="D2732" s="20"/>
      <c r="E2732" s="20"/>
      <c r="F2732" s="20"/>
      <c r="G2732" s="20"/>
      <c r="H2732" s="20"/>
      <c r="I2732" s="21"/>
    </row>
    <row r="2733" customFormat="false" ht="15" hidden="false" customHeight="false" outlineLevel="0" collapsed="false">
      <c r="A2733" s="30"/>
      <c r="B2733" s="21"/>
      <c r="C2733" s="21" t="str">
        <f aca="false">IF(B2733="","",IFERROR(INDEX(代理店一覧!$B$5:$B$204,MATCH(B2733,代理店一覧!$A$5:$A$204,0)),"※未登録のID"))</f>
        <v/>
      </c>
      <c r="D2733" s="20"/>
      <c r="E2733" s="20"/>
      <c r="F2733" s="20"/>
      <c r="G2733" s="20"/>
      <c r="H2733" s="20"/>
      <c r="I2733" s="21"/>
    </row>
    <row r="2734" customFormat="false" ht="15" hidden="false" customHeight="false" outlineLevel="0" collapsed="false">
      <c r="A2734" s="30"/>
      <c r="B2734" s="21"/>
      <c r="C2734" s="21" t="str">
        <f aca="false">IF(B2734="","",IFERROR(INDEX(代理店一覧!$B$5:$B$204,MATCH(B2734,代理店一覧!$A$5:$A$204,0)),"※未登録のID"))</f>
        <v/>
      </c>
      <c r="D2734" s="20"/>
      <c r="E2734" s="20"/>
      <c r="F2734" s="20"/>
      <c r="G2734" s="20"/>
      <c r="H2734" s="20"/>
      <c r="I2734" s="21"/>
    </row>
    <row r="2735" customFormat="false" ht="15" hidden="false" customHeight="false" outlineLevel="0" collapsed="false">
      <c r="A2735" s="30"/>
      <c r="B2735" s="21"/>
      <c r="C2735" s="21" t="str">
        <f aca="false">IF(B2735="","",IFERROR(INDEX(代理店一覧!$B$5:$B$204,MATCH(B2735,代理店一覧!$A$5:$A$204,0)),"※未登録のID"))</f>
        <v/>
      </c>
      <c r="D2735" s="20"/>
      <c r="E2735" s="20"/>
      <c r="F2735" s="20"/>
      <c r="G2735" s="20"/>
      <c r="H2735" s="20"/>
      <c r="I2735" s="21"/>
    </row>
    <row r="2736" customFormat="false" ht="15" hidden="false" customHeight="false" outlineLevel="0" collapsed="false">
      <c r="A2736" s="30"/>
      <c r="B2736" s="21"/>
      <c r="C2736" s="21" t="str">
        <f aca="false">IF(B2736="","",IFERROR(INDEX(代理店一覧!$B$5:$B$204,MATCH(B2736,代理店一覧!$A$5:$A$204,0)),"※未登録のID"))</f>
        <v/>
      </c>
      <c r="D2736" s="20"/>
      <c r="E2736" s="20"/>
      <c r="F2736" s="20"/>
      <c r="G2736" s="20"/>
      <c r="H2736" s="20"/>
      <c r="I2736" s="21"/>
    </row>
    <row r="2737" customFormat="false" ht="15" hidden="false" customHeight="false" outlineLevel="0" collapsed="false">
      <c r="A2737" s="30"/>
      <c r="B2737" s="21"/>
      <c r="C2737" s="21" t="str">
        <f aca="false">IF(B2737="","",IFERROR(INDEX(代理店一覧!$B$5:$B$204,MATCH(B2737,代理店一覧!$A$5:$A$204,0)),"※未登録のID"))</f>
        <v/>
      </c>
      <c r="D2737" s="20"/>
      <c r="E2737" s="20"/>
      <c r="F2737" s="20"/>
      <c r="G2737" s="20"/>
      <c r="H2737" s="20"/>
      <c r="I2737" s="21"/>
    </row>
    <row r="2738" customFormat="false" ht="15" hidden="false" customHeight="false" outlineLevel="0" collapsed="false">
      <c r="A2738" s="30"/>
      <c r="B2738" s="21"/>
      <c r="C2738" s="21" t="str">
        <f aca="false">IF(B2738="","",IFERROR(INDEX(代理店一覧!$B$5:$B$204,MATCH(B2738,代理店一覧!$A$5:$A$204,0)),"※未登録のID"))</f>
        <v/>
      </c>
      <c r="D2738" s="20"/>
      <c r="E2738" s="20"/>
      <c r="F2738" s="20"/>
      <c r="G2738" s="20"/>
      <c r="H2738" s="20"/>
      <c r="I2738" s="21"/>
    </row>
    <row r="2739" customFormat="false" ht="15" hidden="false" customHeight="false" outlineLevel="0" collapsed="false">
      <c r="A2739" s="30"/>
      <c r="B2739" s="21"/>
      <c r="C2739" s="21" t="str">
        <f aca="false">IF(B2739="","",IFERROR(INDEX(代理店一覧!$B$5:$B$204,MATCH(B2739,代理店一覧!$A$5:$A$204,0)),"※未登録のID"))</f>
        <v/>
      </c>
      <c r="D2739" s="20"/>
      <c r="E2739" s="20"/>
      <c r="F2739" s="20"/>
      <c r="G2739" s="20"/>
      <c r="H2739" s="20"/>
      <c r="I2739" s="21"/>
    </row>
    <row r="2740" customFormat="false" ht="15" hidden="false" customHeight="false" outlineLevel="0" collapsed="false">
      <c r="A2740" s="30"/>
      <c r="B2740" s="21"/>
      <c r="C2740" s="21" t="str">
        <f aca="false">IF(B2740="","",IFERROR(INDEX(代理店一覧!$B$5:$B$204,MATCH(B2740,代理店一覧!$A$5:$A$204,0)),"※未登録のID"))</f>
        <v/>
      </c>
      <c r="D2740" s="20"/>
      <c r="E2740" s="20"/>
      <c r="F2740" s="20"/>
      <c r="G2740" s="20"/>
      <c r="H2740" s="20"/>
      <c r="I2740" s="21"/>
    </row>
    <row r="2741" customFormat="false" ht="15" hidden="false" customHeight="false" outlineLevel="0" collapsed="false">
      <c r="A2741" s="30"/>
      <c r="B2741" s="21"/>
      <c r="C2741" s="21" t="str">
        <f aca="false">IF(B2741="","",IFERROR(INDEX(代理店一覧!$B$5:$B$204,MATCH(B2741,代理店一覧!$A$5:$A$204,0)),"※未登録のID"))</f>
        <v/>
      </c>
      <c r="D2741" s="20"/>
      <c r="E2741" s="20"/>
      <c r="F2741" s="20"/>
      <c r="G2741" s="20"/>
      <c r="H2741" s="20"/>
      <c r="I2741" s="21"/>
    </row>
    <row r="2742" customFormat="false" ht="15" hidden="false" customHeight="false" outlineLevel="0" collapsed="false">
      <c r="A2742" s="30"/>
      <c r="B2742" s="21"/>
      <c r="C2742" s="21" t="str">
        <f aca="false">IF(B2742="","",IFERROR(INDEX(代理店一覧!$B$5:$B$204,MATCH(B2742,代理店一覧!$A$5:$A$204,0)),"※未登録のID"))</f>
        <v/>
      </c>
      <c r="D2742" s="20"/>
      <c r="E2742" s="20"/>
      <c r="F2742" s="20"/>
      <c r="G2742" s="20"/>
      <c r="H2742" s="20"/>
      <c r="I2742" s="21"/>
    </row>
    <row r="2743" customFormat="false" ht="15" hidden="false" customHeight="false" outlineLevel="0" collapsed="false">
      <c r="A2743" s="30"/>
      <c r="B2743" s="21"/>
      <c r="C2743" s="21" t="str">
        <f aca="false">IF(B2743="","",IFERROR(INDEX(代理店一覧!$B$5:$B$204,MATCH(B2743,代理店一覧!$A$5:$A$204,0)),"※未登録のID"))</f>
        <v/>
      </c>
      <c r="D2743" s="20"/>
      <c r="E2743" s="20"/>
      <c r="F2743" s="20"/>
      <c r="G2743" s="20"/>
      <c r="H2743" s="20"/>
      <c r="I2743" s="21"/>
    </row>
    <row r="2744" customFormat="false" ht="15" hidden="false" customHeight="false" outlineLevel="0" collapsed="false">
      <c r="A2744" s="30"/>
      <c r="B2744" s="21"/>
      <c r="C2744" s="21" t="str">
        <f aca="false">IF(B2744="","",IFERROR(INDEX(代理店一覧!$B$5:$B$204,MATCH(B2744,代理店一覧!$A$5:$A$204,0)),"※未登録のID"))</f>
        <v/>
      </c>
      <c r="D2744" s="20"/>
      <c r="E2744" s="20"/>
      <c r="F2744" s="20"/>
      <c r="G2744" s="20"/>
      <c r="H2744" s="20"/>
      <c r="I2744" s="21"/>
    </row>
    <row r="2745" customFormat="false" ht="15" hidden="false" customHeight="false" outlineLevel="0" collapsed="false">
      <c r="A2745" s="30"/>
      <c r="B2745" s="21"/>
      <c r="C2745" s="21" t="str">
        <f aca="false">IF(B2745="","",IFERROR(INDEX(代理店一覧!$B$5:$B$204,MATCH(B2745,代理店一覧!$A$5:$A$204,0)),"※未登録のID"))</f>
        <v/>
      </c>
      <c r="D2745" s="20"/>
      <c r="E2745" s="20"/>
      <c r="F2745" s="20"/>
      <c r="G2745" s="20"/>
      <c r="H2745" s="20"/>
      <c r="I2745" s="21"/>
    </row>
    <row r="2746" customFormat="false" ht="15" hidden="false" customHeight="false" outlineLevel="0" collapsed="false">
      <c r="A2746" s="30"/>
      <c r="B2746" s="21"/>
      <c r="C2746" s="21" t="str">
        <f aca="false">IF(B2746="","",IFERROR(INDEX(代理店一覧!$B$5:$B$204,MATCH(B2746,代理店一覧!$A$5:$A$204,0)),"※未登録のID"))</f>
        <v/>
      </c>
      <c r="D2746" s="20"/>
      <c r="E2746" s="20"/>
      <c r="F2746" s="20"/>
      <c r="G2746" s="20"/>
      <c r="H2746" s="20"/>
      <c r="I2746" s="21"/>
    </row>
    <row r="2747" customFormat="false" ht="15" hidden="false" customHeight="false" outlineLevel="0" collapsed="false">
      <c r="A2747" s="30"/>
      <c r="B2747" s="21"/>
      <c r="C2747" s="21" t="str">
        <f aca="false">IF(B2747="","",IFERROR(INDEX(代理店一覧!$B$5:$B$204,MATCH(B2747,代理店一覧!$A$5:$A$204,0)),"※未登録のID"))</f>
        <v/>
      </c>
      <c r="D2747" s="20"/>
      <c r="E2747" s="20"/>
      <c r="F2747" s="20"/>
      <c r="G2747" s="20"/>
      <c r="H2747" s="20"/>
      <c r="I2747" s="21"/>
    </row>
    <row r="2748" customFormat="false" ht="15" hidden="false" customHeight="false" outlineLevel="0" collapsed="false">
      <c r="A2748" s="30"/>
      <c r="B2748" s="21"/>
      <c r="C2748" s="21" t="str">
        <f aca="false">IF(B2748="","",IFERROR(INDEX(代理店一覧!$B$5:$B$204,MATCH(B2748,代理店一覧!$A$5:$A$204,0)),"※未登録のID"))</f>
        <v/>
      </c>
      <c r="D2748" s="20"/>
      <c r="E2748" s="20"/>
      <c r="F2748" s="20"/>
      <c r="G2748" s="20"/>
      <c r="H2748" s="20"/>
      <c r="I2748" s="21"/>
    </row>
    <row r="2749" customFormat="false" ht="15" hidden="false" customHeight="false" outlineLevel="0" collapsed="false">
      <c r="A2749" s="30"/>
      <c r="B2749" s="21"/>
      <c r="C2749" s="21" t="str">
        <f aca="false">IF(B2749="","",IFERROR(INDEX(代理店一覧!$B$5:$B$204,MATCH(B2749,代理店一覧!$A$5:$A$204,0)),"※未登録のID"))</f>
        <v/>
      </c>
      <c r="D2749" s="20"/>
      <c r="E2749" s="20"/>
      <c r="F2749" s="20"/>
      <c r="G2749" s="20"/>
      <c r="H2749" s="20"/>
      <c r="I2749" s="21"/>
    </row>
    <row r="2750" customFormat="false" ht="15" hidden="false" customHeight="false" outlineLevel="0" collapsed="false">
      <c r="A2750" s="30"/>
      <c r="B2750" s="21"/>
      <c r="C2750" s="21" t="str">
        <f aca="false">IF(B2750="","",IFERROR(INDEX(代理店一覧!$B$5:$B$204,MATCH(B2750,代理店一覧!$A$5:$A$204,0)),"※未登録のID"))</f>
        <v/>
      </c>
      <c r="D2750" s="20"/>
      <c r="E2750" s="20"/>
      <c r="F2750" s="20"/>
      <c r="G2750" s="20"/>
      <c r="H2750" s="20"/>
      <c r="I2750" s="21"/>
    </row>
    <row r="2751" customFormat="false" ht="15" hidden="false" customHeight="false" outlineLevel="0" collapsed="false">
      <c r="A2751" s="30"/>
      <c r="B2751" s="21"/>
      <c r="C2751" s="21" t="str">
        <f aca="false">IF(B2751="","",IFERROR(INDEX(代理店一覧!$B$5:$B$204,MATCH(B2751,代理店一覧!$A$5:$A$204,0)),"※未登録のID"))</f>
        <v/>
      </c>
      <c r="D2751" s="20"/>
      <c r="E2751" s="20"/>
      <c r="F2751" s="20"/>
      <c r="G2751" s="20"/>
      <c r="H2751" s="20"/>
      <c r="I2751" s="21"/>
    </row>
    <row r="2752" customFormat="false" ht="15" hidden="false" customHeight="false" outlineLevel="0" collapsed="false">
      <c r="A2752" s="30"/>
      <c r="B2752" s="21"/>
      <c r="C2752" s="21" t="str">
        <f aca="false">IF(B2752="","",IFERROR(INDEX(代理店一覧!$B$5:$B$204,MATCH(B2752,代理店一覧!$A$5:$A$204,0)),"※未登録のID"))</f>
        <v/>
      </c>
      <c r="D2752" s="20"/>
      <c r="E2752" s="20"/>
      <c r="F2752" s="20"/>
      <c r="G2752" s="20"/>
      <c r="H2752" s="20"/>
      <c r="I2752" s="21"/>
    </row>
    <row r="2753" customFormat="false" ht="15" hidden="false" customHeight="false" outlineLevel="0" collapsed="false">
      <c r="A2753" s="30"/>
      <c r="B2753" s="21"/>
      <c r="C2753" s="21" t="str">
        <f aca="false">IF(B2753="","",IFERROR(INDEX(代理店一覧!$B$5:$B$204,MATCH(B2753,代理店一覧!$A$5:$A$204,0)),"※未登録のID"))</f>
        <v/>
      </c>
      <c r="D2753" s="20"/>
      <c r="E2753" s="20"/>
      <c r="F2753" s="20"/>
      <c r="G2753" s="20"/>
      <c r="H2753" s="20"/>
      <c r="I2753" s="21"/>
    </row>
    <row r="2754" customFormat="false" ht="15" hidden="false" customHeight="false" outlineLevel="0" collapsed="false">
      <c r="A2754" s="30"/>
      <c r="B2754" s="21"/>
      <c r="C2754" s="21" t="str">
        <f aca="false">IF(B2754="","",IFERROR(INDEX(代理店一覧!$B$5:$B$204,MATCH(B2754,代理店一覧!$A$5:$A$204,0)),"※未登録のID"))</f>
        <v/>
      </c>
      <c r="D2754" s="20"/>
      <c r="E2754" s="20"/>
      <c r="F2754" s="20"/>
      <c r="G2754" s="20"/>
      <c r="H2754" s="20"/>
      <c r="I2754" s="21"/>
    </row>
    <row r="2755" customFormat="false" ht="15" hidden="false" customHeight="false" outlineLevel="0" collapsed="false">
      <c r="A2755" s="30"/>
      <c r="B2755" s="21"/>
      <c r="C2755" s="21" t="str">
        <f aca="false">IF(B2755="","",IFERROR(INDEX(代理店一覧!$B$5:$B$204,MATCH(B2755,代理店一覧!$A$5:$A$204,0)),"※未登録のID"))</f>
        <v/>
      </c>
      <c r="D2755" s="20"/>
      <c r="E2755" s="20"/>
      <c r="F2755" s="20"/>
      <c r="G2755" s="20"/>
      <c r="H2755" s="20"/>
      <c r="I2755" s="21"/>
    </row>
    <row r="2756" customFormat="false" ht="15" hidden="false" customHeight="false" outlineLevel="0" collapsed="false">
      <c r="A2756" s="30"/>
      <c r="B2756" s="21"/>
      <c r="C2756" s="21" t="str">
        <f aca="false">IF(B2756="","",IFERROR(INDEX(代理店一覧!$B$5:$B$204,MATCH(B2756,代理店一覧!$A$5:$A$204,0)),"※未登録のID"))</f>
        <v/>
      </c>
      <c r="D2756" s="20"/>
      <c r="E2756" s="20"/>
      <c r="F2756" s="20"/>
      <c r="G2756" s="20"/>
      <c r="H2756" s="20"/>
      <c r="I2756" s="21"/>
    </row>
    <row r="2757" customFormat="false" ht="15" hidden="false" customHeight="false" outlineLevel="0" collapsed="false">
      <c r="A2757" s="30"/>
      <c r="B2757" s="21"/>
      <c r="C2757" s="21" t="str">
        <f aca="false">IF(B2757="","",IFERROR(INDEX(代理店一覧!$B$5:$B$204,MATCH(B2757,代理店一覧!$A$5:$A$204,0)),"※未登録のID"))</f>
        <v/>
      </c>
      <c r="D2757" s="20"/>
      <c r="E2757" s="20"/>
      <c r="F2757" s="20"/>
      <c r="G2757" s="20"/>
      <c r="H2757" s="20"/>
      <c r="I2757" s="21"/>
    </row>
    <row r="2758" customFormat="false" ht="15" hidden="false" customHeight="false" outlineLevel="0" collapsed="false">
      <c r="A2758" s="30"/>
      <c r="B2758" s="21"/>
      <c r="C2758" s="21" t="str">
        <f aca="false">IF(B2758="","",IFERROR(INDEX(代理店一覧!$B$5:$B$204,MATCH(B2758,代理店一覧!$A$5:$A$204,0)),"※未登録のID"))</f>
        <v/>
      </c>
      <c r="D2758" s="20"/>
      <c r="E2758" s="20"/>
      <c r="F2758" s="20"/>
      <c r="G2758" s="20"/>
      <c r="H2758" s="20"/>
      <c r="I2758" s="21"/>
    </row>
    <row r="2759" customFormat="false" ht="15" hidden="false" customHeight="false" outlineLevel="0" collapsed="false">
      <c r="A2759" s="30"/>
      <c r="B2759" s="21"/>
      <c r="C2759" s="21" t="str">
        <f aca="false">IF(B2759="","",IFERROR(INDEX(代理店一覧!$B$5:$B$204,MATCH(B2759,代理店一覧!$A$5:$A$204,0)),"※未登録のID"))</f>
        <v/>
      </c>
      <c r="D2759" s="20"/>
      <c r="E2759" s="20"/>
      <c r="F2759" s="20"/>
      <c r="G2759" s="20"/>
      <c r="H2759" s="20"/>
      <c r="I2759" s="21"/>
    </row>
    <row r="2760" customFormat="false" ht="15" hidden="false" customHeight="false" outlineLevel="0" collapsed="false">
      <c r="A2760" s="30"/>
      <c r="B2760" s="21"/>
      <c r="C2760" s="21" t="str">
        <f aca="false">IF(B2760="","",IFERROR(INDEX(代理店一覧!$B$5:$B$204,MATCH(B2760,代理店一覧!$A$5:$A$204,0)),"※未登録のID"))</f>
        <v/>
      </c>
      <c r="D2760" s="20"/>
      <c r="E2760" s="20"/>
      <c r="F2760" s="20"/>
      <c r="G2760" s="20"/>
      <c r="H2760" s="20"/>
      <c r="I2760" s="21"/>
    </row>
    <row r="2761" customFormat="false" ht="15" hidden="false" customHeight="false" outlineLevel="0" collapsed="false">
      <c r="A2761" s="30"/>
      <c r="B2761" s="21"/>
      <c r="C2761" s="21" t="str">
        <f aca="false">IF(B2761="","",IFERROR(INDEX(代理店一覧!$B$5:$B$204,MATCH(B2761,代理店一覧!$A$5:$A$204,0)),"※未登録のID"))</f>
        <v/>
      </c>
      <c r="D2761" s="20"/>
      <c r="E2761" s="20"/>
      <c r="F2761" s="20"/>
      <c r="G2761" s="20"/>
      <c r="H2761" s="20"/>
      <c r="I2761" s="21"/>
    </row>
    <row r="2762" customFormat="false" ht="15" hidden="false" customHeight="false" outlineLevel="0" collapsed="false">
      <c r="A2762" s="30"/>
      <c r="B2762" s="21"/>
      <c r="C2762" s="21" t="str">
        <f aca="false">IF(B2762="","",IFERROR(INDEX(代理店一覧!$B$5:$B$204,MATCH(B2762,代理店一覧!$A$5:$A$204,0)),"※未登録のID"))</f>
        <v/>
      </c>
      <c r="D2762" s="20"/>
      <c r="E2762" s="20"/>
      <c r="F2762" s="20"/>
      <c r="G2762" s="20"/>
      <c r="H2762" s="20"/>
      <c r="I2762" s="21"/>
    </row>
    <row r="2763" customFormat="false" ht="15" hidden="false" customHeight="false" outlineLevel="0" collapsed="false">
      <c r="A2763" s="30"/>
      <c r="B2763" s="21"/>
      <c r="C2763" s="21" t="str">
        <f aca="false">IF(B2763="","",IFERROR(INDEX(代理店一覧!$B$5:$B$204,MATCH(B2763,代理店一覧!$A$5:$A$204,0)),"※未登録のID"))</f>
        <v/>
      </c>
      <c r="D2763" s="20"/>
      <c r="E2763" s="20"/>
      <c r="F2763" s="20"/>
      <c r="G2763" s="20"/>
      <c r="H2763" s="20"/>
      <c r="I2763" s="21"/>
    </row>
    <row r="2764" customFormat="false" ht="15" hidden="false" customHeight="false" outlineLevel="0" collapsed="false">
      <c r="A2764" s="30"/>
      <c r="B2764" s="21"/>
      <c r="C2764" s="21" t="str">
        <f aca="false">IF(B2764="","",IFERROR(INDEX(代理店一覧!$B$5:$B$204,MATCH(B2764,代理店一覧!$A$5:$A$204,0)),"※未登録のID"))</f>
        <v/>
      </c>
      <c r="D2764" s="20"/>
      <c r="E2764" s="20"/>
      <c r="F2764" s="20"/>
      <c r="G2764" s="20"/>
      <c r="H2764" s="20"/>
      <c r="I2764" s="21"/>
    </row>
    <row r="2765" customFormat="false" ht="15" hidden="false" customHeight="false" outlineLevel="0" collapsed="false">
      <c r="A2765" s="30"/>
      <c r="B2765" s="21"/>
      <c r="C2765" s="21" t="str">
        <f aca="false">IF(B2765="","",IFERROR(INDEX(代理店一覧!$B$5:$B$204,MATCH(B2765,代理店一覧!$A$5:$A$204,0)),"※未登録のID"))</f>
        <v/>
      </c>
      <c r="D2765" s="20"/>
      <c r="E2765" s="20"/>
      <c r="F2765" s="20"/>
      <c r="G2765" s="20"/>
      <c r="H2765" s="20"/>
      <c r="I2765" s="21"/>
    </row>
    <row r="2766" customFormat="false" ht="15" hidden="false" customHeight="false" outlineLevel="0" collapsed="false">
      <c r="A2766" s="30"/>
      <c r="B2766" s="21"/>
      <c r="C2766" s="21" t="str">
        <f aca="false">IF(B2766="","",IFERROR(INDEX(代理店一覧!$B$5:$B$204,MATCH(B2766,代理店一覧!$A$5:$A$204,0)),"※未登録のID"))</f>
        <v/>
      </c>
      <c r="D2766" s="20"/>
      <c r="E2766" s="20"/>
      <c r="F2766" s="20"/>
      <c r="G2766" s="20"/>
      <c r="H2766" s="20"/>
      <c r="I2766" s="21"/>
    </row>
    <row r="2767" customFormat="false" ht="15" hidden="false" customHeight="false" outlineLevel="0" collapsed="false">
      <c r="A2767" s="30"/>
      <c r="B2767" s="21"/>
      <c r="C2767" s="21" t="str">
        <f aca="false">IF(B2767="","",IFERROR(INDEX(代理店一覧!$B$5:$B$204,MATCH(B2767,代理店一覧!$A$5:$A$204,0)),"※未登録のID"))</f>
        <v/>
      </c>
      <c r="D2767" s="20"/>
      <c r="E2767" s="20"/>
      <c r="F2767" s="20"/>
      <c r="G2767" s="20"/>
      <c r="H2767" s="20"/>
      <c r="I2767" s="21"/>
    </row>
    <row r="2768" customFormat="false" ht="15" hidden="false" customHeight="false" outlineLevel="0" collapsed="false">
      <c r="A2768" s="30"/>
      <c r="B2768" s="21"/>
      <c r="C2768" s="21" t="str">
        <f aca="false">IF(B2768="","",IFERROR(INDEX(代理店一覧!$B$5:$B$204,MATCH(B2768,代理店一覧!$A$5:$A$204,0)),"※未登録のID"))</f>
        <v/>
      </c>
      <c r="D2768" s="20"/>
      <c r="E2768" s="20"/>
      <c r="F2768" s="20"/>
      <c r="G2768" s="20"/>
      <c r="H2768" s="20"/>
      <c r="I2768" s="21"/>
    </row>
    <row r="2769" customFormat="false" ht="15" hidden="false" customHeight="false" outlineLevel="0" collapsed="false">
      <c r="A2769" s="30"/>
      <c r="B2769" s="21"/>
      <c r="C2769" s="21" t="str">
        <f aca="false">IF(B2769="","",IFERROR(INDEX(代理店一覧!$B$5:$B$204,MATCH(B2769,代理店一覧!$A$5:$A$204,0)),"※未登録のID"))</f>
        <v/>
      </c>
      <c r="D2769" s="20"/>
      <c r="E2769" s="20"/>
      <c r="F2769" s="20"/>
      <c r="G2769" s="20"/>
      <c r="H2769" s="20"/>
      <c r="I2769" s="21"/>
    </row>
    <row r="2770" customFormat="false" ht="15" hidden="false" customHeight="false" outlineLevel="0" collapsed="false">
      <c r="A2770" s="30"/>
      <c r="B2770" s="21"/>
      <c r="C2770" s="21" t="str">
        <f aca="false">IF(B2770="","",IFERROR(INDEX(代理店一覧!$B$5:$B$204,MATCH(B2770,代理店一覧!$A$5:$A$204,0)),"※未登録のID"))</f>
        <v/>
      </c>
      <c r="D2770" s="20"/>
      <c r="E2770" s="20"/>
      <c r="F2770" s="20"/>
      <c r="G2770" s="20"/>
      <c r="H2770" s="20"/>
      <c r="I2770" s="21"/>
    </row>
    <row r="2771" customFormat="false" ht="15" hidden="false" customHeight="false" outlineLevel="0" collapsed="false">
      <c r="A2771" s="30"/>
      <c r="B2771" s="21"/>
      <c r="C2771" s="21" t="str">
        <f aca="false">IF(B2771="","",IFERROR(INDEX(代理店一覧!$B$5:$B$204,MATCH(B2771,代理店一覧!$A$5:$A$204,0)),"※未登録のID"))</f>
        <v/>
      </c>
      <c r="D2771" s="20"/>
      <c r="E2771" s="20"/>
      <c r="F2771" s="20"/>
      <c r="G2771" s="20"/>
      <c r="H2771" s="20"/>
      <c r="I2771" s="21"/>
    </row>
    <row r="2772" customFormat="false" ht="15" hidden="false" customHeight="false" outlineLevel="0" collapsed="false">
      <c r="A2772" s="30"/>
      <c r="B2772" s="21"/>
      <c r="C2772" s="21" t="str">
        <f aca="false">IF(B2772="","",IFERROR(INDEX(代理店一覧!$B$5:$B$204,MATCH(B2772,代理店一覧!$A$5:$A$204,0)),"※未登録のID"))</f>
        <v/>
      </c>
      <c r="D2772" s="20"/>
      <c r="E2772" s="20"/>
      <c r="F2772" s="20"/>
      <c r="G2772" s="20"/>
      <c r="H2772" s="20"/>
      <c r="I2772" s="21"/>
    </row>
    <row r="2773" customFormat="false" ht="15" hidden="false" customHeight="false" outlineLevel="0" collapsed="false">
      <c r="A2773" s="30"/>
      <c r="B2773" s="21"/>
      <c r="C2773" s="21" t="str">
        <f aca="false">IF(B2773="","",IFERROR(INDEX(代理店一覧!$B$5:$B$204,MATCH(B2773,代理店一覧!$A$5:$A$204,0)),"※未登録のID"))</f>
        <v/>
      </c>
      <c r="D2773" s="20"/>
      <c r="E2773" s="20"/>
      <c r="F2773" s="20"/>
      <c r="G2773" s="20"/>
      <c r="H2773" s="20"/>
      <c r="I2773" s="21"/>
    </row>
    <row r="2774" customFormat="false" ht="15" hidden="false" customHeight="false" outlineLevel="0" collapsed="false">
      <c r="A2774" s="30"/>
      <c r="B2774" s="21"/>
      <c r="C2774" s="21" t="str">
        <f aca="false">IF(B2774="","",IFERROR(INDEX(代理店一覧!$B$5:$B$204,MATCH(B2774,代理店一覧!$A$5:$A$204,0)),"※未登録のID"))</f>
        <v/>
      </c>
      <c r="D2774" s="20"/>
      <c r="E2774" s="20"/>
      <c r="F2774" s="20"/>
      <c r="G2774" s="20"/>
      <c r="H2774" s="20"/>
      <c r="I2774" s="21"/>
    </row>
    <row r="2775" customFormat="false" ht="15" hidden="false" customHeight="false" outlineLevel="0" collapsed="false">
      <c r="A2775" s="30"/>
      <c r="B2775" s="21"/>
      <c r="C2775" s="21" t="str">
        <f aca="false">IF(B2775="","",IFERROR(INDEX(代理店一覧!$B$5:$B$204,MATCH(B2775,代理店一覧!$A$5:$A$204,0)),"※未登録のID"))</f>
        <v/>
      </c>
      <c r="D2775" s="20"/>
      <c r="E2775" s="20"/>
      <c r="F2775" s="20"/>
      <c r="G2775" s="20"/>
      <c r="H2775" s="20"/>
      <c r="I2775" s="21"/>
    </row>
    <row r="2776" customFormat="false" ht="15" hidden="false" customHeight="false" outlineLevel="0" collapsed="false">
      <c r="A2776" s="30"/>
      <c r="B2776" s="21"/>
      <c r="C2776" s="21" t="str">
        <f aca="false">IF(B2776="","",IFERROR(INDEX(代理店一覧!$B$5:$B$204,MATCH(B2776,代理店一覧!$A$5:$A$204,0)),"※未登録のID"))</f>
        <v/>
      </c>
      <c r="D2776" s="20"/>
      <c r="E2776" s="20"/>
      <c r="F2776" s="20"/>
      <c r="G2776" s="20"/>
      <c r="H2776" s="20"/>
      <c r="I2776" s="21"/>
    </row>
    <row r="2777" customFormat="false" ht="15" hidden="false" customHeight="false" outlineLevel="0" collapsed="false">
      <c r="A2777" s="30"/>
      <c r="B2777" s="21"/>
      <c r="C2777" s="21" t="str">
        <f aca="false">IF(B2777="","",IFERROR(INDEX(代理店一覧!$B$5:$B$204,MATCH(B2777,代理店一覧!$A$5:$A$204,0)),"※未登録のID"))</f>
        <v/>
      </c>
      <c r="D2777" s="20"/>
      <c r="E2777" s="20"/>
      <c r="F2777" s="20"/>
      <c r="G2777" s="20"/>
      <c r="H2777" s="20"/>
      <c r="I2777" s="21"/>
    </row>
    <row r="2778" customFormat="false" ht="15" hidden="false" customHeight="false" outlineLevel="0" collapsed="false">
      <c r="A2778" s="30"/>
      <c r="B2778" s="21"/>
      <c r="C2778" s="21" t="str">
        <f aca="false">IF(B2778="","",IFERROR(INDEX(代理店一覧!$B$5:$B$204,MATCH(B2778,代理店一覧!$A$5:$A$204,0)),"※未登録のID"))</f>
        <v/>
      </c>
      <c r="D2778" s="20"/>
      <c r="E2778" s="20"/>
      <c r="F2778" s="20"/>
      <c r="G2778" s="20"/>
      <c r="H2778" s="20"/>
      <c r="I2778" s="21"/>
    </row>
    <row r="2779" customFormat="false" ht="15" hidden="false" customHeight="false" outlineLevel="0" collapsed="false">
      <c r="A2779" s="30"/>
      <c r="B2779" s="21"/>
      <c r="C2779" s="21" t="str">
        <f aca="false">IF(B2779="","",IFERROR(INDEX(代理店一覧!$B$5:$B$204,MATCH(B2779,代理店一覧!$A$5:$A$204,0)),"※未登録のID"))</f>
        <v/>
      </c>
      <c r="D2779" s="20"/>
      <c r="E2779" s="20"/>
      <c r="F2779" s="20"/>
      <c r="G2779" s="20"/>
      <c r="H2779" s="20"/>
      <c r="I2779" s="21"/>
    </row>
    <row r="2780" customFormat="false" ht="15" hidden="false" customHeight="false" outlineLevel="0" collapsed="false">
      <c r="A2780" s="30"/>
      <c r="B2780" s="21"/>
      <c r="C2780" s="21" t="str">
        <f aca="false">IF(B2780="","",IFERROR(INDEX(代理店一覧!$B$5:$B$204,MATCH(B2780,代理店一覧!$A$5:$A$204,0)),"※未登録のID"))</f>
        <v/>
      </c>
      <c r="D2780" s="20"/>
      <c r="E2780" s="20"/>
      <c r="F2780" s="20"/>
      <c r="G2780" s="20"/>
      <c r="H2780" s="20"/>
      <c r="I2780" s="21"/>
    </row>
    <row r="2781" customFormat="false" ht="15" hidden="false" customHeight="false" outlineLevel="0" collapsed="false">
      <c r="A2781" s="30"/>
      <c r="B2781" s="21"/>
      <c r="C2781" s="21" t="str">
        <f aca="false">IF(B2781="","",IFERROR(INDEX(代理店一覧!$B$5:$B$204,MATCH(B2781,代理店一覧!$A$5:$A$204,0)),"※未登録のID"))</f>
        <v/>
      </c>
      <c r="D2781" s="20"/>
      <c r="E2781" s="20"/>
      <c r="F2781" s="20"/>
      <c r="G2781" s="20"/>
      <c r="H2781" s="20"/>
      <c r="I2781" s="21"/>
    </row>
    <row r="2782" customFormat="false" ht="15" hidden="false" customHeight="false" outlineLevel="0" collapsed="false">
      <c r="A2782" s="30"/>
      <c r="B2782" s="21"/>
      <c r="C2782" s="21" t="str">
        <f aca="false">IF(B2782="","",IFERROR(INDEX(代理店一覧!$B$5:$B$204,MATCH(B2782,代理店一覧!$A$5:$A$204,0)),"※未登録のID"))</f>
        <v/>
      </c>
      <c r="D2782" s="20"/>
      <c r="E2782" s="20"/>
      <c r="F2782" s="20"/>
      <c r="G2782" s="20"/>
      <c r="H2782" s="20"/>
      <c r="I2782" s="21"/>
    </row>
    <row r="2783" customFormat="false" ht="15" hidden="false" customHeight="false" outlineLevel="0" collapsed="false">
      <c r="A2783" s="30"/>
      <c r="B2783" s="21"/>
      <c r="C2783" s="21" t="str">
        <f aca="false">IF(B2783="","",IFERROR(INDEX(代理店一覧!$B$5:$B$204,MATCH(B2783,代理店一覧!$A$5:$A$204,0)),"※未登録のID"))</f>
        <v/>
      </c>
      <c r="D2783" s="20"/>
      <c r="E2783" s="20"/>
      <c r="F2783" s="20"/>
      <c r="G2783" s="20"/>
      <c r="H2783" s="20"/>
      <c r="I2783" s="21"/>
    </row>
    <row r="2784" customFormat="false" ht="15" hidden="false" customHeight="false" outlineLevel="0" collapsed="false">
      <c r="A2784" s="30"/>
      <c r="B2784" s="21"/>
      <c r="C2784" s="21" t="str">
        <f aca="false">IF(B2784="","",IFERROR(INDEX(代理店一覧!$B$5:$B$204,MATCH(B2784,代理店一覧!$A$5:$A$204,0)),"※未登録のID"))</f>
        <v/>
      </c>
      <c r="D2784" s="20"/>
      <c r="E2784" s="20"/>
      <c r="F2784" s="20"/>
      <c r="G2784" s="20"/>
      <c r="H2784" s="20"/>
      <c r="I2784" s="21"/>
    </row>
    <row r="2785" customFormat="false" ht="15" hidden="false" customHeight="false" outlineLevel="0" collapsed="false">
      <c r="A2785" s="30"/>
      <c r="B2785" s="21"/>
      <c r="C2785" s="21" t="str">
        <f aca="false">IF(B2785="","",IFERROR(INDEX(代理店一覧!$B$5:$B$204,MATCH(B2785,代理店一覧!$A$5:$A$204,0)),"※未登録のID"))</f>
        <v/>
      </c>
      <c r="D2785" s="20"/>
      <c r="E2785" s="20"/>
      <c r="F2785" s="20"/>
      <c r="G2785" s="20"/>
      <c r="H2785" s="20"/>
      <c r="I2785" s="21"/>
    </row>
    <row r="2786" customFormat="false" ht="15" hidden="false" customHeight="false" outlineLevel="0" collapsed="false">
      <c r="A2786" s="30"/>
      <c r="B2786" s="21"/>
      <c r="C2786" s="21" t="str">
        <f aca="false">IF(B2786="","",IFERROR(INDEX(代理店一覧!$B$5:$B$204,MATCH(B2786,代理店一覧!$A$5:$A$204,0)),"※未登録のID"))</f>
        <v/>
      </c>
      <c r="D2786" s="20"/>
      <c r="E2786" s="20"/>
      <c r="F2786" s="20"/>
      <c r="G2786" s="20"/>
      <c r="H2786" s="20"/>
      <c r="I2786" s="21"/>
    </row>
    <row r="2787" customFormat="false" ht="15" hidden="false" customHeight="false" outlineLevel="0" collapsed="false">
      <c r="A2787" s="30"/>
      <c r="B2787" s="21"/>
      <c r="C2787" s="21" t="str">
        <f aca="false">IF(B2787="","",IFERROR(INDEX(代理店一覧!$B$5:$B$204,MATCH(B2787,代理店一覧!$A$5:$A$204,0)),"※未登録のID"))</f>
        <v/>
      </c>
      <c r="D2787" s="20"/>
      <c r="E2787" s="20"/>
      <c r="F2787" s="20"/>
      <c r="G2787" s="20"/>
      <c r="H2787" s="20"/>
      <c r="I2787" s="21"/>
    </row>
    <row r="2788" customFormat="false" ht="15" hidden="false" customHeight="false" outlineLevel="0" collapsed="false">
      <c r="A2788" s="30"/>
      <c r="B2788" s="21"/>
      <c r="C2788" s="21" t="str">
        <f aca="false">IF(B2788="","",IFERROR(INDEX(代理店一覧!$B$5:$B$204,MATCH(B2788,代理店一覧!$A$5:$A$204,0)),"※未登録のID"))</f>
        <v/>
      </c>
      <c r="D2788" s="20"/>
      <c r="E2788" s="20"/>
      <c r="F2788" s="20"/>
      <c r="G2788" s="20"/>
      <c r="H2788" s="20"/>
      <c r="I2788" s="21"/>
    </row>
    <row r="2789" customFormat="false" ht="15" hidden="false" customHeight="false" outlineLevel="0" collapsed="false">
      <c r="A2789" s="30"/>
      <c r="B2789" s="21"/>
      <c r="C2789" s="21" t="str">
        <f aca="false">IF(B2789="","",IFERROR(INDEX(代理店一覧!$B$5:$B$204,MATCH(B2789,代理店一覧!$A$5:$A$204,0)),"※未登録のID"))</f>
        <v/>
      </c>
      <c r="D2789" s="20"/>
      <c r="E2789" s="20"/>
      <c r="F2789" s="20"/>
      <c r="G2789" s="20"/>
      <c r="H2789" s="20"/>
      <c r="I2789" s="21"/>
    </row>
    <row r="2790" customFormat="false" ht="15" hidden="false" customHeight="false" outlineLevel="0" collapsed="false">
      <c r="A2790" s="30"/>
      <c r="B2790" s="21"/>
      <c r="C2790" s="21" t="str">
        <f aca="false">IF(B2790="","",IFERROR(INDEX(代理店一覧!$B$5:$B$204,MATCH(B2790,代理店一覧!$A$5:$A$204,0)),"※未登録のID"))</f>
        <v/>
      </c>
      <c r="D2790" s="20"/>
      <c r="E2790" s="20"/>
      <c r="F2790" s="20"/>
      <c r="G2790" s="20"/>
      <c r="H2790" s="20"/>
      <c r="I2790" s="21"/>
    </row>
    <row r="2791" customFormat="false" ht="15" hidden="false" customHeight="false" outlineLevel="0" collapsed="false">
      <c r="A2791" s="30"/>
      <c r="B2791" s="21"/>
      <c r="C2791" s="21" t="str">
        <f aca="false">IF(B2791="","",IFERROR(INDEX(代理店一覧!$B$5:$B$204,MATCH(B2791,代理店一覧!$A$5:$A$204,0)),"※未登録のID"))</f>
        <v/>
      </c>
      <c r="D2791" s="20"/>
      <c r="E2791" s="20"/>
      <c r="F2791" s="20"/>
      <c r="G2791" s="20"/>
      <c r="H2791" s="20"/>
      <c r="I2791" s="21"/>
    </row>
    <row r="2792" customFormat="false" ht="15" hidden="false" customHeight="false" outlineLevel="0" collapsed="false">
      <c r="A2792" s="30"/>
      <c r="B2792" s="21"/>
      <c r="C2792" s="21" t="str">
        <f aca="false">IF(B2792="","",IFERROR(INDEX(代理店一覧!$B$5:$B$204,MATCH(B2792,代理店一覧!$A$5:$A$204,0)),"※未登録のID"))</f>
        <v/>
      </c>
      <c r="D2792" s="20"/>
      <c r="E2792" s="20"/>
      <c r="F2792" s="20"/>
      <c r="G2792" s="20"/>
      <c r="H2792" s="20"/>
      <c r="I2792" s="21"/>
    </row>
    <row r="2793" customFormat="false" ht="15" hidden="false" customHeight="false" outlineLevel="0" collapsed="false">
      <c r="A2793" s="30"/>
      <c r="B2793" s="21"/>
      <c r="C2793" s="21" t="str">
        <f aca="false">IF(B2793="","",IFERROR(INDEX(代理店一覧!$B$5:$B$204,MATCH(B2793,代理店一覧!$A$5:$A$204,0)),"※未登録のID"))</f>
        <v/>
      </c>
      <c r="D2793" s="20"/>
      <c r="E2793" s="20"/>
      <c r="F2793" s="20"/>
      <c r="G2793" s="20"/>
      <c r="H2793" s="20"/>
      <c r="I2793" s="21"/>
    </row>
    <row r="2794" customFormat="false" ht="15" hidden="false" customHeight="false" outlineLevel="0" collapsed="false">
      <c r="A2794" s="30"/>
      <c r="B2794" s="21"/>
      <c r="C2794" s="21" t="str">
        <f aca="false">IF(B2794="","",IFERROR(INDEX(代理店一覧!$B$5:$B$204,MATCH(B2794,代理店一覧!$A$5:$A$204,0)),"※未登録のID"))</f>
        <v/>
      </c>
      <c r="D2794" s="20"/>
      <c r="E2794" s="20"/>
      <c r="F2794" s="20"/>
      <c r="G2794" s="20"/>
      <c r="H2794" s="20"/>
      <c r="I2794" s="21"/>
    </row>
    <row r="2795" customFormat="false" ht="15" hidden="false" customHeight="false" outlineLevel="0" collapsed="false">
      <c r="A2795" s="30"/>
      <c r="B2795" s="21"/>
      <c r="C2795" s="21" t="str">
        <f aca="false">IF(B2795="","",IFERROR(INDEX(代理店一覧!$B$5:$B$204,MATCH(B2795,代理店一覧!$A$5:$A$204,0)),"※未登録のID"))</f>
        <v/>
      </c>
      <c r="D2795" s="20"/>
      <c r="E2795" s="20"/>
      <c r="F2795" s="20"/>
      <c r="G2795" s="20"/>
      <c r="H2795" s="20"/>
      <c r="I2795" s="21"/>
    </row>
    <row r="2796" customFormat="false" ht="15" hidden="false" customHeight="false" outlineLevel="0" collapsed="false">
      <c r="A2796" s="30"/>
      <c r="B2796" s="21"/>
      <c r="C2796" s="21" t="str">
        <f aca="false">IF(B2796="","",IFERROR(INDEX(代理店一覧!$B$5:$B$204,MATCH(B2796,代理店一覧!$A$5:$A$204,0)),"※未登録のID"))</f>
        <v/>
      </c>
      <c r="D2796" s="20"/>
      <c r="E2796" s="20"/>
      <c r="F2796" s="20"/>
      <c r="G2796" s="20"/>
      <c r="H2796" s="20"/>
      <c r="I2796" s="21"/>
    </row>
    <row r="2797" customFormat="false" ht="15" hidden="false" customHeight="false" outlineLevel="0" collapsed="false">
      <c r="A2797" s="30"/>
      <c r="B2797" s="21"/>
      <c r="C2797" s="21" t="str">
        <f aca="false">IF(B2797="","",IFERROR(INDEX(代理店一覧!$B$5:$B$204,MATCH(B2797,代理店一覧!$A$5:$A$204,0)),"※未登録のID"))</f>
        <v/>
      </c>
      <c r="D2797" s="20"/>
      <c r="E2797" s="20"/>
      <c r="F2797" s="20"/>
      <c r="G2797" s="20"/>
      <c r="H2797" s="20"/>
      <c r="I2797" s="21"/>
    </row>
    <row r="2798" customFormat="false" ht="15" hidden="false" customHeight="false" outlineLevel="0" collapsed="false">
      <c r="A2798" s="30"/>
      <c r="B2798" s="21"/>
      <c r="C2798" s="21" t="str">
        <f aca="false">IF(B2798="","",IFERROR(INDEX(代理店一覧!$B$5:$B$204,MATCH(B2798,代理店一覧!$A$5:$A$204,0)),"※未登録のID"))</f>
        <v/>
      </c>
      <c r="D2798" s="20"/>
      <c r="E2798" s="20"/>
      <c r="F2798" s="20"/>
      <c r="G2798" s="20"/>
      <c r="H2798" s="20"/>
      <c r="I2798" s="21"/>
    </row>
    <row r="2799" customFormat="false" ht="15" hidden="false" customHeight="false" outlineLevel="0" collapsed="false">
      <c r="A2799" s="30"/>
      <c r="B2799" s="21"/>
      <c r="C2799" s="21" t="str">
        <f aca="false">IF(B2799="","",IFERROR(INDEX(代理店一覧!$B$5:$B$204,MATCH(B2799,代理店一覧!$A$5:$A$204,0)),"※未登録のID"))</f>
        <v/>
      </c>
      <c r="D2799" s="20"/>
      <c r="E2799" s="20"/>
      <c r="F2799" s="20"/>
      <c r="G2799" s="20"/>
      <c r="H2799" s="20"/>
      <c r="I2799" s="21"/>
    </row>
    <row r="2800" customFormat="false" ht="15" hidden="false" customHeight="false" outlineLevel="0" collapsed="false">
      <c r="A2800" s="30"/>
      <c r="B2800" s="21"/>
      <c r="C2800" s="21" t="str">
        <f aca="false">IF(B2800="","",IFERROR(INDEX(代理店一覧!$B$5:$B$204,MATCH(B2800,代理店一覧!$A$5:$A$204,0)),"※未登録のID"))</f>
        <v/>
      </c>
      <c r="D2800" s="20"/>
      <c r="E2800" s="20"/>
      <c r="F2800" s="20"/>
      <c r="G2800" s="20"/>
      <c r="H2800" s="20"/>
      <c r="I2800" s="21"/>
    </row>
    <row r="2801" customFormat="false" ht="15" hidden="false" customHeight="false" outlineLevel="0" collapsed="false">
      <c r="A2801" s="30"/>
      <c r="B2801" s="21"/>
      <c r="C2801" s="21" t="str">
        <f aca="false">IF(B2801="","",IFERROR(INDEX(代理店一覧!$B$5:$B$204,MATCH(B2801,代理店一覧!$A$5:$A$204,0)),"※未登録のID"))</f>
        <v/>
      </c>
      <c r="D2801" s="20"/>
      <c r="E2801" s="20"/>
      <c r="F2801" s="20"/>
      <c r="G2801" s="20"/>
      <c r="H2801" s="20"/>
      <c r="I2801" s="21"/>
    </row>
    <row r="2802" customFormat="false" ht="15" hidden="false" customHeight="false" outlineLevel="0" collapsed="false">
      <c r="A2802" s="30"/>
      <c r="B2802" s="21"/>
      <c r="C2802" s="21" t="str">
        <f aca="false">IF(B2802="","",IFERROR(INDEX(代理店一覧!$B$5:$B$204,MATCH(B2802,代理店一覧!$A$5:$A$204,0)),"※未登録のID"))</f>
        <v/>
      </c>
      <c r="D2802" s="20"/>
      <c r="E2802" s="20"/>
      <c r="F2802" s="20"/>
      <c r="G2802" s="20"/>
      <c r="H2802" s="20"/>
      <c r="I2802" s="21"/>
    </row>
    <row r="2803" customFormat="false" ht="15" hidden="false" customHeight="false" outlineLevel="0" collapsed="false">
      <c r="A2803" s="30"/>
      <c r="B2803" s="21"/>
      <c r="C2803" s="21" t="str">
        <f aca="false">IF(B2803="","",IFERROR(INDEX(代理店一覧!$B$5:$B$204,MATCH(B2803,代理店一覧!$A$5:$A$204,0)),"※未登録のID"))</f>
        <v/>
      </c>
      <c r="D2803" s="20"/>
      <c r="E2803" s="20"/>
      <c r="F2803" s="20"/>
      <c r="G2803" s="20"/>
      <c r="H2803" s="20"/>
      <c r="I2803" s="21"/>
    </row>
    <row r="2804" customFormat="false" ht="15" hidden="false" customHeight="false" outlineLevel="0" collapsed="false">
      <c r="A2804" s="30"/>
      <c r="B2804" s="21"/>
      <c r="C2804" s="21" t="str">
        <f aca="false">IF(B2804="","",IFERROR(INDEX(代理店一覧!$B$5:$B$204,MATCH(B2804,代理店一覧!$A$5:$A$204,0)),"※未登録のID"))</f>
        <v/>
      </c>
      <c r="D2804" s="20"/>
      <c r="E2804" s="20"/>
      <c r="F2804" s="20"/>
      <c r="G2804" s="20"/>
      <c r="H2804" s="20"/>
      <c r="I2804" s="21"/>
    </row>
    <row r="2805" customFormat="false" ht="15" hidden="false" customHeight="false" outlineLevel="0" collapsed="false">
      <c r="A2805" s="30"/>
      <c r="B2805" s="21"/>
      <c r="C2805" s="21" t="str">
        <f aca="false">IF(B2805="","",IFERROR(INDEX(代理店一覧!$B$5:$B$204,MATCH(B2805,代理店一覧!$A$5:$A$204,0)),"※未登録のID"))</f>
        <v/>
      </c>
      <c r="D2805" s="20"/>
      <c r="E2805" s="20"/>
      <c r="F2805" s="20"/>
      <c r="G2805" s="20"/>
      <c r="H2805" s="20"/>
      <c r="I2805" s="21"/>
    </row>
    <row r="2806" customFormat="false" ht="15" hidden="false" customHeight="false" outlineLevel="0" collapsed="false">
      <c r="A2806" s="30"/>
      <c r="B2806" s="21"/>
      <c r="C2806" s="21" t="str">
        <f aca="false">IF(B2806="","",IFERROR(INDEX(代理店一覧!$B$5:$B$204,MATCH(B2806,代理店一覧!$A$5:$A$204,0)),"※未登録のID"))</f>
        <v/>
      </c>
      <c r="D2806" s="20"/>
      <c r="E2806" s="20"/>
      <c r="F2806" s="20"/>
      <c r="G2806" s="20"/>
      <c r="H2806" s="20"/>
      <c r="I2806" s="21"/>
    </row>
    <row r="2807" customFormat="false" ht="15" hidden="false" customHeight="false" outlineLevel="0" collapsed="false">
      <c r="A2807" s="30"/>
      <c r="B2807" s="21"/>
      <c r="C2807" s="21" t="str">
        <f aca="false">IF(B2807="","",IFERROR(INDEX(代理店一覧!$B$5:$B$204,MATCH(B2807,代理店一覧!$A$5:$A$204,0)),"※未登録のID"))</f>
        <v/>
      </c>
      <c r="D2807" s="20"/>
      <c r="E2807" s="20"/>
      <c r="F2807" s="20"/>
      <c r="G2807" s="20"/>
      <c r="H2807" s="20"/>
      <c r="I2807" s="21"/>
    </row>
    <row r="2808" customFormat="false" ht="15" hidden="false" customHeight="false" outlineLevel="0" collapsed="false">
      <c r="A2808" s="30"/>
      <c r="B2808" s="21"/>
      <c r="C2808" s="21" t="str">
        <f aca="false">IF(B2808="","",IFERROR(INDEX(代理店一覧!$B$5:$B$204,MATCH(B2808,代理店一覧!$A$5:$A$204,0)),"※未登録のID"))</f>
        <v/>
      </c>
      <c r="D2808" s="20"/>
      <c r="E2808" s="20"/>
      <c r="F2808" s="20"/>
      <c r="G2808" s="20"/>
      <c r="H2808" s="20"/>
      <c r="I2808" s="21"/>
    </row>
    <row r="2809" customFormat="false" ht="15" hidden="false" customHeight="false" outlineLevel="0" collapsed="false">
      <c r="A2809" s="30"/>
      <c r="B2809" s="21"/>
      <c r="C2809" s="21" t="str">
        <f aca="false">IF(B2809="","",IFERROR(INDEX(代理店一覧!$B$5:$B$204,MATCH(B2809,代理店一覧!$A$5:$A$204,0)),"※未登録のID"))</f>
        <v/>
      </c>
      <c r="D2809" s="20"/>
      <c r="E2809" s="20"/>
      <c r="F2809" s="20"/>
      <c r="G2809" s="20"/>
      <c r="H2809" s="20"/>
      <c r="I2809" s="21"/>
    </row>
    <row r="2810" customFormat="false" ht="15" hidden="false" customHeight="false" outlineLevel="0" collapsed="false">
      <c r="A2810" s="30"/>
      <c r="B2810" s="21"/>
      <c r="C2810" s="21" t="str">
        <f aca="false">IF(B2810="","",IFERROR(INDEX(代理店一覧!$B$5:$B$204,MATCH(B2810,代理店一覧!$A$5:$A$204,0)),"※未登録のID"))</f>
        <v/>
      </c>
      <c r="D2810" s="20"/>
      <c r="E2810" s="20"/>
      <c r="F2810" s="20"/>
      <c r="G2810" s="20"/>
      <c r="H2810" s="20"/>
      <c r="I2810" s="21"/>
    </row>
    <row r="2811" customFormat="false" ht="15" hidden="false" customHeight="false" outlineLevel="0" collapsed="false">
      <c r="A2811" s="30"/>
      <c r="B2811" s="21"/>
      <c r="C2811" s="21" t="str">
        <f aca="false">IF(B2811="","",IFERROR(INDEX(代理店一覧!$B$5:$B$204,MATCH(B2811,代理店一覧!$A$5:$A$204,0)),"※未登録のID"))</f>
        <v/>
      </c>
      <c r="D2811" s="20"/>
      <c r="E2811" s="20"/>
      <c r="F2811" s="20"/>
      <c r="G2811" s="20"/>
      <c r="H2811" s="20"/>
      <c r="I2811" s="21"/>
    </row>
    <row r="2812" customFormat="false" ht="15" hidden="false" customHeight="false" outlineLevel="0" collapsed="false">
      <c r="A2812" s="30"/>
      <c r="B2812" s="21"/>
      <c r="C2812" s="21" t="str">
        <f aca="false">IF(B2812="","",IFERROR(INDEX(代理店一覧!$B$5:$B$204,MATCH(B2812,代理店一覧!$A$5:$A$204,0)),"※未登録のID"))</f>
        <v/>
      </c>
      <c r="D2812" s="20"/>
      <c r="E2812" s="20"/>
      <c r="F2812" s="20"/>
      <c r="G2812" s="20"/>
      <c r="H2812" s="20"/>
      <c r="I2812" s="21"/>
    </row>
    <row r="2813" customFormat="false" ht="15" hidden="false" customHeight="false" outlineLevel="0" collapsed="false">
      <c r="A2813" s="30"/>
      <c r="B2813" s="21"/>
      <c r="C2813" s="21" t="str">
        <f aca="false">IF(B2813="","",IFERROR(INDEX(代理店一覧!$B$5:$B$204,MATCH(B2813,代理店一覧!$A$5:$A$204,0)),"※未登録のID"))</f>
        <v/>
      </c>
      <c r="D2813" s="20"/>
      <c r="E2813" s="20"/>
      <c r="F2813" s="20"/>
      <c r="G2813" s="20"/>
      <c r="H2813" s="20"/>
      <c r="I2813" s="21"/>
    </row>
    <row r="2814" customFormat="false" ht="15" hidden="false" customHeight="false" outlineLevel="0" collapsed="false">
      <c r="A2814" s="30"/>
      <c r="B2814" s="21"/>
      <c r="C2814" s="21" t="str">
        <f aca="false">IF(B2814="","",IFERROR(INDEX(代理店一覧!$B$5:$B$204,MATCH(B2814,代理店一覧!$A$5:$A$204,0)),"※未登録のID"))</f>
        <v/>
      </c>
      <c r="D2814" s="20"/>
      <c r="E2814" s="20"/>
      <c r="F2814" s="20"/>
      <c r="G2814" s="20"/>
      <c r="H2814" s="20"/>
      <c r="I2814" s="21"/>
    </row>
    <row r="2815" customFormat="false" ht="15" hidden="false" customHeight="false" outlineLevel="0" collapsed="false">
      <c r="A2815" s="30"/>
      <c r="B2815" s="21"/>
      <c r="C2815" s="21" t="str">
        <f aca="false">IF(B2815="","",IFERROR(INDEX(代理店一覧!$B$5:$B$204,MATCH(B2815,代理店一覧!$A$5:$A$204,0)),"※未登録のID"))</f>
        <v/>
      </c>
      <c r="D2815" s="20"/>
      <c r="E2815" s="20"/>
      <c r="F2815" s="20"/>
      <c r="G2815" s="20"/>
      <c r="H2815" s="20"/>
      <c r="I2815" s="21"/>
    </row>
    <row r="2816" customFormat="false" ht="15" hidden="false" customHeight="false" outlineLevel="0" collapsed="false">
      <c r="A2816" s="30"/>
      <c r="B2816" s="21"/>
      <c r="C2816" s="21" t="str">
        <f aca="false">IF(B2816="","",IFERROR(INDEX(代理店一覧!$B$5:$B$204,MATCH(B2816,代理店一覧!$A$5:$A$204,0)),"※未登録のID"))</f>
        <v/>
      </c>
      <c r="D2816" s="20"/>
      <c r="E2816" s="20"/>
      <c r="F2816" s="20"/>
      <c r="G2816" s="20"/>
      <c r="H2816" s="20"/>
      <c r="I2816" s="21"/>
    </row>
    <row r="2817" customFormat="false" ht="15" hidden="false" customHeight="false" outlineLevel="0" collapsed="false">
      <c r="A2817" s="30"/>
      <c r="B2817" s="21"/>
      <c r="C2817" s="21" t="str">
        <f aca="false">IF(B2817="","",IFERROR(INDEX(代理店一覧!$B$5:$B$204,MATCH(B2817,代理店一覧!$A$5:$A$204,0)),"※未登録のID"))</f>
        <v/>
      </c>
      <c r="D2817" s="20"/>
      <c r="E2817" s="20"/>
      <c r="F2817" s="20"/>
      <c r="G2817" s="20"/>
      <c r="H2817" s="20"/>
      <c r="I2817" s="21"/>
    </row>
    <row r="2818" customFormat="false" ht="15" hidden="false" customHeight="false" outlineLevel="0" collapsed="false">
      <c r="A2818" s="30"/>
      <c r="B2818" s="21"/>
      <c r="C2818" s="21" t="str">
        <f aca="false">IF(B2818="","",IFERROR(INDEX(代理店一覧!$B$5:$B$204,MATCH(B2818,代理店一覧!$A$5:$A$204,0)),"※未登録のID"))</f>
        <v/>
      </c>
      <c r="D2818" s="20"/>
      <c r="E2818" s="20"/>
      <c r="F2818" s="20"/>
      <c r="G2818" s="20"/>
      <c r="H2818" s="20"/>
      <c r="I2818" s="21"/>
    </row>
    <row r="2819" customFormat="false" ht="15" hidden="false" customHeight="false" outlineLevel="0" collapsed="false">
      <c r="A2819" s="30"/>
      <c r="B2819" s="21"/>
      <c r="C2819" s="21" t="str">
        <f aca="false">IF(B2819="","",IFERROR(INDEX(代理店一覧!$B$5:$B$204,MATCH(B2819,代理店一覧!$A$5:$A$204,0)),"※未登録のID"))</f>
        <v/>
      </c>
      <c r="D2819" s="20"/>
      <c r="E2819" s="20"/>
      <c r="F2819" s="20"/>
      <c r="G2819" s="20"/>
      <c r="H2819" s="20"/>
      <c r="I2819" s="21"/>
    </row>
    <row r="2820" customFormat="false" ht="15" hidden="false" customHeight="false" outlineLevel="0" collapsed="false">
      <c r="A2820" s="30"/>
      <c r="B2820" s="21"/>
      <c r="C2820" s="21" t="str">
        <f aca="false">IF(B2820="","",IFERROR(INDEX(代理店一覧!$B$5:$B$204,MATCH(B2820,代理店一覧!$A$5:$A$204,0)),"※未登録のID"))</f>
        <v/>
      </c>
      <c r="D2820" s="20"/>
      <c r="E2820" s="20"/>
      <c r="F2820" s="20"/>
      <c r="G2820" s="20"/>
      <c r="H2820" s="20"/>
      <c r="I2820" s="21"/>
    </row>
    <row r="2821" customFormat="false" ht="15" hidden="false" customHeight="false" outlineLevel="0" collapsed="false">
      <c r="A2821" s="30"/>
      <c r="B2821" s="21"/>
      <c r="C2821" s="21" t="str">
        <f aca="false">IF(B2821="","",IFERROR(INDEX(代理店一覧!$B$5:$B$204,MATCH(B2821,代理店一覧!$A$5:$A$204,0)),"※未登録のID"))</f>
        <v/>
      </c>
      <c r="D2821" s="20"/>
      <c r="E2821" s="20"/>
      <c r="F2821" s="20"/>
      <c r="G2821" s="20"/>
      <c r="H2821" s="20"/>
      <c r="I2821" s="21"/>
    </row>
    <row r="2822" customFormat="false" ht="15" hidden="false" customHeight="false" outlineLevel="0" collapsed="false">
      <c r="A2822" s="30"/>
      <c r="B2822" s="21"/>
      <c r="C2822" s="21" t="str">
        <f aca="false">IF(B2822="","",IFERROR(INDEX(代理店一覧!$B$5:$B$204,MATCH(B2822,代理店一覧!$A$5:$A$204,0)),"※未登録のID"))</f>
        <v/>
      </c>
      <c r="D2822" s="20"/>
      <c r="E2822" s="20"/>
      <c r="F2822" s="20"/>
      <c r="G2822" s="20"/>
      <c r="H2822" s="20"/>
      <c r="I2822" s="21"/>
    </row>
    <row r="2823" customFormat="false" ht="15" hidden="false" customHeight="false" outlineLevel="0" collapsed="false">
      <c r="A2823" s="30"/>
      <c r="B2823" s="21"/>
      <c r="C2823" s="21" t="str">
        <f aca="false">IF(B2823="","",IFERROR(INDEX(代理店一覧!$B$5:$B$204,MATCH(B2823,代理店一覧!$A$5:$A$204,0)),"※未登録のID"))</f>
        <v/>
      </c>
      <c r="D2823" s="20"/>
      <c r="E2823" s="20"/>
      <c r="F2823" s="20"/>
      <c r="G2823" s="20"/>
      <c r="H2823" s="20"/>
      <c r="I2823" s="21"/>
    </row>
    <row r="2824" customFormat="false" ht="15" hidden="false" customHeight="false" outlineLevel="0" collapsed="false">
      <c r="A2824" s="30"/>
      <c r="B2824" s="21"/>
      <c r="C2824" s="21" t="str">
        <f aca="false">IF(B2824="","",IFERROR(INDEX(代理店一覧!$B$5:$B$204,MATCH(B2824,代理店一覧!$A$5:$A$204,0)),"※未登録のID"))</f>
        <v/>
      </c>
      <c r="D2824" s="20"/>
      <c r="E2824" s="20"/>
      <c r="F2824" s="20"/>
      <c r="G2824" s="20"/>
      <c r="H2824" s="20"/>
      <c r="I2824" s="21"/>
    </row>
    <row r="2825" customFormat="false" ht="15" hidden="false" customHeight="false" outlineLevel="0" collapsed="false">
      <c r="A2825" s="30"/>
      <c r="B2825" s="21"/>
      <c r="C2825" s="21" t="str">
        <f aca="false">IF(B2825="","",IFERROR(INDEX(代理店一覧!$B$5:$B$204,MATCH(B2825,代理店一覧!$A$5:$A$204,0)),"※未登録のID"))</f>
        <v/>
      </c>
      <c r="D2825" s="20"/>
      <c r="E2825" s="20"/>
      <c r="F2825" s="20"/>
      <c r="G2825" s="20"/>
      <c r="H2825" s="20"/>
      <c r="I2825" s="21"/>
    </row>
    <row r="2826" customFormat="false" ht="15" hidden="false" customHeight="false" outlineLevel="0" collapsed="false">
      <c r="A2826" s="30"/>
      <c r="B2826" s="21"/>
      <c r="C2826" s="21" t="str">
        <f aca="false">IF(B2826="","",IFERROR(INDEX(代理店一覧!$B$5:$B$204,MATCH(B2826,代理店一覧!$A$5:$A$204,0)),"※未登録のID"))</f>
        <v/>
      </c>
      <c r="D2826" s="20"/>
      <c r="E2826" s="20"/>
      <c r="F2826" s="20"/>
      <c r="G2826" s="20"/>
      <c r="H2826" s="20"/>
      <c r="I2826" s="21"/>
    </row>
    <row r="2827" customFormat="false" ht="15" hidden="false" customHeight="false" outlineLevel="0" collapsed="false">
      <c r="A2827" s="30"/>
      <c r="B2827" s="21"/>
      <c r="C2827" s="21" t="str">
        <f aca="false">IF(B2827="","",IFERROR(INDEX(代理店一覧!$B$5:$B$204,MATCH(B2827,代理店一覧!$A$5:$A$204,0)),"※未登録のID"))</f>
        <v/>
      </c>
      <c r="D2827" s="20"/>
      <c r="E2827" s="20"/>
      <c r="F2827" s="20"/>
      <c r="G2827" s="20"/>
      <c r="H2827" s="20"/>
      <c r="I2827" s="21"/>
    </row>
    <row r="2828" customFormat="false" ht="15" hidden="false" customHeight="false" outlineLevel="0" collapsed="false">
      <c r="A2828" s="30"/>
      <c r="B2828" s="21"/>
      <c r="C2828" s="21" t="str">
        <f aca="false">IF(B2828="","",IFERROR(INDEX(代理店一覧!$B$5:$B$204,MATCH(B2828,代理店一覧!$A$5:$A$204,0)),"※未登録のID"))</f>
        <v/>
      </c>
      <c r="D2828" s="20"/>
      <c r="E2828" s="20"/>
      <c r="F2828" s="20"/>
      <c r="G2828" s="20"/>
      <c r="H2828" s="20"/>
      <c r="I2828" s="21"/>
    </row>
    <row r="2829" customFormat="false" ht="15" hidden="false" customHeight="false" outlineLevel="0" collapsed="false">
      <c r="A2829" s="30"/>
      <c r="B2829" s="21"/>
      <c r="C2829" s="21" t="str">
        <f aca="false">IF(B2829="","",IFERROR(INDEX(代理店一覧!$B$5:$B$204,MATCH(B2829,代理店一覧!$A$5:$A$204,0)),"※未登録のID"))</f>
        <v/>
      </c>
      <c r="D2829" s="20"/>
      <c r="E2829" s="20"/>
      <c r="F2829" s="20"/>
      <c r="G2829" s="20"/>
      <c r="H2829" s="20"/>
      <c r="I2829" s="21"/>
    </row>
    <row r="2830" customFormat="false" ht="15" hidden="false" customHeight="false" outlineLevel="0" collapsed="false">
      <c r="A2830" s="30"/>
      <c r="B2830" s="21"/>
      <c r="C2830" s="21" t="str">
        <f aca="false">IF(B2830="","",IFERROR(INDEX(代理店一覧!$B$5:$B$204,MATCH(B2830,代理店一覧!$A$5:$A$204,0)),"※未登録のID"))</f>
        <v/>
      </c>
      <c r="D2830" s="20"/>
      <c r="E2830" s="20"/>
      <c r="F2830" s="20"/>
      <c r="G2830" s="20"/>
      <c r="H2830" s="20"/>
      <c r="I2830" s="21"/>
    </row>
    <row r="2831" customFormat="false" ht="15" hidden="false" customHeight="false" outlineLevel="0" collapsed="false">
      <c r="A2831" s="30"/>
      <c r="B2831" s="21"/>
      <c r="C2831" s="21" t="str">
        <f aca="false">IF(B2831="","",IFERROR(INDEX(代理店一覧!$B$5:$B$204,MATCH(B2831,代理店一覧!$A$5:$A$204,0)),"※未登録のID"))</f>
        <v/>
      </c>
      <c r="D2831" s="20"/>
      <c r="E2831" s="20"/>
      <c r="F2831" s="20"/>
      <c r="G2831" s="20"/>
      <c r="H2831" s="20"/>
      <c r="I2831" s="21"/>
    </row>
    <row r="2832" customFormat="false" ht="15" hidden="false" customHeight="false" outlineLevel="0" collapsed="false">
      <c r="A2832" s="30"/>
      <c r="B2832" s="21"/>
      <c r="C2832" s="21" t="str">
        <f aca="false">IF(B2832="","",IFERROR(INDEX(代理店一覧!$B$5:$B$204,MATCH(B2832,代理店一覧!$A$5:$A$204,0)),"※未登録のID"))</f>
        <v/>
      </c>
      <c r="D2832" s="20"/>
      <c r="E2832" s="20"/>
      <c r="F2832" s="20"/>
      <c r="G2832" s="20"/>
      <c r="H2832" s="20"/>
      <c r="I2832" s="21"/>
    </row>
    <row r="2833" customFormat="false" ht="15" hidden="false" customHeight="false" outlineLevel="0" collapsed="false">
      <c r="A2833" s="30"/>
      <c r="B2833" s="21"/>
      <c r="C2833" s="21" t="str">
        <f aca="false">IF(B2833="","",IFERROR(INDEX(代理店一覧!$B$5:$B$204,MATCH(B2833,代理店一覧!$A$5:$A$204,0)),"※未登録のID"))</f>
        <v/>
      </c>
      <c r="D2833" s="20"/>
      <c r="E2833" s="20"/>
      <c r="F2833" s="20"/>
      <c r="G2833" s="20"/>
      <c r="H2833" s="20"/>
      <c r="I2833" s="21"/>
    </row>
    <row r="2834" customFormat="false" ht="15" hidden="false" customHeight="false" outlineLevel="0" collapsed="false">
      <c r="A2834" s="30"/>
      <c r="B2834" s="21"/>
      <c r="C2834" s="21" t="str">
        <f aca="false">IF(B2834="","",IFERROR(INDEX(代理店一覧!$B$5:$B$204,MATCH(B2834,代理店一覧!$A$5:$A$204,0)),"※未登録のID"))</f>
        <v/>
      </c>
      <c r="D2834" s="20"/>
      <c r="E2834" s="20"/>
      <c r="F2834" s="20"/>
      <c r="G2834" s="20"/>
      <c r="H2834" s="20"/>
      <c r="I2834" s="21"/>
    </row>
    <row r="2835" customFormat="false" ht="15" hidden="false" customHeight="false" outlineLevel="0" collapsed="false">
      <c r="A2835" s="30"/>
      <c r="B2835" s="21"/>
      <c r="C2835" s="21" t="str">
        <f aca="false">IF(B2835="","",IFERROR(INDEX(代理店一覧!$B$5:$B$204,MATCH(B2835,代理店一覧!$A$5:$A$204,0)),"※未登録のID"))</f>
        <v/>
      </c>
      <c r="D2835" s="20"/>
      <c r="E2835" s="20"/>
      <c r="F2835" s="20"/>
      <c r="G2835" s="20"/>
      <c r="H2835" s="20"/>
      <c r="I2835" s="21"/>
    </row>
    <row r="2836" customFormat="false" ht="15" hidden="false" customHeight="false" outlineLevel="0" collapsed="false">
      <c r="A2836" s="30"/>
      <c r="B2836" s="21"/>
      <c r="C2836" s="21" t="str">
        <f aca="false">IF(B2836="","",IFERROR(INDEX(代理店一覧!$B$5:$B$204,MATCH(B2836,代理店一覧!$A$5:$A$204,0)),"※未登録のID"))</f>
        <v/>
      </c>
      <c r="D2836" s="20"/>
      <c r="E2836" s="20"/>
      <c r="F2836" s="20"/>
      <c r="G2836" s="20"/>
      <c r="H2836" s="20"/>
      <c r="I2836" s="21"/>
    </row>
    <row r="2837" customFormat="false" ht="15" hidden="false" customHeight="false" outlineLevel="0" collapsed="false">
      <c r="A2837" s="30"/>
      <c r="B2837" s="21"/>
      <c r="C2837" s="21" t="str">
        <f aca="false">IF(B2837="","",IFERROR(INDEX(代理店一覧!$B$5:$B$204,MATCH(B2837,代理店一覧!$A$5:$A$204,0)),"※未登録のID"))</f>
        <v/>
      </c>
      <c r="D2837" s="20"/>
      <c r="E2837" s="20"/>
      <c r="F2837" s="20"/>
      <c r="G2837" s="20"/>
      <c r="H2837" s="20"/>
      <c r="I2837" s="21"/>
    </row>
    <row r="2838" customFormat="false" ht="15" hidden="false" customHeight="false" outlineLevel="0" collapsed="false">
      <c r="A2838" s="30"/>
      <c r="B2838" s="21"/>
      <c r="C2838" s="21" t="str">
        <f aca="false">IF(B2838="","",IFERROR(INDEX(代理店一覧!$B$5:$B$204,MATCH(B2838,代理店一覧!$A$5:$A$204,0)),"※未登録のID"))</f>
        <v/>
      </c>
      <c r="D2838" s="20"/>
      <c r="E2838" s="20"/>
      <c r="F2838" s="20"/>
      <c r="G2838" s="20"/>
      <c r="H2838" s="20"/>
      <c r="I2838" s="21"/>
    </row>
    <row r="2839" customFormat="false" ht="15" hidden="false" customHeight="false" outlineLevel="0" collapsed="false">
      <c r="A2839" s="30"/>
      <c r="B2839" s="21"/>
      <c r="C2839" s="21" t="str">
        <f aca="false">IF(B2839="","",IFERROR(INDEX(代理店一覧!$B$5:$B$204,MATCH(B2839,代理店一覧!$A$5:$A$204,0)),"※未登録のID"))</f>
        <v/>
      </c>
      <c r="D2839" s="20"/>
      <c r="E2839" s="20"/>
      <c r="F2839" s="20"/>
      <c r="G2839" s="20"/>
      <c r="H2839" s="20"/>
      <c r="I2839" s="21"/>
    </row>
    <row r="2840" customFormat="false" ht="15" hidden="false" customHeight="false" outlineLevel="0" collapsed="false">
      <c r="A2840" s="30"/>
      <c r="B2840" s="21"/>
      <c r="C2840" s="21" t="str">
        <f aca="false">IF(B2840="","",IFERROR(INDEX(代理店一覧!$B$5:$B$204,MATCH(B2840,代理店一覧!$A$5:$A$204,0)),"※未登録のID"))</f>
        <v/>
      </c>
      <c r="D2840" s="20"/>
      <c r="E2840" s="20"/>
      <c r="F2840" s="20"/>
      <c r="G2840" s="20"/>
      <c r="H2840" s="20"/>
      <c r="I2840" s="21"/>
    </row>
    <row r="2841" customFormat="false" ht="15" hidden="false" customHeight="false" outlineLevel="0" collapsed="false">
      <c r="A2841" s="30"/>
      <c r="B2841" s="21"/>
      <c r="C2841" s="21" t="str">
        <f aca="false">IF(B2841="","",IFERROR(INDEX(代理店一覧!$B$5:$B$204,MATCH(B2841,代理店一覧!$A$5:$A$204,0)),"※未登録のID"))</f>
        <v/>
      </c>
      <c r="D2841" s="20"/>
      <c r="E2841" s="20"/>
      <c r="F2841" s="20"/>
      <c r="G2841" s="20"/>
      <c r="H2841" s="20"/>
      <c r="I2841" s="21"/>
    </row>
    <row r="2842" customFormat="false" ht="15" hidden="false" customHeight="false" outlineLevel="0" collapsed="false">
      <c r="A2842" s="30"/>
      <c r="B2842" s="21"/>
      <c r="C2842" s="21" t="str">
        <f aca="false">IF(B2842="","",IFERROR(INDEX(代理店一覧!$B$5:$B$204,MATCH(B2842,代理店一覧!$A$5:$A$204,0)),"※未登録のID"))</f>
        <v/>
      </c>
      <c r="D2842" s="20"/>
      <c r="E2842" s="20"/>
      <c r="F2842" s="20"/>
      <c r="G2842" s="20"/>
      <c r="H2842" s="20"/>
      <c r="I2842" s="21"/>
    </row>
    <row r="2843" customFormat="false" ht="15" hidden="false" customHeight="false" outlineLevel="0" collapsed="false">
      <c r="A2843" s="30"/>
      <c r="B2843" s="21"/>
      <c r="C2843" s="21" t="str">
        <f aca="false">IF(B2843="","",IFERROR(INDEX(代理店一覧!$B$5:$B$204,MATCH(B2843,代理店一覧!$A$5:$A$204,0)),"※未登録のID"))</f>
        <v/>
      </c>
      <c r="D2843" s="20"/>
      <c r="E2843" s="20"/>
      <c r="F2843" s="20"/>
      <c r="G2843" s="20"/>
      <c r="H2843" s="20"/>
      <c r="I2843" s="21"/>
    </row>
    <row r="2844" customFormat="false" ht="15" hidden="false" customHeight="false" outlineLevel="0" collapsed="false">
      <c r="A2844" s="30"/>
      <c r="B2844" s="21"/>
      <c r="C2844" s="21" t="str">
        <f aca="false">IF(B2844="","",IFERROR(INDEX(代理店一覧!$B$5:$B$204,MATCH(B2844,代理店一覧!$A$5:$A$204,0)),"※未登録のID"))</f>
        <v/>
      </c>
      <c r="D2844" s="20"/>
      <c r="E2844" s="20"/>
      <c r="F2844" s="20"/>
      <c r="G2844" s="20"/>
      <c r="H2844" s="20"/>
      <c r="I2844" s="21"/>
    </row>
    <row r="2845" customFormat="false" ht="15" hidden="false" customHeight="false" outlineLevel="0" collapsed="false">
      <c r="A2845" s="30"/>
      <c r="B2845" s="21"/>
      <c r="C2845" s="21" t="str">
        <f aca="false">IF(B2845="","",IFERROR(INDEX(代理店一覧!$B$5:$B$204,MATCH(B2845,代理店一覧!$A$5:$A$204,0)),"※未登録のID"))</f>
        <v/>
      </c>
      <c r="D2845" s="20"/>
      <c r="E2845" s="20"/>
      <c r="F2845" s="20"/>
      <c r="G2845" s="20"/>
      <c r="H2845" s="20"/>
      <c r="I2845" s="21"/>
    </row>
    <row r="2846" customFormat="false" ht="15" hidden="false" customHeight="false" outlineLevel="0" collapsed="false">
      <c r="A2846" s="30"/>
      <c r="B2846" s="21"/>
      <c r="C2846" s="21" t="str">
        <f aca="false">IF(B2846="","",IFERROR(INDEX(代理店一覧!$B$5:$B$204,MATCH(B2846,代理店一覧!$A$5:$A$204,0)),"※未登録のID"))</f>
        <v/>
      </c>
      <c r="D2846" s="20"/>
      <c r="E2846" s="20"/>
      <c r="F2846" s="20"/>
      <c r="G2846" s="20"/>
      <c r="H2846" s="20"/>
      <c r="I2846" s="21"/>
    </row>
    <row r="2847" customFormat="false" ht="15" hidden="false" customHeight="false" outlineLevel="0" collapsed="false">
      <c r="A2847" s="30"/>
      <c r="B2847" s="21"/>
      <c r="C2847" s="21" t="str">
        <f aca="false">IF(B2847="","",IFERROR(INDEX(代理店一覧!$B$5:$B$204,MATCH(B2847,代理店一覧!$A$5:$A$204,0)),"※未登録のID"))</f>
        <v/>
      </c>
      <c r="D2847" s="20"/>
      <c r="E2847" s="20"/>
      <c r="F2847" s="20"/>
      <c r="G2847" s="20"/>
      <c r="H2847" s="20"/>
      <c r="I2847" s="21"/>
    </row>
    <row r="2848" customFormat="false" ht="15" hidden="false" customHeight="false" outlineLevel="0" collapsed="false">
      <c r="A2848" s="30"/>
      <c r="B2848" s="21"/>
      <c r="C2848" s="21" t="str">
        <f aca="false">IF(B2848="","",IFERROR(INDEX(代理店一覧!$B$5:$B$204,MATCH(B2848,代理店一覧!$A$5:$A$204,0)),"※未登録のID"))</f>
        <v/>
      </c>
      <c r="D2848" s="20"/>
      <c r="E2848" s="20"/>
      <c r="F2848" s="20"/>
      <c r="G2848" s="20"/>
      <c r="H2848" s="20"/>
      <c r="I2848" s="21"/>
    </row>
    <row r="2849" customFormat="false" ht="15" hidden="false" customHeight="false" outlineLevel="0" collapsed="false">
      <c r="A2849" s="30"/>
      <c r="B2849" s="21"/>
      <c r="C2849" s="21" t="str">
        <f aca="false">IF(B2849="","",IFERROR(INDEX(代理店一覧!$B$5:$B$204,MATCH(B2849,代理店一覧!$A$5:$A$204,0)),"※未登録のID"))</f>
        <v/>
      </c>
      <c r="D2849" s="20"/>
      <c r="E2849" s="20"/>
      <c r="F2849" s="20"/>
      <c r="G2849" s="20"/>
      <c r="H2849" s="20"/>
      <c r="I2849" s="21"/>
    </row>
    <row r="2850" customFormat="false" ht="15" hidden="false" customHeight="false" outlineLevel="0" collapsed="false">
      <c r="A2850" s="30"/>
      <c r="B2850" s="21"/>
      <c r="C2850" s="21" t="str">
        <f aca="false">IF(B2850="","",IFERROR(INDEX(代理店一覧!$B$5:$B$204,MATCH(B2850,代理店一覧!$A$5:$A$204,0)),"※未登録のID"))</f>
        <v/>
      </c>
      <c r="D2850" s="20"/>
      <c r="E2850" s="20"/>
      <c r="F2850" s="20"/>
      <c r="G2850" s="20"/>
      <c r="H2850" s="20"/>
      <c r="I2850" s="21"/>
    </row>
    <row r="2851" customFormat="false" ht="15" hidden="false" customHeight="false" outlineLevel="0" collapsed="false">
      <c r="A2851" s="30"/>
      <c r="B2851" s="21"/>
      <c r="C2851" s="21" t="str">
        <f aca="false">IF(B2851="","",IFERROR(INDEX(代理店一覧!$B$5:$B$204,MATCH(B2851,代理店一覧!$A$5:$A$204,0)),"※未登録のID"))</f>
        <v/>
      </c>
      <c r="D2851" s="20"/>
      <c r="E2851" s="20"/>
      <c r="F2851" s="20"/>
      <c r="G2851" s="20"/>
      <c r="H2851" s="20"/>
      <c r="I2851" s="21"/>
    </row>
    <row r="2852" customFormat="false" ht="15" hidden="false" customHeight="false" outlineLevel="0" collapsed="false">
      <c r="A2852" s="30"/>
      <c r="B2852" s="21"/>
      <c r="C2852" s="21" t="str">
        <f aca="false">IF(B2852="","",IFERROR(INDEX(代理店一覧!$B$5:$B$204,MATCH(B2852,代理店一覧!$A$5:$A$204,0)),"※未登録のID"))</f>
        <v/>
      </c>
      <c r="D2852" s="20"/>
      <c r="E2852" s="20"/>
      <c r="F2852" s="20"/>
      <c r="G2852" s="20"/>
      <c r="H2852" s="20"/>
      <c r="I2852" s="21"/>
    </row>
    <row r="2853" customFormat="false" ht="15" hidden="false" customHeight="false" outlineLevel="0" collapsed="false">
      <c r="A2853" s="30"/>
      <c r="B2853" s="21"/>
      <c r="C2853" s="21" t="str">
        <f aca="false">IF(B2853="","",IFERROR(INDEX(代理店一覧!$B$5:$B$204,MATCH(B2853,代理店一覧!$A$5:$A$204,0)),"※未登録のID"))</f>
        <v/>
      </c>
      <c r="D2853" s="20"/>
      <c r="E2853" s="20"/>
      <c r="F2853" s="20"/>
      <c r="G2853" s="20"/>
      <c r="H2853" s="20"/>
      <c r="I2853" s="21"/>
    </row>
    <row r="2854" customFormat="false" ht="15" hidden="false" customHeight="false" outlineLevel="0" collapsed="false">
      <c r="A2854" s="30"/>
      <c r="B2854" s="21"/>
      <c r="C2854" s="21" t="str">
        <f aca="false">IF(B2854="","",IFERROR(INDEX(代理店一覧!$B$5:$B$204,MATCH(B2854,代理店一覧!$A$5:$A$204,0)),"※未登録のID"))</f>
        <v/>
      </c>
      <c r="D2854" s="20"/>
      <c r="E2854" s="20"/>
      <c r="F2854" s="20"/>
      <c r="G2854" s="20"/>
      <c r="H2854" s="20"/>
      <c r="I2854" s="21"/>
    </row>
    <row r="2855" customFormat="false" ht="15" hidden="false" customHeight="false" outlineLevel="0" collapsed="false">
      <c r="A2855" s="30"/>
      <c r="B2855" s="21"/>
      <c r="C2855" s="21" t="str">
        <f aca="false">IF(B2855="","",IFERROR(INDEX(代理店一覧!$B$5:$B$204,MATCH(B2855,代理店一覧!$A$5:$A$204,0)),"※未登録のID"))</f>
        <v/>
      </c>
      <c r="D2855" s="20"/>
      <c r="E2855" s="20"/>
      <c r="F2855" s="20"/>
      <c r="G2855" s="20"/>
      <c r="H2855" s="20"/>
      <c r="I2855" s="21"/>
    </row>
    <row r="2856" customFormat="false" ht="15" hidden="false" customHeight="false" outlineLevel="0" collapsed="false">
      <c r="A2856" s="30"/>
      <c r="B2856" s="21"/>
      <c r="C2856" s="21" t="str">
        <f aca="false">IF(B2856="","",IFERROR(INDEX(代理店一覧!$B$5:$B$204,MATCH(B2856,代理店一覧!$A$5:$A$204,0)),"※未登録のID"))</f>
        <v/>
      </c>
      <c r="D2856" s="20"/>
      <c r="E2856" s="20"/>
      <c r="F2856" s="20"/>
      <c r="G2856" s="20"/>
      <c r="H2856" s="20"/>
      <c r="I2856" s="21"/>
    </row>
    <row r="2857" customFormat="false" ht="15" hidden="false" customHeight="false" outlineLevel="0" collapsed="false">
      <c r="A2857" s="30"/>
      <c r="B2857" s="21"/>
      <c r="C2857" s="21" t="str">
        <f aca="false">IF(B2857="","",IFERROR(INDEX(代理店一覧!$B$5:$B$204,MATCH(B2857,代理店一覧!$A$5:$A$204,0)),"※未登録のID"))</f>
        <v/>
      </c>
      <c r="D2857" s="20"/>
      <c r="E2857" s="20"/>
      <c r="F2857" s="20"/>
      <c r="G2857" s="20"/>
      <c r="H2857" s="20"/>
      <c r="I2857" s="21"/>
    </row>
    <row r="2858" customFormat="false" ht="15" hidden="false" customHeight="false" outlineLevel="0" collapsed="false">
      <c r="A2858" s="30"/>
      <c r="B2858" s="21"/>
      <c r="C2858" s="21" t="str">
        <f aca="false">IF(B2858="","",IFERROR(INDEX(代理店一覧!$B$5:$B$204,MATCH(B2858,代理店一覧!$A$5:$A$204,0)),"※未登録のID"))</f>
        <v/>
      </c>
      <c r="D2858" s="20"/>
      <c r="E2858" s="20"/>
      <c r="F2858" s="20"/>
      <c r="G2858" s="20"/>
      <c r="H2858" s="20"/>
      <c r="I2858" s="21"/>
    </row>
    <row r="2859" customFormat="false" ht="15" hidden="false" customHeight="false" outlineLevel="0" collapsed="false">
      <c r="A2859" s="30"/>
      <c r="B2859" s="21"/>
      <c r="C2859" s="21" t="str">
        <f aca="false">IF(B2859="","",IFERROR(INDEX(代理店一覧!$B$5:$B$204,MATCH(B2859,代理店一覧!$A$5:$A$204,0)),"※未登録のID"))</f>
        <v/>
      </c>
      <c r="D2859" s="20"/>
      <c r="E2859" s="20"/>
      <c r="F2859" s="20"/>
      <c r="G2859" s="20"/>
      <c r="H2859" s="20"/>
      <c r="I2859" s="21"/>
    </row>
    <row r="2860" customFormat="false" ht="15" hidden="false" customHeight="false" outlineLevel="0" collapsed="false">
      <c r="A2860" s="30"/>
      <c r="B2860" s="21"/>
      <c r="C2860" s="21" t="str">
        <f aca="false">IF(B2860="","",IFERROR(INDEX(代理店一覧!$B$5:$B$204,MATCH(B2860,代理店一覧!$A$5:$A$204,0)),"※未登録のID"))</f>
        <v/>
      </c>
      <c r="D2860" s="20"/>
      <c r="E2860" s="20"/>
      <c r="F2860" s="20"/>
      <c r="G2860" s="20"/>
      <c r="H2860" s="20"/>
      <c r="I2860" s="21"/>
    </row>
    <row r="2861" customFormat="false" ht="15" hidden="false" customHeight="false" outlineLevel="0" collapsed="false">
      <c r="A2861" s="30"/>
      <c r="B2861" s="21"/>
      <c r="C2861" s="21" t="str">
        <f aca="false">IF(B2861="","",IFERROR(INDEX(代理店一覧!$B$5:$B$204,MATCH(B2861,代理店一覧!$A$5:$A$204,0)),"※未登録のID"))</f>
        <v/>
      </c>
      <c r="D2861" s="20"/>
      <c r="E2861" s="20"/>
      <c r="F2861" s="20"/>
      <c r="G2861" s="20"/>
      <c r="H2861" s="20"/>
      <c r="I2861" s="21"/>
    </row>
    <row r="2862" customFormat="false" ht="15" hidden="false" customHeight="false" outlineLevel="0" collapsed="false">
      <c r="A2862" s="30"/>
      <c r="B2862" s="21"/>
      <c r="C2862" s="21" t="str">
        <f aca="false">IF(B2862="","",IFERROR(INDEX(代理店一覧!$B$5:$B$204,MATCH(B2862,代理店一覧!$A$5:$A$204,0)),"※未登録のID"))</f>
        <v/>
      </c>
      <c r="D2862" s="20"/>
      <c r="E2862" s="20"/>
      <c r="F2862" s="20"/>
      <c r="G2862" s="20"/>
      <c r="H2862" s="20"/>
      <c r="I2862" s="21"/>
    </row>
    <row r="2863" customFormat="false" ht="15" hidden="false" customHeight="false" outlineLevel="0" collapsed="false">
      <c r="A2863" s="30"/>
      <c r="B2863" s="21"/>
      <c r="C2863" s="21" t="str">
        <f aca="false">IF(B2863="","",IFERROR(INDEX(代理店一覧!$B$5:$B$204,MATCH(B2863,代理店一覧!$A$5:$A$204,0)),"※未登録のID"))</f>
        <v/>
      </c>
      <c r="D2863" s="20"/>
      <c r="E2863" s="20"/>
      <c r="F2863" s="20"/>
      <c r="G2863" s="20"/>
      <c r="H2863" s="20"/>
      <c r="I2863" s="21"/>
    </row>
    <row r="2864" customFormat="false" ht="15" hidden="false" customHeight="false" outlineLevel="0" collapsed="false">
      <c r="A2864" s="30"/>
      <c r="B2864" s="21"/>
      <c r="C2864" s="21" t="str">
        <f aca="false">IF(B2864="","",IFERROR(INDEX(代理店一覧!$B$5:$B$204,MATCH(B2864,代理店一覧!$A$5:$A$204,0)),"※未登録のID"))</f>
        <v/>
      </c>
      <c r="D2864" s="20"/>
      <c r="E2864" s="20"/>
      <c r="F2864" s="20"/>
      <c r="G2864" s="20"/>
      <c r="H2864" s="20"/>
      <c r="I2864" s="21"/>
    </row>
    <row r="2865" customFormat="false" ht="15" hidden="false" customHeight="false" outlineLevel="0" collapsed="false">
      <c r="A2865" s="30"/>
      <c r="B2865" s="21"/>
      <c r="C2865" s="21" t="str">
        <f aca="false">IF(B2865="","",IFERROR(INDEX(代理店一覧!$B$5:$B$204,MATCH(B2865,代理店一覧!$A$5:$A$204,0)),"※未登録のID"))</f>
        <v/>
      </c>
      <c r="D2865" s="20"/>
      <c r="E2865" s="20"/>
      <c r="F2865" s="20"/>
      <c r="G2865" s="20"/>
      <c r="H2865" s="20"/>
      <c r="I2865" s="21"/>
    </row>
    <row r="2866" customFormat="false" ht="15" hidden="false" customHeight="false" outlineLevel="0" collapsed="false">
      <c r="A2866" s="30"/>
      <c r="B2866" s="21"/>
      <c r="C2866" s="21" t="str">
        <f aca="false">IF(B2866="","",IFERROR(INDEX(代理店一覧!$B$5:$B$204,MATCH(B2866,代理店一覧!$A$5:$A$204,0)),"※未登録のID"))</f>
        <v/>
      </c>
      <c r="D2866" s="20"/>
      <c r="E2866" s="20"/>
      <c r="F2866" s="20"/>
      <c r="G2866" s="20"/>
      <c r="H2866" s="20"/>
      <c r="I2866" s="21"/>
    </row>
    <row r="2867" customFormat="false" ht="15" hidden="false" customHeight="false" outlineLevel="0" collapsed="false">
      <c r="A2867" s="30"/>
      <c r="B2867" s="21"/>
      <c r="C2867" s="21" t="str">
        <f aca="false">IF(B2867="","",IFERROR(INDEX(代理店一覧!$B$5:$B$204,MATCH(B2867,代理店一覧!$A$5:$A$204,0)),"※未登録のID"))</f>
        <v/>
      </c>
      <c r="D2867" s="20"/>
      <c r="E2867" s="20"/>
      <c r="F2867" s="20"/>
      <c r="G2867" s="20"/>
      <c r="H2867" s="20"/>
      <c r="I2867" s="21"/>
    </row>
    <row r="2868" customFormat="false" ht="15" hidden="false" customHeight="false" outlineLevel="0" collapsed="false">
      <c r="A2868" s="30"/>
      <c r="B2868" s="21"/>
      <c r="C2868" s="21" t="str">
        <f aca="false">IF(B2868="","",IFERROR(INDEX(代理店一覧!$B$5:$B$204,MATCH(B2868,代理店一覧!$A$5:$A$204,0)),"※未登録のID"))</f>
        <v/>
      </c>
      <c r="D2868" s="20"/>
      <c r="E2868" s="20"/>
      <c r="F2868" s="20"/>
      <c r="G2868" s="20"/>
      <c r="H2868" s="20"/>
      <c r="I2868" s="21"/>
    </row>
    <row r="2869" customFormat="false" ht="15" hidden="false" customHeight="false" outlineLevel="0" collapsed="false">
      <c r="A2869" s="30"/>
      <c r="B2869" s="21"/>
      <c r="C2869" s="21" t="str">
        <f aca="false">IF(B2869="","",IFERROR(INDEX(代理店一覧!$B$5:$B$204,MATCH(B2869,代理店一覧!$A$5:$A$204,0)),"※未登録のID"))</f>
        <v/>
      </c>
      <c r="D2869" s="20"/>
      <c r="E2869" s="20"/>
      <c r="F2869" s="20"/>
      <c r="G2869" s="20"/>
      <c r="H2869" s="20"/>
      <c r="I2869" s="21"/>
    </row>
    <row r="2870" customFormat="false" ht="15" hidden="false" customHeight="false" outlineLevel="0" collapsed="false">
      <c r="A2870" s="30"/>
      <c r="B2870" s="21"/>
      <c r="C2870" s="21" t="str">
        <f aca="false">IF(B2870="","",IFERROR(INDEX(代理店一覧!$B$5:$B$204,MATCH(B2870,代理店一覧!$A$5:$A$204,0)),"※未登録のID"))</f>
        <v/>
      </c>
      <c r="D2870" s="20"/>
      <c r="E2870" s="20"/>
      <c r="F2870" s="20"/>
      <c r="G2870" s="20"/>
      <c r="H2870" s="20"/>
      <c r="I2870" s="21"/>
    </row>
    <row r="2871" customFormat="false" ht="15" hidden="false" customHeight="false" outlineLevel="0" collapsed="false">
      <c r="A2871" s="30"/>
      <c r="B2871" s="21"/>
      <c r="C2871" s="21" t="str">
        <f aca="false">IF(B2871="","",IFERROR(INDEX(代理店一覧!$B$5:$B$204,MATCH(B2871,代理店一覧!$A$5:$A$204,0)),"※未登録のID"))</f>
        <v/>
      </c>
      <c r="D2871" s="20"/>
      <c r="E2871" s="20"/>
      <c r="F2871" s="20"/>
      <c r="G2871" s="20"/>
      <c r="H2871" s="20"/>
      <c r="I2871" s="21"/>
    </row>
    <row r="2872" customFormat="false" ht="15" hidden="false" customHeight="false" outlineLevel="0" collapsed="false">
      <c r="A2872" s="30"/>
      <c r="B2872" s="21"/>
      <c r="C2872" s="21" t="str">
        <f aca="false">IF(B2872="","",IFERROR(INDEX(代理店一覧!$B$5:$B$204,MATCH(B2872,代理店一覧!$A$5:$A$204,0)),"※未登録のID"))</f>
        <v/>
      </c>
      <c r="D2872" s="20"/>
      <c r="E2872" s="20"/>
      <c r="F2872" s="20"/>
      <c r="G2872" s="20"/>
      <c r="H2872" s="20"/>
      <c r="I2872" s="21"/>
    </row>
    <row r="2873" customFormat="false" ht="15" hidden="false" customHeight="false" outlineLevel="0" collapsed="false">
      <c r="A2873" s="30"/>
      <c r="B2873" s="21"/>
      <c r="C2873" s="21" t="str">
        <f aca="false">IF(B2873="","",IFERROR(INDEX(代理店一覧!$B$5:$B$204,MATCH(B2873,代理店一覧!$A$5:$A$204,0)),"※未登録のID"))</f>
        <v/>
      </c>
      <c r="D2873" s="20"/>
      <c r="E2873" s="20"/>
      <c r="F2873" s="20"/>
      <c r="G2873" s="20"/>
      <c r="H2873" s="20"/>
      <c r="I2873" s="21"/>
    </row>
    <row r="2874" customFormat="false" ht="15" hidden="false" customHeight="false" outlineLevel="0" collapsed="false">
      <c r="A2874" s="30"/>
      <c r="B2874" s="21"/>
      <c r="C2874" s="21" t="str">
        <f aca="false">IF(B2874="","",IFERROR(INDEX(代理店一覧!$B$5:$B$204,MATCH(B2874,代理店一覧!$A$5:$A$204,0)),"※未登録のID"))</f>
        <v/>
      </c>
      <c r="D2874" s="20"/>
      <c r="E2874" s="20"/>
      <c r="F2874" s="20"/>
      <c r="G2874" s="20"/>
      <c r="H2874" s="20"/>
      <c r="I2874" s="21"/>
    </row>
    <row r="2875" customFormat="false" ht="15" hidden="false" customHeight="false" outlineLevel="0" collapsed="false">
      <c r="A2875" s="30"/>
      <c r="B2875" s="21"/>
      <c r="C2875" s="21" t="str">
        <f aca="false">IF(B2875="","",IFERROR(INDEX(代理店一覧!$B$5:$B$204,MATCH(B2875,代理店一覧!$A$5:$A$204,0)),"※未登録のID"))</f>
        <v/>
      </c>
      <c r="D2875" s="20"/>
      <c r="E2875" s="20"/>
      <c r="F2875" s="20"/>
      <c r="G2875" s="20"/>
      <c r="H2875" s="20"/>
      <c r="I2875" s="21"/>
    </row>
    <row r="2876" customFormat="false" ht="15" hidden="false" customHeight="false" outlineLevel="0" collapsed="false">
      <c r="A2876" s="30"/>
      <c r="B2876" s="21"/>
      <c r="C2876" s="21" t="str">
        <f aca="false">IF(B2876="","",IFERROR(INDEX(代理店一覧!$B$5:$B$204,MATCH(B2876,代理店一覧!$A$5:$A$204,0)),"※未登録のID"))</f>
        <v/>
      </c>
      <c r="D2876" s="20"/>
      <c r="E2876" s="20"/>
      <c r="F2876" s="20"/>
      <c r="G2876" s="20"/>
      <c r="H2876" s="20"/>
      <c r="I2876" s="21"/>
    </row>
    <row r="2877" customFormat="false" ht="15" hidden="false" customHeight="false" outlineLevel="0" collapsed="false">
      <c r="A2877" s="30"/>
      <c r="B2877" s="21"/>
      <c r="C2877" s="21" t="str">
        <f aca="false">IF(B2877="","",IFERROR(INDEX(代理店一覧!$B$5:$B$204,MATCH(B2877,代理店一覧!$A$5:$A$204,0)),"※未登録のID"))</f>
        <v/>
      </c>
      <c r="D2877" s="20"/>
      <c r="E2877" s="20"/>
      <c r="F2877" s="20"/>
      <c r="G2877" s="20"/>
      <c r="H2877" s="20"/>
      <c r="I2877" s="21"/>
    </row>
    <row r="2878" customFormat="false" ht="15" hidden="false" customHeight="false" outlineLevel="0" collapsed="false">
      <c r="A2878" s="30"/>
      <c r="B2878" s="21"/>
      <c r="C2878" s="21" t="str">
        <f aca="false">IF(B2878="","",IFERROR(INDEX(代理店一覧!$B$5:$B$204,MATCH(B2878,代理店一覧!$A$5:$A$204,0)),"※未登録のID"))</f>
        <v/>
      </c>
      <c r="D2878" s="20"/>
      <c r="E2878" s="20"/>
      <c r="F2878" s="20"/>
      <c r="G2878" s="20"/>
      <c r="H2878" s="20"/>
      <c r="I2878" s="21"/>
    </row>
    <row r="2879" customFormat="false" ht="15" hidden="false" customHeight="false" outlineLevel="0" collapsed="false">
      <c r="A2879" s="30"/>
      <c r="B2879" s="21"/>
      <c r="C2879" s="21" t="str">
        <f aca="false">IF(B2879="","",IFERROR(INDEX(代理店一覧!$B$5:$B$204,MATCH(B2879,代理店一覧!$A$5:$A$204,0)),"※未登録のID"))</f>
        <v/>
      </c>
      <c r="D2879" s="20"/>
      <c r="E2879" s="20"/>
      <c r="F2879" s="20"/>
      <c r="G2879" s="20"/>
      <c r="H2879" s="20"/>
      <c r="I2879" s="21"/>
    </row>
    <row r="2880" customFormat="false" ht="15" hidden="false" customHeight="false" outlineLevel="0" collapsed="false">
      <c r="A2880" s="30"/>
      <c r="B2880" s="21"/>
      <c r="C2880" s="21" t="str">
        <f aca="false">IF(B2880="","",IFERROR(INDEX(代理店一覧!$B$5:$B$204,MATCH(B2880,代理店一覧!$A$5:$A$204,0)),"※未登録のID"))</f>
        <v/>
      </c>
      <c r="D2880" s="20"/>
      <c r="E2880" s="20"/>
      <c r="F2880" s="20"/>
      <c r="G2880" s="20"/>
      <c r="H2880" s="20"/>
      <c r="I2880" s="21"/>
    </row>
    <row r="2881" customFormat="false" ht="15" hidden="false" customHeight="false" outlineLevel="0" collapsed="false">
      <c r="A2881" s="30"/>
      <c r="B2881" s="21"/>
      <c r="C2881" s="21" t="str">
        <f aca="false">IF(B2881="","",IFERROR(INDEX(代理店一覧!$B$5:$B$204,MATCH(B2881,代理店一覧!$A$5:$A$204,0)),"※未登録のID"))</f>
        <v/>
      </c>
      <c r="D2881" s="20"/>
      <c r="E2881" s="20"/>
      <c r="F2881" s="20"/>
      <c r="G2881" s="20"/>
      <c r="H2881" s="20"/>
      <c r="I2881" s="21"/>
    </row>
    <row r="2882" customFormat="false" ht="15" hidden="false" customHeight="false" outlineLevel="0" collapsed="false">
      <c r="A2882" s="30"/>
      <c r="B2882" s="21"/>
      <c r="C2882" s="21" t="str">
        <f aca="false">IF(B2882="","",IFERROR(INDEX(代理店一覧!$B$5:$B$204,MATCH(B2882,代理店一覧!$A$5:$A$204,0)),"※未登録のID"))</f>
        <v/>
      </c>
      <c r="D2882" s="20"/>
      <c r="E2882" s="20"/>
      <c r="F2882" s="20"/>
      <c r="G2882" s="20"/>
      <c r="H2882" s="20"/>
      <c r="I2882" s="21"/>
    </row>
    <row r="2883" customFormat="false" ht="15" hidden="false" customHeight="false" outlineLevel="0" collapsed="false">
      <c r="A2883" s="30"/>
      <c r="B2883" s="21"/>
      <c r="C2883" s="21" t="str">
        <f aca="false">IF(B2883="","",IFERROR(INDEX(代理店一覧!$B$5:$B$204,MATCH(B2883,代理店一覧!$A$5:$A$204,0)),"※未登録のID"))</f>
        <v/>
      </c>
      <c r="D2883" s="20"/>
      <c r="E2883" s="20"/>
      <c r="F2883" s="20"/>
      <c r="G2883" s="20"/>
      <c r="H2883" s="20"/>
      <c r="I2883" s="21"/>
    </row>
    <row r="2884" customFormat="false" ht="15" hidden="false" customHeight="false" outlineLevel="0" collapsed="false">
      <c r="A2884" s="30"/>
      <c r="B2884" s="21"/>
      <c r="C2884" s="21" t="str">
        <f aca="false">IF(B2884="","",IFERROR(INDEX(代理店一覧!$B$5:$B$204,MATCH(B2884,代理店一覧!$A$5:$A$204,0)),"※未登録のID"))</f>
        <v/>
      </c>
      <c r="D2884" s="20"/>
      <c r="E2884" s="20"/>
      <c r="F2884" s="20"/>
      <c r="G2884" s="20"/>
      <c r="H2884" s="20"/>
      <c r="I2884" s="21"/>
    </row>
    <row r="2885" customFormat="false" ht="15" hidden="false" customHeight="false" outlineLevel="0" collapsed="false">
      <c r="A2885" s="30"/>
      <c r="B2885" s="21"/>
      <c r="C2885" s="21" t="str">
        <f aca="false">IF(B2885="","",IFERROR(INDEX(代理店一覧!$B$5:$B$204,MATCH(B2885,代理店一覧!$A$5:$A$204,0)),"※未登録のID"))</f>
        <v/>
      </c>
      <c r="D2885" s="20"/>
      <c r="E2885" s="20"/>
      <c r="F2885" s="20"/>
      <c r="G2885" s="20"/>
      <c r="H2885" s="20"/>
      <c r="I2885" s="21"/>
    </row>
    <row r="2886" customFormat="false" ht="15" hidden="false" customHeight="false" outlineLevel="0" collapsed="false">
      <c r="A2886" s="30"/>
      <c r="B2886" s="21"/>
      <c r="C2886" s="21" t="str">
        <f aca="false">IF(B2886="","",IFERROR(INDEX(代理店一覧!$B$5:$B$204,MATCH(B2886,代理店一覧!$A$5:$A$204,0)),"※未登録のID"))</f>
        <v/>
      </c>
      <c r="D2886" s="20"/>
      <c r="E2886" s="20"/>
      <c r="F2886" s="20"/>
      <c r="G2886" s="20"/>
      <c r="H2886" s="20"/>
      <c r="I2886" s="21"/>
    </row>
    <row r="2887" customFormat="false" ht="15" hidden="false" customHeight="false" outlineLevel="0" collapsed="false">
      <c r="A2887" s="30"/>
      <c r="B2887" s="21"/>
      <c r="C2887" s="21" t="str">
        <f aca="false">IF(B2887="","",IFERROR(INDEX(代理店一覧!$B$5:$B$204,MATCH(B2887,代理店一覧!$A$5:$A$204,0)),"※未登録のID"))</f>
        <v/>
      </c>
      <c r="D2887" s="20"/>
      <c r="E2887" s="20"/>
      <c r="F2887" s="20"/>
      <c r="G2887" s="20"/>
      <c r="H2887" s="20"/>
      <c r="I2887" s="21"/>
    </row>
    <row r="2888" customFormat="false" ht="15" hidden="false" customHeight="false" outlineLevel="0" collapsed="false">
      <c r="A2888" s="30"/>
      <c r="B2888" s="21"/>
      <c r="C2888" s="21" t="str">
        <f aca="false">IF(B2888="","",IFERROR(INDEX(代理店一覧!$B$5:$B$204,MATCH(B2888,代理店一覧!$A$5:$A$204,0)),"※未登録のID"))</f>
        <v/>
      </c>
      <c r="D2888" s="20"/>
      <c r="E2888" s="20"/>
      <c r="F2888" s="20"/>
      <c r="G2888" s="20"/>
      <c r="H2888" s="20"/>
      <c r="I2888" s="21"/>
    </row>
    <row r="2889" customFormat="false" ht="15" hidden="false" customHeight="false" outlineLevel="0" collapsed="false">
      <c r="A2889" s="30"/>
      <c r="B2889" s="21"/>
      <c r="C2889" s="21" t="str">
        <f aca="false">IF(B2889="","",IFERROR(INDEX(代理店一覧!$B$5:$B$204,MATCH(B2889,代理店一覧!$A$5:$A$204,0)),"※未登録のID"))</f>
        <v/>
      </c>
      <c r="D2889" s="20"/>
      <c r="E2889" s="20"/>
      <c r="F2889" s="20"/>
      <c r="G2889" s="20"/>
      <c r="H2889" s="20"/>
      <c r="I2889" s="21"/>
    </row>
    <row r="2890" customFormat="false" ht="15" hidden="false" customHeight="false" outlineLevel="0" collapsed="false">
      <c r="A2890" s="30"/>
      <c r="B2890" s="21"/>
      <c r="C2890" s="21" t="str">
        <f aca="false">IF(B2890="","",IFERROR(INDEX(代理店一覧!$B$5:$B$204,MATCH(B2890,代理店一覧!$A$5:$A$204,0)),"※未登録のID"))</f>
        <v/>
      </c>
      <c r="D2890" s="20"/>
      <c r="E2890" s="20"/>
      <c r="F2890" s="20"/>
      <c r="G2890" s="20"/>
      <c r="H2890" s="20"/>
      <c r="I2890" s="21"/>
    </row>
    <row r="2891" customFormat="false" ht="15" hidden="false" customHeight="false" outlineLevel="0" collapsed="false">
      <c r="A2891" s="30"/>
      <c r="B2891" s="21"/>
      <c r="C2891" s="21" t="str">
        <f aca="false">IF(B2891="","",IFERROR(INDEX(代理店一覧!$B$5:$B$204,MATCH(B2891,代理店一覧!$A$5:$A$204,0)),"※未登録のID"))</f>
        <v/>
      </c>
      <c r="D2891" s="20"/>
      <c r="E2891" s="20"/>
      <c r="F2891" s="20"/>
      <c r="G2891" s="20"/>
      <c r="H2891" s="20"/>
      <c r="I2891" s="21"/>
    </row>
    <row r="2892" customFormat="false" ht="15" hidden="false" customHeight="false" outlineLevel="0" collapsed="false">
      <c r="A2892" s="30"/>
      <c r="B2892" s="21"/>
      <c r="C2892" s="21" t="str">
        <f aca="false">IF(B2892="","",IFERROR(INDEX(代理店一覧!$B$5:$B$204,MATCH(B2892,代理店一覧!$A$5:$A$204,0)),"※未登録のID"))</f>
        <v/>
      </c>
      <c r="D2892" s="20"/>
      <c r="E2892" s="20"/>
      <c r="F2892" s="20"/>
      <c r="G2892" s="20"/>
      <c r="H2892" s="20"/>
      <c r="I2892" s="21"/>
    </row>
    <row r="2893" customFormat="false" ht="15" hidden="false" customHeight="false" outlineLevel="0" collapsed="false">
      <c r="A2893" s="30"/>
      <c r="B2893" s="21"/>
      <c r="C2893" s="21" t="str">
        <f aca="false">IF(B2893="","",IFERROR(INDEX(代理店一覧!$B$5:$B$204,MATCH(B2893,代理店一覧!$A$5:$A$204,0)),"※未登録のID"))</f>
        <v/>
      </c>
      <c r="D2893" s="20"/>
      <c r="E2893" s="20"/>
      <c r="F2893" s="20"/>
      <c r="G2893" s="20"/>
      <c r="H2893" s="20"/>
      <c r="I2893" s="21"/>
    </row>
    <row r="2894" customFormat="false" ht="15" hidden="false" customHeight="false" outlineLevel="0" collapsed="false">
      <c r="A2894" s="30"/>
      <c r="B2894" s="21"/>
      <c r="C2894" s="21" t="str">
        <f aca="false">IF(B2894="","",IFERROR(INDEX(代理店一覧!$B$5:$B$204,MATCH(B2894,代理店一覧!$A$5:$A$204,0)),"※未登録のID"))</f>
        <v/>
      </c>
      <c r="D2894" s="20"/>
      <c r="E2894" s="20"/>
      <c r="F2894" s="20"/>
      <c r="G2894" s="20"/>
      <c r="H2894" s="20"/>
      <c r="I2894" s="21"/>
    </row>
    <row r="2895" customFormat="false" ht="15" hidden="false" customHeight="false" outlineLevel="0" collapsed="false">
      <c r="A2895" s="30"/>
      <c r="B2895" s="21"/>
      <c r="C2895" s="21" t="str">
        <f aca="false">IF(B2895="","",IFERROR(INDEX(代理店一覧!$B$5:$B$204,MATCH(B2895,代理店一覧!$A$5:$A$204,0)),"※未登録のID"))</f>
        <v/>
      </c>
      <c r="D2895" s="20"/>
      <c r="E2895" s="20"/>
      <c r="F2895" s="20"/>
      <c r="G2895" s="20"/>
      <c r="H2895" s="20"/>
      <c r="I2895" s="21"/>
    </row>
    <row r="2896" customFormat="false" ht="15" hidden="false" customHeight="false" outlineLevel="0" collapsed="false">
      <c r="A2896" s="30"/>
      <c r="B2896" s="21"/>
      <c r="C2896" s="21" t="str">
        <f aca="false">IF(B2896="","",IFERROR(INDEX(代理店一覧!$B$5:$B$204,MATCH(B2896,代理店一覧!$A$5:$A$204,0)),"※未登録のID"))</f>
        <v/>
      </c>
      <c r="D2896" s="20"/>
      <c r="E2896" s="20"/>
      <c r="F2896" s="20"/>
      <c r="G2896" s="20"/>
      <c r="H2896" s="20"/>
      <c r="I2896" s="21"/>
    </row>
    <row r="2897" customFormat="false" ht="15" hidden="false" customHeight="false" outlineLevel="0" collapsed="false">
      <c r="A2897" s="30"/>
      <c r="B2897" s="21"/>
      <c r="C2897" s="21" t="str">
        <f aca="false">IF(B2897="","",IFERROR(INDEX(代理店一覧!$B$5:$B$204,MATCH(B2897,代理店一覧!$A$5:$A$204,0)),"※未登録のID"))</f>
        <v/>
      </c>
      <c r="D2897" s="20"/>
      <c r="E2897" s="20"/>
      <c r="F2897" s="20"/>
      <c r="G2897" s="20"/>
      <c r="H2897" s="20"/>
      <c r="I2897" s="21"/>
    </row>
    <row r="2898" customFormat="false" ht="15" hidden="false" customHeight="false" outlineLevel="0" collapsed="false">
      <c r="A2898" s="30"/>
      <c r="B2898" s="21"/>
      <c r="C2898" s="21" t="str">
        <f aca="false">IF(B2898="","",IFERROR(INDEX(代理店一覧!$B$5:$B$204,MATCH(B2898,代理店一覧!$A$5:$A$204,0)),"※未登録のID"))</f>
        <v/>
      </c>
      <c r="D2898" s="20"/>
      <c r="E2898" s="20"/>
      <c r="F2898" s="20"/>
      <c r="G2898" s="20"/>
      <c r="H2898" s="20"/>
      <c r="I2898" s="21"/>
    </row>
    <row r="2899" customFormat="false" ht="15" hidden="false" customHeight="false" outlineLevel="0" collapsed="false">
      <c r="A2899" s="30"/>
      <c r="B2899" s="21"/>
      <c r="C2899" s="21" t="str">
        <f aca="false">IF(B2899="","",IFERROR(INDEX(代理店一覧!$B$5:$B$204,MATCH(B2899,代理店一覧!$A$5:$A$204,0)),"※未登録のID"))</f>
        <v/>
      </c>
      <c r="D2899" s="20"/>
      <c r="E2899" s="20"/>
      <c r="F2899" s="20"/>
      <c r="G2899" s="20"/>
      <c r="H2899" s="20"/>
      <c r="I2899" s="21"/>
    </row>
    <row r="2900" customFormat="false" ht="15" hidden="false" customHeight="false" outlineLevel="0" collapsed="false">
      <c r="A2900" s="30"/>
      <c r="B2900" s="21"/>
      <c r="C2900" s="21" t="str">
        <f aca="false">IF(B2900="","",IFERROR(INDEX(代理店一覧!$B$5:$B$204,MATCH(B2900,代理店一覧!$A$5:$A$204,0)),"※未登録のID"))</f>
        <v/>
      </c>
      <c r="D2900" s="20"/>
      <c r="E2900" s="20"/>
      <c r="F2900" s="20"/>
      <c r="G2900" s="20"/>
      <c r="H2900" s="20"/>
      <c r="I2900" s="21"/>
    </row>
    <row r="2901" customFormat="false" ht="15" hidden="false" customHeight="false" outlineLevel="0" collapsed="false">
      <c r="A2901" s="30"/>
      <c r="B2901" s="21"/>
      <c r="C2901" s="21" t="str">
        <f aca="false">IF(B2901="","",IFERROR(INDEX(代理店一覧!$B$5:$B$204,MATCH(B2901,代理店一覧!$A$5:$A$204,0)),"※未登録のID"))</f>
        <v/>
      </c>
      <c r="D2901" s="20"/>
      <c r="E2901" s="20"/>
      <c r="F2901" s="20"/>
      <c r="G2901" s="20"/>
      <c r="H2901" s="20"/>
      <c r="I2901" s="21"/>
    </row>
    <row r="2902" customFormat="false" ht="15" hidden="false" customHeight="false" outlineLevel="0" collapsed="false">
      <c r="A2902" s="30"/>
      <c r="B2902" s="21"/>
      <c r="C2902" s="21" t="str">
        <f aca="false">IF(B2902="","",IFERROR(INDEX(代理店一覧!$B$5:$B$204,MATCH(B2902,代理店一覧!$A$5:$A$204,0)),"※未登録のID"))</f>
        <v/>
      </c>
      <c r="D2902" s="20"/>
      <c r="E2902" s="20"/>
      <c r="F2902" s="20"/>
      <c r="G2902" s="20"/>
      <c r="H2902" s="20"/>
      <c r="I2902" s="21"/>
    </row>
    <row r="2903" customFormat="false" ht="15" hidden="false" customHeight="false" outlineLevel="0" collapsed="false">
      <c r="A2903" s="30"/>
      <c r="B2903" s="21"/>
      <c r="C2903" s="21" t="str">
        <f aca="false">IF(B2903="","",IFERROR(INDEX(代理店一覧!$B$5:$B$204,MATCH(B2903,代理店一覧!$A$5:$A$204,0)),"※未登録のID"))</f>
        <v/>
      </c>
      <c r="D2903" s="20"/>
      <c r="E2903" s="20"/>
      <c r="F2903" s="20"/>
      <c r="G2903" s="20"/>
      <c r="H2903" s="20"/>
      <c r="I2903" s="21"/>
    </row>
    <row r="2904" customFormat="false" ht="15" hidden="false" customHeight="false" outlineLevel="0" collapsed="false">
      <c r="A2904" s="30"/>
      <c r="B2904" s="21"/>
      <c r="C2904" s="21" t="str">
        <f aca="false">IF(B2904="","",IFERROR(INDEX(代理店一覧!$B$5:$B$204,MATCH(B2904,代理店一覧!$A$5:$A$204,0)),"※未登録のID"))</f>
        <v/>
      </c>
      <c r="D2904" s="20"/>
      <c r="E2904" s="20"/>
      <c r="F2904" s="20"/>
      <c r="G2904" s="20"/>
      <c r="H2904" s="20"/>
      <c r="I2904" s="21"/>
    </row>
    <row r="2905" customFormat="false" ht="15" hidden="false" customHeight="false" outlineLevel="0" collapsed="false">
      <c r="A2905" s="30"/>
      <c r="B2905" s="21"/>
      <c r="C2905" s="21" t="str">
        <f aca="false">IF(B2905="","",IFERROR(INDEX(代理店一覧!$B$5:$B$204,MATCH(B2905,代理店一覧!$A$5:$A$204,0)),"※未登録のID"))</f>
        <v/>
      </c>
      <c r="D2905" s="20"/>
      <c r="E2905" s="20"/>
      <c r="F2905" s="20"/>
      <c r="G2905" s="20"/>
      <c r="H2905" s="20"/>
      <c r="I2905" s="21"/>
    </row>
    <row r="2906" customFormat="false" ht="15" hidden="false" customHeight="false" outlineLevel="0" collapsed="false">
      <c r="A2906" s="30"/>
      <c r="B2906" s="21"/>
      <c r="C2906" s="21" t="str">
        <f aca="false">IF(B2906="","",IFERROR(INDEX(代理店一覧!$B$5:$B$204,MATCH(B2906,代理店一覧!$A$5:$A$204,0)),"※未登録のID"))</f>
        <v/>
      </c>
      <c r="D2906" s="20"/>
      <c r="E2906" s="20"/>
      <c r="F2906" s="20"/>
      <c r="G2906" s="20"/>
      <c r="H2906" s="20"/>
      <c r="I2906" s="21"/>
    </row>
    <row r="2907" customFormat="false" ht="15" hidden="false" customHeight="false" outlineLevel="0" collapsed="false">
      <c r="A2907" s="30"/>
      <c r="B2907" s="21"/>
      <c r="C2907" s="21" t="str">
        <f aca="false">IF(B2907="","",IFERROR(INDEX(代理店一覧!$B$5:$B$204,MATCH(B2907,代理店一覧!$A$5:$A$204,0)),"※未登録のID"))</f>
        <v/>
      </c>
      <c r="D2907" s="20"/>
      <c r="E2907" s="20"/>
      <c r="F2907" s="20"/>
      <c r="G2907" s="20"/>
      <c r="H2907" s="20"/>
      <c r="I2907" s="21"/>
    </row>
    <row r="2908" customFormat="false" ht="15" hidden="false" customHeight="false" outlineLevel="0" collapsed="false">
      <c r="A2908" s="30"/>
      <c r="B2908" s="21"/>
      <c r="C2908" s="21" t="str">
        <f aca="false">IF(B2908="","",IFERROR(INDEX(代理店一覧!$B$5:$B$204,MATCH(B2908,代理店一覧!$A$5:$A$204,0)),"※未登録のID"))</f>
        <v/>
      </c>
      <c r="D2908" s="20"/>
      <c r="E2908" s="20"/>
      <c r="F2908" s="20"/>
      <c r="G2908" s="20"/>
      <c r="H2908" s="20"/>
      <c r="I2908" s="21"/>
    </row>
    <row r="2909" customFormat="false" ht="15" hidden="false" customHeight="false" outlineLevel="0" collapsed="false">
      <c r="A2909" s="30"/>
      <c r="B2909" s="21"/>
      <c r="C2909" s="21" t="str">
        <f aca="false">IF(B2909="","",IFERROR(INDEX(代理店一覧!$B$5:$B$204,MATCH(B2909,代理店一覧!$A$5:$A$204,0)),"※未登録のID"))</f>
        <v/>
      </c>
      <c r="D2909" s="20"/>
      <c r="E2909" s="20"/>
      <c r="F2909" s="20"/>
      <c r="G2909" s="20"/>
      <c r="H2909" s="20"/>
      <c r="I2909" s="21"/>
    </row>
    <row r="2910" customFormat="false" ht="15" hidden="false" customHeight="false" outlineLevel="0" collapsed="false">
      <c r="A2910" s="30"/>
      <c r="B2910" s="21"/>
      <c r="C2910" s="21" t="str">
        <f aca="false">IF(B2910="","",IFERROR(INDEX(代理店一覧!$B$5:$B$204,MATCH(B2910,代理店一覧!$A$5:$A$204,0)),"※未登録のID"))</f>
        <v/>
      </c>
      <c r="D2910" s="20"/>
      <c r="E2910" s="20"/>
      <c r="F2910" s="20"/>
      <c r="G2910" s="20"/>
      <c r="H2910" s="20"/>
      <c r="I2910" s="21"/>
    </row>
    <row r="2911" customFormat="false" ht="15" hidden="false" customHeight="false" outlineLevel="0" collapsed="false">
      <c r="A2911" s="30"/>
      <c r="B2911" s="21"/>
      <c r="C2911" s="21" t="str">
        <f aca="false">IF(B2911="","",IFERROR(INDEX(代理店一覧!$B$5:$B$204,MATCH(B2911,代理店一覧!$A$5:$A$204,0)),"※未登録のID"))</f>
        <v/>
      </c>
      <c r="D2911" s="20"/>
      <c r="E2911" s="20"/>
      <c r="F2911" s="20"/>
      <c r="G2911" s="20"/>
      <c r="H2911" s="20"/>
      <c r="I2911" s="21"/>
    </row>
    <row r="2912" customFormat="false" ht="15" hidden="false" customHeight="false" outlineLevel="0" collapsed="false">
      <c r="A2912" s="30"/>
      <c r="B2912" s="21"/>
      <c r="C2912" s="21" t="str">
        <f aca="false">IF(B2912="","",IFERROR(INDEX(代理店一覧!$B$5:$B$204,MATCH(B2912,代理店一覧!$A$5:$A$204,0)),"※未登録のID"))</f>
        <v/>
      </c>
      <c r="D2912" s="20"/>
      <c r="E2912" s="20"/>
      <c r="F2912" s="20"/>
      <c r="G2912" s="20"/>
      <c r="H2912" s="20"/>
      <c r="I2912" s="21"/>
    </row>
    <row r="2913" customFormat="false" ht="15" hidden="false" customHeight="false" outlineLevel="0" collapsed="false">
      <c r="A2913" s="30"/>
      <c r="B2913" s="21"/>
      <c r="C2913" s="21" t="str">
        <f aca="false">IF(B2913="","",IFERROR(INDEX(代理店一覧!$B$5:$B$204,MATCH(B2913,代理店一覧!$A$5:$A$204,0)),"※未登録のID"))</f>
        <v/>
      </c>
      <c r="D2913" s="20"/>
      <c r="E2913" s="20"/>
      <c r="F2913" s="20"/>
      <c r="G2913" s="20"/>
      <c r="H2913" s="20"/>
      <c r="I2913" s="21"/>
    </row>
    <row r="2914" customFormat="false" ht="15" hidden="false" customHeight="false" outlineLevel="0" collapsed="false">
      <c r="A2914" s="30"/>
      <c r="B2914" s="21"/>
      <c r="C2914" s="21" t="str">
        <f aca="false">IF(B2914="","",IFERROR(INDEX(代理店一覧!$B$5:$B$204,MATCH(B2914,代理店一覧!$A$5:$A$204,0)),"※未登録のID"))</f>
        <v/>
      </c>
      <c r="D2914" s="20"/>
      <c r="E2914" s="20"/>
      <c r="F2914" s="20"/>
      <c r="G2914" s="20"/>
      <c r="H2914" s="20"/>
      <c r="I2914" s="21"/>
    </row>
    <row r="2915" customFormat="false" ht="15" hidden="false" customHeight="false" outlineLevel="0" collapsed="false">
      <c r="A2915" s="30"/>
      <c r="B2915" s="21"/>
      <c r="C2915" s="21" t="str">
        <f aca="false">IF(B2915="","",IFERROR(INDEX(代理店一覧!$B$5:$B$204,MATCH(B2915,代理店一覧!$A$5:$A$204,0)),"※未登録のID"))</f>
        <v/>
      </c>
      <c r="D2915" s="20"/>
      <c r="E2915" s="20"/>
      <c r="F2915" s="20"/>
      <c r="G2915" s="20"/>
      <c r="H2915" s="20"/>
      <c r="I2915" s="21"/>
    </row>
    <row r="2916" customFormat="false" ht="15" hidden="false" customHeight="false" outlineLevel="0" collapsed="false">
      <c r="A2916" s="30"/>
      <c r="B2916" s="21"/>
      <c r="C2916" s="21" t="str">
        <f aca="false">IF(B2916="","",IFERROR(INDEX(代理店一覧!$B$5:$B$204,MATCH(B2916,代理店一覧!$A$5:$A$204,0)),"※未登録のID"))</f>
        <v/>
      </c>
      <c r="D2916" s="20"/>
      <c r="E2916" s="20"/>
      <c r="F2916" s="20"/>
      <c r="G2916" s="20"/>
      <c r="H2916" s="20"/>
      <c r="I2916" s="21"/>
    </row>
    <row r="2917" customFormat="false" ht="15" hidden="false" customHeight="false" outlineLevel="0" collapsed="false">
      <c r="A2917" s="30"/>
      <c r="B2917" s="21"/>
      <c r="C2917" s="21" t="str">
        <f aca="false">IF(B2917="","",IFERROR(INDEX(代理店一覧!$B$5:$B$204,MATCH(B2917,代理店一覧!$A$5:$A$204,0)),"※未登録のID"))</f>
        <v/>
      </c>
      <c r="D2917" s="20"/>
      <c r="E2917" s="20"/>
      <c r="F2917" s="20"/>
      <c r="G2917" s="20"/>
      <c r="H2917" s="20"/>
      <c r="I2917" s="21"/>
    </row>
    <row r="2918" customFormat="false" ht="15" hidden="false" customHeight="false" outlineLevel="0" collapsed="false">
      <c r="A2918" s="30"/>
      <c r="B2918" s="21"/>
      <c r="C2918" s="21" t="str">
        <f aca="false">IF(B2918="","",IFERROR(INDEX(代理店一覧!$B$5:$B$204,MATCH(B2918,代理店一覧!$A$5:$A$204,0)),"※未登録のID"))</f>
        <v/>
      </c>
      <c r="D2918" s="20"/>
      <c r="E2918" s="20"/>
      <c r="F2918" s="20"/>
      <c r="G2918" s="20"/>
      <c r="H2918" s="20"/>
      <c r="I2918" s="21"/>
    </row>
    <row r="2919" customFormat="false" ht="15" hidden="false" customHeight="false" outlineLevel="0" collapsed="false">
      <c r="A2919" s="30"/>
      <c r="B2919" s="21"/>
      <c r="C2919" s="21" t="str">
        <f aca="false">IF(B2919="","",IFERROR(INDEX(代理店一覧!$B$5:$B$204,MATCH(B2919,代理店一覧!$A$5:$A$204,0)),"※未登録のID"))</f>
        <v/>
      </c>
      <c r="D2919" s="20"/>
      <c r="E2919" s="20"/>
      <c r="F2919" s="20"/>
      <c r="G2919" s="20"/>
      <c r="H2919" s="20"/>
      <c r="I2919" s="21"/>
    </row>
    <row r="2920" customFormat="false" ht="15" hidden="false" customHeight="false" outlineLevel="0" collapsed="false">
      <c r="A2920" s="30"/>
      <c r="B2920" s="21"/>
      <c r="C2920" s="21" t="str">
        <f aca="false">IF(B2920="","",IFERROR(INDEX(代理店一覧!$B$5:$B$204,MATCH(B2920,代理店一覧!$A$5:$A$204,0)),"※未登録のID"))</f>
        <v/>
      </c>
      <c r="D2920" s="20"/>
      <c r="E2920" s="20"/>
      <c r="F2920" s="20"/>
      <c r="G2920" s="20"/>
      <c r="H2920" s="20"/>
      <c r="I2920" s="21"/>
    </row>
    <row r="2921" customFormat="false" ht="15" hidden="false" customHeight="false" outlineLevel="0" collapsed="false">
      <c r="A2921" s="30"/>
      <c r="B2921" s="21"/>
      <c r="C2921" s="21" t="str">
        <f aca="false">IF(B2921="","",IFERROR(INDEX(代理店一覧!$B$5:$B$204,MATCH(B2921,代理店一覧!$A$5:$A$204,0)),"※未登録のID"))</f>
        <v/>
      </c>
      <c r="D2921" s="20"/>
      <c r="E2921" s="20"/>
      <c r="F2921" s="20"/>
      <c r="G2921" s="20"/>
      <c r="H2921" s="20"/>
      <c r="I2921" s="21"/>
    </row>
    <row r="2922" customFormat="false" ht="15" hidden="false" customHeight="false" outlineLevel="0" collapsed="false">
      <c r="A2922" s="30"/>
      <c r="B2922" s="21"/>
      <c r="C2922" s="21" t="str">
        <f aca="false">IF(B2922="","",IFERROR(INDEX(代理店一覧!$B$5:$B$204,MATCH(B2922,代理店一覧!$A$5:$A$204,0)),"※未登録のID"))</f>
        <v/>
      </c>
      <c r="D2922" s="20"/>
      <c r="E2922" s="20"/>
      <c r="F2922" s="20"/>
      <c r="G2922" s="20"/>
      <c r="H2922" s="20"/>
      <c r="I2922" s="21"/>
    </row>
    <row r="2923" customFormat="false" ht="15" hidden="false" customHeight="false" outlineLevel="0" collapsed="false">
      <c r="A2923" s="30"/>
      <c r="B2923" s="21"/>
      <c r="C2923" s="21" t="str">
        <f aca="false">IF(B2923="","",IFERROR(INDEX(代理店一覧!$B$5:$B$204,MATCH(B2923,代理店一覧!$A$5:$A$204,0)),"※未登録のID"))</f>
        <v/>
      </c>
      <c r="D2923" s="20"/>
      <c r="E2923" s="20"/>
      <c r="F2923" s="20"/>
      <c r="G2923" s="20"/>
      <c r="H2923" s="20"/>
      <c r="I2923" s="21"/>
    </row>
    <row r="2924" customFormat="false" ht="15" hidden="false" customHeight="false" outlineLevel="0" collapsed="false">
      <c r="A2924" s="30"/>
      <c r="B2924" s="21"/>
      <c r="C2924" s="21" t="str">
        <f aca="false">IF(B2924="","",IFERROR(INDEX(代理店一覧!$B$5:$B$204,MATCH(B2924,代理店一覧!$A$5:$A$204,0)),"※未登録のID"))</f>
        <v/>
      </c>
      <c r="D2924" s="20"/>
      <c r="E2924" s="20"/>
      <c r="F2924" s="20"/>
      <c r="G2924" s="20"/>
      <c r="H2924" s="20"/>
      <c r="I2924" s="21"/>
    </row>
    <row r="2925" customFormat="false" ht="15" hidden="false" customHeight="false" outlineLevel="0" collapsed="false">
      <c r="A2925" s="30"/>
      <c r="B2925" s="21"/>
      <c r="C2925" s="21" t="str">
        <f aca="false">IF(B2925="","",IFERROR(INDEX(代理店一覧!$B$5:$B$204,MATCH(B2925,代理店一覧!$A$5:$A$204,0)),"※未登録のID"))</f>
        <v/>
      </c>
      <c r="D2925" s="20"/>
      <c r="E2925" s="20"/>
      <c r="F2925" s="20"/>
      <c r="G2925" s="20"/>
      <c r="H2925" s="20"/>
      <c r="I2925" s="21"/>
    </row>
    <row r="2926" customFormat="false" ht="15" hidden="false" customHeight="false" outlineLevel="0" collapsed="false">
      <c r="A2926" s="30"/>
      <c r="B2926" s="21"/>
      <c r="C2926" s="21" t="str">
        <f aca="false">IF(B2926="","",IFERROR(INDEX(代理店一覧!$B$5:$B$204,MATCH(B2926,代理店一覧!$A$5:$A$204,0)),"※未登録のID"))</f>
        <v/>
      </c>
      <c r="D2926" s="20"/>
      <c r="E2926" s="20"/>
      <c r="F2926" s="20"/>
      <c r="G2926" s="20"/>
      <c r="H2926" s="20"/>
      <c r="I2926" s="21"/>
    </row>
    <row r="2927" customFormat="false" ht="15" hidden="false" customHeight="false" outlineLevel="0" collapsed="false">
      <c r="A2927" s="30"/>
      <c r="B2927" s="21"/>
      <c r="C2927" s="21" t="str">
        <f aca="false">IF(B2927="","",IFERROR(INDEX(代理店一覧!$B$5:$B$204,MATCH(B2927,代理店一覧!$A$5:$A$204,0)),"※未登録のID"))</f>
        <v/>
      </c>
      <c r="D2927" s="20"/>
      <c r="E2927" s="20"/>
      <c r="F2927" s="20"/>
      <c r="G2927" s="20"/>
      <c r="H2927" s="20"/>
      <c r="I2927" s="21"/>
    </row>
    <row r="2928" customFormat="false" ht="15" hidden="false" customHeight="false" outlineLevel="0" collapsed="false">
      <c r="A2928" s="30"/>
      <c r="B2928" s="21"/>
      <c r="C2928" s="21" t="str">
        <f aca="false">IF(B2928="","",IFERROR(INDEX(代理店一覧!$B$5:$B$204,MATCH(B2928,代理店一覧!$A$5:$A$204,0)),"※未登録のID"))</f>
        <v/>
      </c>
      <c r="D2928" s="20"/>
      <c r="E2928" s="20"/>
      <c r="F2928" s="20"/>
      <c r="G2928" s="20"/>
      <c r="H2928" s="20"/>
      <c r="I2928" s="21"/>
    </row>
    <row r="2929" customFormat="false" ht="15" hidden="false" customHeight="false" outlineLevel="0" collapsed="false">
      <c r="A2929" s="30"/>
      <c r="B2929" s="21"/>
      <c r="C2929" s="21" t="str">
        <f aca="false">IF(B2929="","",IFERROR(INDEX(代理店一覧!$B$5:$B$204,MATCH(B2929,代理店一覧!$A$5:$A$204,0)),"※未登録のID"))</f>
        <v/>
      </c>
      <c r="D2929" s="20"/>
      <c r="E2929" s="20"/>
      <c r="F2929" s="20"/>
      <c r="G2929" s="20"/>
      <c r="H2929" s="20"/>
      <c r="I2929" s="21"/>
    </row>
    <row r="2930" customFormat="false" ht="15" hidden="false" customHeight="false" outlineLevel="0" collapsed="false">
      <c r="A2930" s="30"/>
      <c r="B2930" s="21"/>
      <c r="C2930" s="21" t="str">
        <f aca="false">IF(B2930="","",IFERROR(INDEX(代理店一覧!$B$5:$B$204,MATCH(B2930,代理店一覧!$A$5:$A$204,0)),"※未登録のID"))</f>
        <v/>
      </c>
      <c r="D2930" s="20"/>
      <c r="E2930" s="20"/>
      <c r="F2930" s="20"/>
      <c r="G2930" s="20"/>
      <c r="H2930" s="20"/>
      <c r="I2930" s="21"/>
    </row>
    <row r="2931" customFormat="false" ht="15" hidden="false" customHeight="false" outlineLevel="0" collapsed="false">
      <c r="A2931" s="30"/>
      <c r="B2931" s="21"/>
      <c r="C2931" s="21" t="str">
        <f aca="false">IF(B2931="","",IFERROR(INDEX(代理店一覧!$B$5:$B$204,MATCH(B2931,代理店一覧!$A$5:$A$204,0)),"※未登録のID"))</f>
        <v/>
      </c>
      <c r="D2931" s="20"/>
      <c r="E2931" s="20"/>
      <c r="F2931" s="20"/>
      <c r="G2931" s="20"/>
      <c r="H2931" s="20"/>
      <c r="I2931" s="21"/>
    </row>
    <row r="2932" customFormat="false" ht="15" hidden="false" customHeight="false" outlineLevel="0" collapsed="false">
      <c r="A2932" s="30"/>
      <c r="B2932" s="21"/>
      <c r="C2932" s="21" t="str">
        <f aca="false">IF(B2932="","",IFERROR(INDEX(代理店一覧!$B$5:$B$204,MATCH(B2932,代理店一覧!$A$5:$A$204,0)),"※未登録のID"))</f>
        <v/>
      </c>
      <c r="D2932" s="20"/>
      <c r="E2932" s="20"/>
      <c r="F2932" s="20"/>
      <c r="G2932" s="20"/>
      <c r="H2932" s="20"/>
      <c r="I2932" s="21"/>
    </row>
    <row r="2933" customFormat="false" ht="15" hidden="false" customHeight="false" outlineLevel="0" collapsed="false">
      <c r="A2933" s="30"/>
      <c r="B2933" s="21"/>
      <c r="C2933" s="21" t="str">
        <f aca="false">IF(B2933="","",IFERROR(INDEX(代理店一覧!$B$5:$B$204,MATCH(B2933,代理店一覧!$A$5:$A$204,0)),"※未登録のID"))</f>
        <v/>
      </c>
      <c r="D2933" s="20"/>
      <c r="E2933" s="20"/>
      <c r="F2933" s="20"/>
      <c r="G2933" s="20"/>
      <c r="H2933" s="20"/>
      <c r="I2933" s="21"/>
    </row>
    <row r="2934" customFormat="false" ht="15" hidden="false" customHeight="false" outlineLevel="0" collapsed="false">
      <c r="A2934" s="30"/>
      <c r="B2934" s="21"/>
      <c r="C2934" s="21" t="str">
        <f aca="false">IF(B2934="","",IFERROR(INDEX(代理店一覧!$B$5:$B$204,MATCH(B2934,代理店一覧!$A$5:$A$204,0)),"※未登録のID"))</f>
        <v/>
      </c>
      <c r="D2934" s="20"/>
      <c r="E2934" s="20"/>
      <c r="F2934" s="20"/>
      <c r="G2934" s="20"/>
      <c r="H2934" s="20"/>
      <c r="I2934" s="21"/>
    </row>
    <row r="2935" customFormat="false" ht="15" hidden="false" customHeight="false" outlineLevel="0" collapsed="false">
      <c r="A2935" s="30"/>
      <c r="B2935" s="21"/>
      <c r="C2935" s="21" t="str">
        <f aca="false">IF(B2935="","",IFERROR(INDEX(代理店一覧!$B$5:$B$204,MATCH(B2935,代理店一覧!$A$5:$A$204,0)),"※未登録のID"))</f>
        <v/>
      </c>
      <c r="D2935" s="20"/>
      <c r="E2935" s="20"/>
      <c r="F2935" s="20"/>
      <c r="G2935" s="20"/>
      <c r="H2935" s="20"/>
      <c r="I2935" s="21"/>
    </row>
    <row r="2936" customFormat="false" ht="15" hidden="false" customHeight="false" outlineLevel="0" collapsed="false">
      <c r="A2936" s="30"/>
      <c r="B2936" s="21"/>
      <c r="C2936" s="21" t="str">
        <f aca="false">IF(B2936="","",IFERROR(INDEX(代理店一覧!$B$5:$B$204,MATCH(B2936,代理店一覧!$A$5:$A$204,0)),"※未登録のID"))</f>
        <v/>
      </c>
      <c r="D2936" s="20"/>
      <c r="E2936" s="20"/>
      <c r="F2936" s="20"/>
      <c r="G2936" s="20"/>
      <c r="H2936" s="20"/>
      <c r="I2936" s="21"/>
    </row>
    <row r="2937" customFormat="false" ht="15" hidden="false" customHeight="false" outlineLevel="0" collapsed="false">
      <c r="A2937" s="30"/>
      <c r="B2937" s="21"/>
      <c r="C2937" s="21" t="str">
        <f aca="false">IF(B2937="","",IFERROR(INDEX(代理店一覧!$B$5:$B$204,MATCH(B2937,代理店一覧!$A$5:$A$204,0)),"※未登録のID"))</f>
        <v/>
      </c>
      <c r="D2937" s="20"/>
      <c r="E2937" s="20"/>
      <c r="F2937" s="20"/>
      <c r="G2937" s="20"/>
      <c r="H2937" s="20"/>
      <c r="I2937" s="21"/>
    </row>
    <row r="2938" customFormat="false" ht="15" hidden="false" customHeight="false" outlineLevel="0" collapsed="false">
      <c r="A2938" s="30"/>
      <c r="B2938" s="21"/>
      <c r="C2938" s="21" t="str">
        <f aca="false">IF(B2938="","",IFERROR(INDEX(代理店一覧!$B$5:$B$204,MATCH(B2938,代理店一覧!$A$5:$A$204,0)),"※未登録のID"))</f>
        <v/>
      </c>
      <c r="D2938" s="20"/>
      <c r="E2938" s="20"/>
      <c r="F2938" s="20"/>
      <c r="G2938" s="20"/>
      <c r="H2938" s="20"/>
      <c r="I2938" s="21"/>
    </row>
    <row r="2939" customFormat="false" ht="15" hidden="false" customHeight="false" outlineLevel="0" collapsed="false">
      <c r="A2939" s="30"/>
      <c r="B2939" s="21"/>
      <c r="C2939" s="21" t="str">
        <f aca="false">IF(B2939="","",IFERROR(INDEX(代理店一覧!$B$5:$B$204,MATCH(B2939,代理店一覧!$A$5:$A$204,0)),"※未登録のID"))</f>
        <v/>
      </c>
      <c r="D2939" s="20"/>
      <c r="E2939" s="20"/>
      <c r="F2939" s="20"/>
      <c r="G2939" s="20"/>
      <c r="H2939" s="20"/>
      <c r="I2939" s="21"/>
    </row>
    <row r="2940" customFormat="false" ht="15" hidden="false" customHeight="false" outlineLevel="0" collapsed="false">
      <c r="A2940" s="30"/>
      <c r="B2940" s="21"/>
      <c r="C2940" s="21" t="str">
        <f aca="false">IF(B2940="","",IFERROR(INDEX(代理店一覧!$B$5:$B$204,MATCH(B2940,代理店一覧!$A$5:$A$204,0)),"※未登録のID"))</f>
        <v/>
      </c>
      <c r="D2940" s="20"/>
      <c r="E2940" s="20"/>
      <c r="F2940" s="20"/>
      <c r="G2940" s="20"/>
      <c r="H2940" s="20"/>
      <c r="I2940" s="21"/>
    </row>
    <row r="2941" customFormat="false" ht="15" hidden="false" customHeight="false" outlineLevel="0" collapsed="false">
      <c r="A2941" s="30"/>
      <c r="B2941" s="21"/>
      <c r="C2941" s="21" t="str">
        <f aca="false">IF(B2941="","",IFERROR(INDEX(代理店一覧!$B$5:$B$204,MATCH(B2941,代理店一覧!$A$5:$A$204,0)),"※未登録のID"))</f>
        <v/>
      </c>
      <c r="D2941" s="20"/>
      <c r="E2941" s="20"/>
      <c r="F2941" s="20"/>
      <c r="G2941" s="20"/>
      <c r="H2941" s="20"/>
      <c r="I2941" s="21"/>
    </row>
    <row r="2942" customFormat="false" ht="15" hidden="false" customHeight="false" outlineLevel="0" collapsed="false">
      <c r="A2942" s="30"/>
      <c r="B2942" s="21"/>
      <c r="C2942" s="21" t="str">
        <f aca="false">IF(B2942="","",IFERROR(INDEX(代理店一覧!$B$5:$B$204,MATCH(B2942,代理店一覧!$A$5:$A$204,0)),"※未登録のID"))</f>
        <v/>
      </c>
      <c r="D2942" s="20"/>
      <c r="E2942" s="20"/>
      <c r="F2942" s="20"/>
      <c r="G2942" s="20"/>
      <c r="H2942" s="20"/>
      <c r="I2942" s="21"/>
    </row>
    <row r="2943" customFormat="false" ht="15" hidden="false" customHeight="false" outlineLevel="0" collapsed="false">
      <c r="A2943" s="30"/>
      <c r="B2943" s="21"/>
      <c r="C2943" s="21" t="str">
        <f aca="false">IF(B2943="","",IFERROR(INDEX(代理店一覧!$B$5:$B$204,MATCH(B2943,代理店一覧!$A$5:$A$204,0)),"※未登録のID"))</f>
        <v/>
      </c>
      <c r="D2943" s="20"/>
      <c r="E2943" s="20"/>
      <c r="F2943" s="20"/>
      <c r="G2943" s="20"/>
      <c r="H2943" s="20"/>
      <c r="I2943" s="21"/>
    </row>
    <row r="2944" customFormat="false" ht="15" hidden="false" customHeight="false" outlineLevel="0" collapsed="false">
      <c r="A2944" s="30"/>
      <c r="B2944" s="21"/>
      <c r="C2944" s="21" t="str">
        <f aca="false">IF(B2944="","",IFERROR(INDEX(代理店一覧!$B$5:$B$204,MATCH(B2944,代理店一覧!$A$5:$A$204,0)),"※未登録のID"))</f>
        <v/>
      </c>
      <c r="D2944" s="20"/>
      <c r="E2944" s="20"/>
      <c r="F2944" s="20"/>
      <c r="G2944" s="20"/>
      <c r="H2944" s="20"/>
      <c r="I2944" s="21"/>
    </row>
    <row r="2945" customFormat="false" ht="15" hidden="false" customHeight="false" outlineLevel="0" collapsed="false">
      <c r="A2945" s="30"/>
      <c r="B2945" s="21"/>
      <c r="C2945" s="21" t="str">
        <f aca="false">IF(B2945="","",IFERROR(INDEX(代理店一覧!$B$5:$B$204,MATCH(B2945,代理店一覧!$A$5:$A$204,0)),"※未登録のID"))</f>
        <v/>
      </c>
      <c r="D2945" s="20"/>
      <c r="E2945" s="20"/>
      <c r="F2945" s="20"/>
      <c r="G2945" s="20"/>
      <c r="H2945" s="20"/>
      <c r="I2945" s="21"/>
    </row>
    <row r="2946" customFormat="false" ht="15" hidden="false" customHeight="false" outlineLevel="0" collapsed="false">
      <c r="A2946" s="30"/>
      <c r="B2946" s="21"/>
      <c r="C2946" s="21" t="str">
        <f aca="false">IF(B2946="","",IFERROR(INDEX(代理店一覧!$B$5:$B$204,MATCH(B2946,代理店一覧!$A$5:$A$204,0)),"※未登録のID"))</f>
        <v/>
      </c>
      <c r="D2946" s="20"/>
      <c r="E2946" s="20"/>
      <c r="F2946" s="20"/>
      <c r="G2946" s="20"/>
      <c r="H2946" s="20"/>
      <c r="I2946" s="21"/>
    </row>
    <row r="2947" customFormat="false" ht="15" hidden="false" customHeight="false" outlineLevel="0" collapsed="false">
      <c r="A2947" s="30"/>
      <c r="B2947" s="21"/>
      <c r="C2947" s="21" t="str">
        <f aca="false">IF(B2947="","",IFERROR(INDEX(代理店一覧!$B$5:$B$204,MATCH(B2947,代理店一覧!$A$5:$A$204,0)),"※未登録のID"))</f>
        <v/>
      </c>
      <c r="D2947" s="20"/>
      <c r="E2947" s="20"/>
      <c r="F2947" s="20"/>
      <c r="G2947" s="20"/>
      <c r="H2947" s="20"/>
      <c r="I2947" s="21"/>
    </row>
    <row r="2948" customFormat="false" ht="15" hidden="false" customHeight="false" outlineLevel="0" collapsed="false">
      <c r="A2948" s="30"/>
      <c r="B2948" s="21"/>
      <c r="C2948" s="21" t="str">
        <f aca="false">IF(B2948="","",IFERROR(INDEX(代理店一覧!$B$5:$B$204,MATCH(B2948,代理店一覧!$A$5:$A$204,0)),"※未登録のID"))</f>
        <v/>
      </c>
      <c r="D2948" s="20"/>
      <c r="E2948" s="20"/>
      <c r="F2948" s="20"/>
      <c r="G2948" s="20"/>
      <c r="H2948" s="20"/>
      <c r="I2948" s="21"/>
    </row>
    <row r="2949" customFormat="false" ht="15" hidden="false" customHeight="false" outlineLevel="0" collapsed="false">
      <c r="A2949" s="30"/>
      <c r="B2949" s="21"/>
      <c r="C2949" s="21" t="str">
        <f aca="false">IF(B2949="","",IFERROR(INDEX(代理店一覧!$B$5:$B$204,MATCH(B2949,代理店一覧!$A$5:$A$204,0)),"※未登録のID"))</f>
        <v/>
      </c>
      <c r="D2949" s="20"/>
      <c r="E2949" s="20"/>
      <c r="F2949" s="20"/>
      <c r="G2949" s="20"/>
      <c r="H2949" s="20"/>
      <c r="I2949" s="21"/>
    </row>
    <row r="2950" customFormat="false" ht="15" hidden="false" customHeight="false" outlineLevel="0" collapsed="false">
      <c r="A2950" s="30"/>
      <c r="B2950" s="21"/>
      <c r="C2950" s="21" t="str">
        <f aca="false">IF(B2950="","",IFERROR(INDEX(代理店一覧!$B$5:$B$204,MATCH(B2950,代理店一覧!$A$5:$A$204,0)),"※未登録のID"))</f>
        <v/>
      </c>
      <c r="D2950" s="20"/>
      <c r="E2950" s="20"/>
      <c r="F2950" s="20"/>
      <c r="G2950" s="20"/>
      <c r="H2950" s="20"/>
      <c r="I2950" s="21"/>
    </row>
    <row r="2951" customFormat="false" ht="15" hidden="false" customHeight="false" outlineLevel="0" collapsed="false">
      <c r="A2951" s="30"/>
      <c r="B2951" s="21"/>
      <c r="C2951" s="21" t="str">
        <f aca="false">IF(B2951="","",IFERROR(INDEX(代理店一覧!$B$5:$B$204,MATCH(B2951,代理店一覧!$A$5:$A$204,0)),"※未登録のID"))</f>
        <v/>
      </c>
      <c r="D2951" s="20"/>
      <c r="E2951" s="20"/>
      <c r="F2951" s="20"/>
      <c r="G2951" s="20"/>
      <c r="H2951" s="20"/>
      <c r="I2951" s="21"/>
    </row>
    <row r="2952" customFormat="false" ht="15" hidden="false" customHeight="false" outlineLevel="0" collapsed="false">
      <c r="A2952" s="30"/>
      <c r="B2952" s="21"/>
      <c r="C2952" s="21" t="str">
        <f aca="false">IF(B2952="","",IFERROR(INDEX(代理店一覧!$B$5:$B$204,MATCH(B2952,代理店一覧!$A$5:$A$204,0)),"※未登録のID"))</f>
        <v/>
      </c>
      <c r="D2952" s="20"/>
      <c r="E2952" s="20"/>
      <c r="F2952" s="20"/>
      <c r="G2952" s="20"/>
      <c r="H2952" s="20"/>
      <c r="I2952" s="21"/>
    </row>
    <row r="2953" customFormat="false" ht="15" hidden="false" customHeight="false" outlineLevel="0" collapsed="false">
      <c r="A2953" s="30"/>
      <c r="B2953" s="21"/>
      <c r="C2953" s="21" t="str">
        <f aca="false">IF(B2953="","",IFERROR(INDEX(代理店一覧!$B$5:$B$204,MATCH(B2953,代理店一覧!$A$5:$A$204,0)),"※未登録のID"))</f>
        <v/>
      </c>
      <c r="D2953" s="20"/>
      <c r="E2953" s="20"/>
      <c r="F2953" s="20"/>
      <c r="G2953" s="20"/>
      <c r="H2953" s="20"/>
      <c r="I2953" s="21"/>
    </row>
    <row r="2954" customFormat="false" ht="15" hidden="false" customHeight="false" outlineLevel="0" collapsed="false">
      <c r="A2954" s="30"/>
      <c r="B2954" s="21"/>
      <c r="C2954" s="21" t="str">
        <f aca="false">IF(B2954="","",IFERROR(INDEX(代理店一覧!$B$5:$B$204,MATCH(B2954,代理店一覧!$A$5:$A$204,0)),"※未登録のID"))</f>
        <v/>
      </c>
      <c r="D2954" s="20"/>
      <c r="E2954" s="20"/>
      <c r="F2954" s="20"/>
      <c r="G2954" s="20"/>
      <c r="H2954" s="20"/>
      <c r="I2954" s="21"/>
    </row>
    <row r="2955" customFormat="false" ht="15" hidden="false" customHeight="false" outlineLevel="0" collapsed="false">
      <c r="A2955" s="30"/>
      <c r="B2955" s="21"/>
      <c r="C2955" s="21" t="str">
        <f aca="false">IF(B2955="","",IFERROR(INDEX(代理店一覧!$B$5:$B$204,MATCH(B2955,代理店一覧!$A$5:$A$204,0)),"※未登録のID"))</f>
        <v/>
      </c>
      <c r="D2955" s="20"/>
      <c r="E2955" s="20"/>
      <c r="F2955" s="20"/>
      <c r="G2955" s="20"/>
      <c r="H2955" s="20"/>
      <c r="I2955" s="21"/>
    </row>
    <row r="2956" customFormat="false" ht="15" hidden="false" customHeight="false" outlineLevel="0" collapsed="false">
      <c r="A2956" s="30"/>
      <c r="B2956" s="21"/>
      <c r="C2956" s="21" t="str">
        <f aca="false">IF(B2956="","",IFERROR(INDEX(代理店一覧!$B$5:$B$204,MATCH(B2956,代理店一覧!$A$5:$A$204,0)),"※未登録のID"))</f>
        <v/>
      </c>
      <c r="D2956" s="20"/>
      <c r="E2956" s="20"/>
      <c r="F2956" s="20"/>
      <c r="G2956" s="20"/>
      <c r="H2956" s="20"/>
      <c r="I2956" s="21"/>
    </row>
    <row r="2957" customFormat="false" ht="15" hidden="false" customHeight="false" outlineLevel="0" collapsed="false">
      <c r="A2957" s="30"/>
      <c r="B2957" s="21"/>
      <c r="C2957" s="21" t="str">
        <f aca="false">IF(B2957="","",IFERROR(INDEX(代理店一覧!$B$5:$B$204,MATCH(B2957,代理店一覧!$A$5:$A$204,0)),"※未登録のID"))</f>
        <v/>
      </c>
      <c r="D2957" s="20"/>
      <c r="E2957" s="20"/>
      <c r="F2957" s="20"/>
      <c r="G2957" s="20"/>
      <c r="H2957" s="20"/>
      <c r="I2957" s="21"/>
    </row>
    <row r="2958" customFormat="false" ht="15" hidden="false" customHeight="false" outlineLevel="0" collapsed="false">
      <c r="A2958" s="30"/>
      <c r="B2958" s="21"/>
      <c r="C2958" s="21" t="str">
        <f aca="false">IF(B2958="","",IFERROR(INDEX(代理店一覧!$B$5:$B$204,MATCH(B2958,代理店一覧!$A$5:$A$204,0)),"※未登録のID"))</f>
        <v/>
      </c>
      <c r="D2958" s="20"/>
      <c r="E2958" s="20"/>
      <c r="F2958" s="20"/>
      <c r="G2958" s="20"/>
      <c r="H2958" s="20"/>
      <c r="I2958" s="21"/>
    </row>
    <row r="2959" customFormat="false" ht="15" hidden="false" customHeight="false" outlineLevel="0" collapsed="false">
      <c r="A2959" s="30"/>
      <c r="B2959" s="21"/>
      <c r="C2959" s="21" t="str">
        <f aca="false">IF(B2959="","",IFERROR(INDEX(代理店一覧!$B$5:$B$204,MATCH(B2959,代理店一覧!$A$5:$A$204,0)),"※未登録のID"))</f>
        <v/>
      </c>
      <c r="D2959" s="20"/>
      <c r="E2959" s="20"/>
      <c r="F2959" s="20"/>
      <c r="G2959" s="20"/>
      <c r="H2959" s="20"/>
      <c r="I2959" s="21"/>
    </row>
    <row r="2960" customFormat="false" ht="15" hidden="false" customHeight="false" outlineLevel="0" collapsed="false">
      <c r="A2960" s="30"/>
      <c r="B2960" s="21"/>
      <c r="C2960" s="21" t="str">
        <f aca="false">IF(B2960="","",IFERROR(INDEX(代理店一覧!$B$5:$B$204,MATCH(B2960,代理店一覧!$A$5:$A$204,0)),"※未登録のID"))</f>
        <v/>
      </c>
      <c r="D2960" s="20"/>
      <c r="E2960" s="20"/>
      <c r="F2960" s="20"/>
      <c r="G2960" s="20"/>
      <c r="H2960" s="20"/>
      <c r="I2960" s="21"/>
    </row>
    <row r="2961" customFormat="false" ht="15" hidden="false" customHeight="false" outlineLevel="0" collapsed="false">
      <c r="A2961" s="30"/>
      <c r="B2961" s="21"/>
      <c r="C2961" s="21" t="str">
        <f aca="false">IF(B2961="","",IFERROR(INDEX(代理店一覧!$B$5:$B$204,MATCH(B2961,代理店一覧!$A$5:$A$204,0)),"※未登録のID"))</f>
        <v/>
      </c>
      <c r="D2961" s="20"/>
      <c r="E2961" s="20"/>
      <c r="F2961" s="20"/>
      <c r="G2961" s="20"/>
      <c r="H2961" s="20"/>
      <c r="I2961" s="21"/>
    </row>
    <row r="2962" customFormat="false" ht="15" hidden="false" customHeight="false" outlineLevel="0" collapsed="false">
      <c r="A2962" s="30"/>
      <c r="B2962" s="21"/>
      <c r="C2962" s="21" t="str">
        <f aca="false">IF(B2962="","",IFERROR(INDEX(代理店一覧!$B$5:$B$204,MATCH(B2962,代理店一覧!$A$5:$A$204,0)),"※未登録のID"))</f>
        <v/>
      </c>
      <c r="D2962" s="20"/>
      <c r="E2962" s="20"/>
      <c r="F2962" s="20"/>
      <c r="G2962" s="20"/>
      <c r="H2962" s="20"/>
      <c r="I2962" s="21"/>
    </row>
    <row r="2963" customFormat="false" ht="15" hidden="false" customHeight="false" outlineLevel="0" collapsed="false">
      <c r="A2963" s="30"/>
      <c r="B2963" s="21"/>
      <c r="C2963" s="21" t="str">
        <f aca="false">IF(B2963="","",IFERROR(INDEX(代理店一覧!$B$5:$B$204,MATCH(B2963,代理店一覧!$A$5:$A$204,0)),"※未登録のID"))</f>
        <v/>
      </c>
      <c r="D2963" s="20"/>
      <c r="E2963" s="20"/>
      <c r="F2963" s="20"/>
      <c r="G2963" s="20"/>
      <c r="H2963" s="20"/>
      <c r="I2963" s="21"/>
    </row>
    <row r="2964" customFormat="false" ht="15" hidden="false" customHeight="false" outlineLevel="0" collapsed="false">
      <c r="A2964" s="30"/>
      <c r="B2964" s="21"/>
      <c r="C2964" s="21" t="str">
        <f aca="false">IF(B2964="","",IFERROR(INDEX(代理店一覧!$B$5:$B$204,MATCH(B2964,代理店一覧!$A$5:$A$204,0)),"※未登録のID"))</f>
        <v/>
      </c>
      <c r="D2964" s="20"/>
      <c r="E2964" s="20"/>
      <c r="F2964" s="20"/>
      <c r="G2964" s="20"/>
      <c r="H2964" s="20"/>
      <c r="I2964" s="21"/>
    </row>
    <row r="2965" customFormat="false" ht="15" hidden="false" customHeight="false" outlineLevel="0" collapsed="false">
      <c r="A2965" s="30"/>
      <c r="B2965" s="21"/>
      <c r="C2965" s="21" t="str">
        <f aca="false">IF(B2965="","",IFERROR(INDEX(代理店一覧!$B$5:$B$204,MATCH(B2965,代理店一覧!$A$5:$A$204,0)),"※未登録のID"))</f>
        <v/>
      </c>
      <c r="D2965" s="20"/>
      <c r="E2965" s="20"/>
      <c r="F2965" s="20"/>
      <c r="G2965" s="20"/>
      <c r="H2965" s="20"/>
      <c r="I2965" s="21"/>
    </row>
    <row r="2966" customFormat="false" ht="15" hidden="false" customHeight="false" outlineLevel="0" collapsed="false">
      <c r="A2966" s="30"/>
      <c r="B2966" s="21"/>
      <c r="C2966" s="21" t="str">
        <f aca="false">IF(B2966="","",IFERROR(INDEX(代理店一覧!$B$5:$B$204,MATCH(B2966,代理店一覧!$A$5:$A$204,0)),"※未登録のID"))</f>
        <v/>
      </c>
      <c r="D2966" s="20"/>
      <c r="E2966" s="20"/>
      <c r="F2966" s="20"/>
      <c r="G2966" s="20"/>
      <c r="H2966" s="20"/>
      <c r="I2966" s="21"/>
    </row>
    <row r="2967" customFormat="false" ht="15" hidden="false" customHeight="false" outlineLevel="0" collapsed="false">
      <c r="A2967" s="30"/>
      <c r="B2967" s="21"/>
      <c r="C2967" s="21" t="str">
        <f aca="false">IF(B2967="","",IFERROR(INDEX(代理店一覧!$B$5:$B$204,MATCH(B2967,代理店一覧!$A$5:$A$204,0)),"※未登録のID"))</f>
        <v/>
      </c>
      <c r="D2967" s="20"/>
      <c r="E2967" s="20"/>
      <c r="F2967" s="20"/>
      <c r="G2967" s="20"/>
      <c r="H2967" s="20"/>
      <c r="I2967" s="21"/>
    </row>
    <row r="2968" customFormat="false" ht="15" hidden="false" customHeight="false" outlineLevel="0" collapsed="false">
      <c r="A2968" s="30"/>
      <c r="B2968" s="21"/>
      <c r="C2968" s="21" t="str">
        <f aca="false">IF(B2968="","",IFERROR(INDEX(代理店一覧!$B$5:$B$204,MATCH(B2968,代理店一覧!$A$5:$A$204,0)),"※未登録のID"))</f>
        <v/>
      </c>
      <c r="D2968" s="20"/>
      <c r="E2968" s="20"/>
      <c r="F2968" s="20"/>
      <c r="G2968" s="20"/>
      <c r="H2968" s="20"/>
      <c r="I2968" s="21"/>
    </row>
    <row r="2969" customFormat="false" ht="15" hidden="false" customHeight="false" outlineLevel="0" collapsed="false">
      <c r="A2969" s="30"/>
      <c r="B2969" s="21"/>
      <c r="C2969" s="21" t="str">
        <f aca="false">IF(B2969="","",IFERROR(INDEX(代理店一覧!$B$5:$B$204,MATCH(B2969,代理店一覧!$A$5:$A$204,0)),"※未登録のID"))</f>
        <v/>
      </c>
      <c r="D2969" s="20"/>
      <c r="E2969" s="20"/>
      <c r="F2969" s="20"/>
      <c r="G2969" s="20"/>
      <c r="H2969" s="20"/>
      <c r="I2969" s="21"/>
    </row>
    <row r="2970" customFormat="false" ht="15" hidden="false" customHeight="false" outlineLevel="0" collapsed="false">
      <c r="A2970" s="30"/>
      <c r="B2970" s="21"/>
      <c r="C2970" s="21" t="str">
        <f aca="false">IF(B2970="","",IFERROR(INDEX(代理店一覧!$B$5:$B$204,MATCH(B2970,代理店一覧!$A$5:$A$204,0)),"※未登録のID"))</f>
        <v/>
      </c>
      <c r="D2970" s="20"/>
      <c r="E2970" s="20"/>
      <c r="F2970" s="20"/>
      <c r="G2970" s="20"/>
      <c r="H2970" s="20"/>
      <c r="I2970" s="21"/>
    </row>
    <row r="2971" customFormat="false" ht="15" hidden="false" customHeight="false" outlineLevel="0" collapsed="false">
      <c r="A2971" s="30"/>
      <c r="B2971" s="21"/>
      <c r="C2971" s="21" t="str">
        <f aca="false">IF(B2971="","",IFERROR(INDEX(代理店一覧!$B$5:$B$204,MATCH(B2971,代理店一覧!$A$5:$A$204,0)),"※未登録のID"))</f>
        <v/>
      </c>
      <c r="D2971" s="20"/>
      <c r="E2971" s="20"/>
      <c r="F2971" s="20"/>
      <c r="G2971" s="20"/>
      <c r="H2971" s="20"/>
      <c r="I2971" s="21"/>
    </row>
    <row r="2972" customFormat="false" ht="15" hidden="false" customHeight="false" outlineLevel="0" collapsed="false">
      <c r="A2972" s="30"/>
      <c r="B2972" s="21"/>
      <c r="C2972" s="21" t="str">
        <f aca="false">IF(B2972="","",IFERROR(INDEX(代理店一覧!$B$5:$B$204,MATCH(B2972,代理店一覧!$A$5:$A$204,0)),"※未登録のID"))</f>
        <v/>
      </c>
      <c r="D2972" s="20"/>
      <c r="E2972" s="20"/>
      <c r="F2972" s="20"/>
      <c r="G2972" s="20"/>
      <c r="H2972" s="20"/>
      <c r="I2972" s="21"/>
    </row>
    <row r="2973" customFormat="false" ht="15" hidden="false" customHeight="false" outlineLevel="0" collapsed="false">
      <c r="A2973" s="30"/>
      <c r="B2973" s="21"/>
      <c r="C2973" s="21" t="str">
        <f aca="false">IF(B2973="","",IFERROR(INDEX(代理店一覧!$B$5:$B$204,MATCH(B2973,代理店一覧!$A$5:$A$204,0)),"※未登録のID"))</f>
        <v/>
      </c>
      <c r="D2973" s="20"/>
      <c r="E2973" s="20"/>
      <c r="F2973" s="20"/>
      <c r="G2973" s="20"/>
      <c r="H2973" s="20"/>
      <c r="I2973" s="21"/>
    </row>
    <row r="2974" customFormat="false" ht="15" hidden="false" customHeight="false" outlineLevel="0" collapsed="false">
      <c r="A2974" s="30"/>
      <c r="B2974" s="21"/>
      <c r="C2974" s="21" t="str">
        <f aca="false">IF(B2974="","",IFERROR(INDEX(代理店一覧!$B$5:$B$204,MATCH(B2974,代理店一覧!$A$5:$A$204,0)),"※未登録のID"))</f>
        <v/>
      </c>
      <c r="D2974" s="20"/>
      <c r="E2974" s="20"/>
      <c r="F2974" s="20"/>
      <c r="G2974" s="20"/>
      <c r="H2974" s="20"/>
      <c r="I2974" s="21"/>
    </row>
    <row r="2975" customFormat="false" ht="15" hidden="false" customHeight="false" outlineLevel="0" collapsed="false">
      <c r="A2975" s="30"/>
      <c r="B2975" s="21"/>
      <c r="C2975" s="21" t="str">
        <f aca="false">IF(B2975="","",IFERROR(INDEX(代理店一覧!$B$5:$B$204,MATCH(B2975,代理店一覧!$A$5:$A$204,0)),"※未登録のID"))</f>
        <v/>
      </c>
      <c r="D2975" s="20"/>
      <c r="E2975" s="20"/>
      <c r="F2975" s="20"/>
      <c r="G2975" s="20"/>
      <c r="H2975" s="20"/>
      <c r="I2975" s="21"/>
    </row>
    <row r="2976" customFormat="false" ht="15" hidden="false" customHeight="false" outlineLevel="0" collapsed="false">
      <c r="A2976" s="30"/>
      <c r="B2976" s="21"/>
      <c r="C2976" s="21" t="str">
        <f aca="false">IF(B2976="","",IFERROR(INDEX(代理店一覧!$B$5:$B$204,MATCH(B2976,代理店一覧!$A$5:$A$204,0)),"※未登録のID"))</f>
        <v/>
      </c>
      <c r="D2976" s="20"/>
      <c r="E2976" s="20"/>
      <c r="F2976" s="20"/>
      <c r="G2976" s="20"/>
      <c r="H2976" s="20"/>
      <c r="I2976" s="21"/>
    </row>
    <row r="2977" customFormat="false" ht="15" hidden="false" customHeight="false" outlineLevel="0" collapsed="false">
      <c r="A2977" s="30"/>
      <c r="B2977" s="21"/>
      <c r="C2977" s="21" t="str">
        <f aca="false">IF(B2977="","",IFERROR(INDEX(代理店一覧!$B$5:$B$204,MATCH(B2977,代理店一覧!$A$5:$A$204,0)),"※未登録のID"))</f>
        <v/>
      </c>
      <c r="D2977" s="20"/>
      <c r="E2977" s="20"/>
      <c r="F2977" s="20"/>
      <c r="G2977" s="20"/>
      <c r="H2977" s="20"/>
      <c r="I2977" s="21"/>
    </row>
    <row r="2978" customFormat="false" ht="15" hidden="false" customHeight="false" outlineLevel="0" collapsed="false">
      <c r="A2978" s="30"/>
      <c r="B2978" s="21"/>
      <c r="C2978" s="21" t="str">
        <f aca="false">IF(B2978="","",IFERROR(INDEX(代理店一覧!$B$5:$B$204,MATCH(B2978,代理店一覧!$A$5:$A$204,0)),"※未登録のID"))</f>
        <v/>
      </c>
      <c r="D2978" s="20"/>
      <c r="E2978" s="20"/>
      <c r="F2978" s="20"/>
      <c r="G2978" s="20"/>
      <c r="H2978" s="20"/>
      <c r="I2978" s="21"/>
    </row>
    <row r="2979" customFormat="false" ht="15" hidden="false" customHeight="false" outlineLevel="0" collapsed="false">
      <c r="A2979" s="30"/>
      <c r="B2979" s="21"/>
      <c r="C2979" s="21" t="str">
        <f aca="false">IF(B2979="","",IFERROR(INDEX(代理店一覧!$B$5:$B$204,MATCH(B2979,代理店一覧!$A$5:$A$204,0)),"※未登録のID"))</f>
        <v/>
      </c>
      <c r="D2979" s="20"/>
      <c r="E2979" s="20"/>
      <c r="F2979" s="20"/>
      <c r="G2979" s="20"/>
      <c r="H2979" s="20"/>
      <c r="I2979" s="21"/>
    </row>
    <row r="2980" customFormat="false" ht="15" hidden="false" customHeight="false" outlineLevel="0" collapsed="false">
      <c r="A2980" s="30"/>
      <c r="B2980" s="21"/>
      <c r="C2980" s="21" t="str">
        <f aca="false">IF(B2980="","",IFERROR(INDEX(代理店一覧!$B$5:$B$204,MATCH(B2980,代理店一覧!$A$5:$A$204,0)),"※未登録のID"))</f>
        <v/>
      </c>
      <c r="D2980" s="20"/>
      <c r="E2980" s="20"/>
      <c r="F2980" s="20"/>
      <c r="G2980" s="20"/>
      <c r="H2980" s="20"/>
      <c r="I2980" s="21"/>
    </row>
    <row r="2981" customFormat="false" ht="15" hidden="false" customHeight="false" outlineLevel="0" collapsed="false">
      <c r="A2981" s="30"/>
      <c r="B2981" s="21"/>
      <c r="C2981" s="21" t="str">
        <f aca="false">IF(B2981="","",IFERROR(INDEX(代理店一覧!$B$5:$B$204,MATCH(B2981,代理店一覧!$A$5:$A$204,0)),"※未登録のID"))</f>
        <v/>
      </c>
      <c r="D2981" s="20"/>
      <c r="E2981" s="20"/>
      <c r="F2981" s="20"/>
      <c r="G2981" s="20"/>
      <c r="H2981" s="20"/>
      <c r="I2981" s="21"/>
    </row>
    <row r="2982" customFormat="false" ht="15" hidden="false" customHeight="false" outlineLevel="0" collapsed="false">
      <c r="A2982" s="30"/>
      <c r="B2982" s="21"/>
      <c r="C2982" s="21" t="str">
        <f aca="false">IF(B2982="","",IFERROR(INDEX(代理店一覧!$B$5:$B$204,MATCH(B2982,代理店一覧!$A$5:$A$204,0)),"※未登録のID"))</f>
        <v/>
      </c>
      <c r="D2982" s="20"/>
      <c r="E2982" s="20"/>
      <c r="F2982" s="20"/>
      <c r="G2982" s="20"/>
      <c r="H2982" s="20"/>
      <c r="I2982" s="21"/>
    </row>
    <row r="2983" customFormat="false" ht="15" hidden="false" customHeight="false" outlineLevel="0" collapsed="false">
      <c r="A2983" s="30"/>
      <c r="B2983" s="21"/>
      <c r="C2983" s="21" t="str">
        <f aca="false">IF(B2983="","",IFERROR(INDEX(代理店一覧!$B$5:$B$204,MATCH(B2983,代理店一覧!$A$5:$A$204,0)),"※未登録のID"))</f>
        <v/>
      </c>
      <c r="D2983" s="20"/>
      <c r="E2983" s="20"/>
      <c r="F2983" s="20"/>
      <c r="G2983" s="20"/>
      <c r="H2983" s="20"/>
      <c r="I2983" s="21"/>
    </row>
    <row r="2984" customFormat="false" ht="15" hidden="false" customHeight="false" outlineLevel="0" collapsed="false">
      <c r="A2984" s="30"/>
      <c r="B2984" s="21"/>
      <c r="C2984" s="21" t="str">
        <f aca="false">IF(B2984="","",IFERROR(INDEX(代理店一覧!$B$5:$B$204,MATCH(B2984,代理店一覧!$A$5:$A$204,0)),"※未登録のID"))</f>
        <v/>
      </c>
      <c r="D2984" s="20"/>
      <c r="E2984" s="20"/>
      <c r="F2984" s="20"/>
      <c r="G2984" s="20"/>
      <c r="H2984" s="20"/>
      <c r="I2984" s="21"/>
    </row>
    <row r="2985" customFormat="false" ht="15" hidden="false" customHeight="false" outlineLevel="0" collapsed="false">
      <c r="A2985" s="30"/>
      <c r="B2985" s="21"/>
      <c r="C2985" s="21" t="str">
        <f aca="false">IF(B2985="","",IFERROR(INDEX(代理店一覧!$B$5:$B$204,MATCH(B2985,代理店一覧!$A$5:$A$204,0)),"※未登録のID"))</f>
        <v/>
      </c>
      <c r="D2985" s="20"/>
      <c r="E2985" s="20"/>
      <c r="F2985" s="20"/>
      <c r="G2985" s="20"/>
      <c r="H2985" s="20"/>
      <c r="I2985" s="21"/>
    </row>
    <row r="2986" customFormat="false" ht="15" hidden="false" customHeight="false" outlineLevel="0" collapsed="false">
      <c r="A2986" s="30"/>
      <c r="B2986" s="21"/>
      <c r="C2986" s="21" t="str">
        <f aca="false">IF(B2986="","",IFERROR(INDEX(代理店一覧!$B$5:$B$204,MATCH(B2986,代理店一覧!$A$5:$A$204,0)),"※未登録のID"))</f>
        <v/>
      </c>
      <c r="D2986" s="20"/>
      <c r="E2986" s="20"/>
      <c r="F2986" s="20"/>
      <c r="G2986" s="20"/>
      <c r="H2986" s="20"/>
      <c r="I2986" s="21"/>
    </row>
    <row r="2987" customFormat="false" ht="15" hidden="false" customHeight="false" outlineLevel="0" collapsed="false">
      <c r="A2987" s="30"/>
      <c r="B2987" s="21"/>
      <c r="C2987" s="21" t="str">
        <f aca="false">IF(B2987="","",IFERROR(INDEX(代理店一覧!$B$5:$B$204,MATCH(B2987,代理店一覧!$A$5:$A$204,0)),"※未登録のID"))</f>
        <v/>
      </c>
      <c r="D2987" s="20"/>
      <c r="E2987" s="20"/>
      <c r="F2987" s="20"/>
      <c r="G2987" s="20"/>
      <c r="H2987" s="20"/>
      <c r="I2987" s="21"/>
    </row>
    <row r="2988" customFormat="false" ht="15" hidden="false" customHeight="false" outlineLevel="0" collapsed="false">
      <c r="A2988" s="30"/>
      <c r="B2988" s="21"/>
      <c r="C2988" s="21" t="str">
        <f aca="false">IF(B2988="","",IFERROR(INDEX(代理店一覧!$B$5:$B$204,MATCH(B2988,代理店一覧!$A$5:$A$204,0)),"※未登録のID"))</f>
        <v/>
      </c>
      <c r="D2988" s="20"/>
      <c r="E2988" s="20"/>
      <c r="F2988" s="20"/>
      <c r="G2988" s="20"/>
      <c r="H2988" s="20"/>
      <c r="I2988" s="21"/>
    </row>
    <row r="2989" customFormat="false" ht="15" hidden="false" customHeight="false" outlineLevel="0" collapsed="false">
      <c r="A2989" s="30"/>
      <c r="B2989" s="21"/>
      <c r="C2989" s="21" t="str">
        <f aca="false">IF(B2989="","",IFERROR(INDEX(代理店一覧!$B$5:$B$204,MATCH(B2989,代理店一覧!$A$5:$A$204,0)),"※未登録のID"))</f>
        <v/>
      </c>
      <c r="D2989" s="20"/>
      <c r="E2989" s="20"/>
      <c r="F2989" s="20"/>
      <c r="G2989" s="20"/>
      <c r="H2989" s="20"/>
      <c r="I2989" s="21"/>
    </row>
    <row r="2990" customFormat="false" ht="15" hidden="false" customHeight="false" outlineLevel="0" collapsed="false">
      <c r="A2990" s="30"/>
      <c r="B2990" s="21"/>
      <c r="C2990" s="21" t="str">
        <f aca="false">IF(B2990="","",IFERROR(INDEX(代理店一覧!$B$5:$B$204,MATCH(B2990,代理店一覧!$A$5:$A$204,0)),"※未登録のID"))</f>
        <v/>
      </c>
      <c r="D2990" s="20"/>
      <c r="E2990" s="20"/>
      <c r="F2990" s="20"/>
      <c r="G2990" s="20"/>
      <c r="H2990" s="20"/>
      <c r="I2990" s="21"/>
    </row>
    <row r="2991" customFormat="false" ht="15" hidden="false" customHeight="false" outlineLevel="0" collapsed="false">
      <c r="A2991" s="30"/>
      <c r="B2991" s="21"/>
      <c r="C2991" s="21" t="str">
        <f aca="false">IF(B2991="","",IFERROR(INDEX(代理店一覧!$B$5:$B$204,MATCH(B2991,代理店一覧!$A$5:$A$204,0)),"※未登録のID"))</f>
        <v/>
      </c>
      <c r="D2991" s="20"/>
      <c r="E2991" s="20"/>
      <c r="F2991" s="20"/>
      <c r="G2991" s="20"/>
      <c r="H2991" s="20"/>
      <c r="I2991" s="21"/>
    </row>
    <row r="2992" customFormat="false" ht="15" hidden="false" customHeight="false" outlineLevel="0" collapsed="false">
      <c r="A2992" s="30"/>
      <c r="B2992" s="21"/>
      <c r="C2992" s="21" t="str">
        <f aca="false">IF(B2992="","",IFERROR(INDEX(代理店一覧!$B$5:$B$204,MATCH(B2992,代理店一覧!$A$5:$A$204,0)),"※未登録のID"))</f>
        <v/>
      </c>
      <c r="D2992" s="20"/>
      <c r="E2992" s="20"/>
      <c r="F2992" s="20"/>
      <c r="G2992" s="20"/>
      <c r="H2992" s="20"/>
      <c r="I2992" s="21"/>
    </row>
    <row r="2993" customFormat="false" ht="15" hidden="false" customHeight="false" outlineLevel="0" collapsed="false">
      <c r="A2993" s="30"/>
      <c r="B2993" s="21"/>
      <c r="C2993" s="21" t="str">
        <f aca="false">IF(B2993="","",IFERROR(INDEX(代理店一覧!$B$5:$B$204,MATCH(B2993,代理店一覧!$A$5:$A$204,0)),"※未登録のID"))</f>
        <v/>
      </c>
      <c r="D2993" s="20"/>
      <c r="E2993" s="20"/>
      <c r="F2993" s="20"/>
      <c r="G2993" s="20"/>
      <c r="H2993" s="20"/>
      <c r="I2993" s="21"/>
    </row>
    <row r="2994" customFormat="false" ht="15" hidden="false" customHeight="false" outlineLevel="0" collapsed="false">
      <c r="A2994" s="30"/>
      <c r="B2994" s="21"/>
      <c r="C2994" s="21" t="str">
        <f aca="false">IF(B2994="","",IFERROR(INDEX(代理店一覧!$B$5:$B$204,MATCH(B2994,代理店一覧!$A$5:$A$204,0)),"※未登録のID"))</f>
        <v/>
      </c>
      <c r="D2994" s="20"/>
      <c r="E2994" s="20"/>
      <c r="F2994" s="20"/>
      <c r="G2994" s="20"/>
      <c r="H2994" s="20"/>
      <c r="I2994" s="21"/>
    </row>
    <row r="2995" customFormat="false" ht="15" hidden="false" customHeight="false" outlineLevel="0" collapsed="false">
      <c r="A2995" s="30"/>
      <c r="B2995" s="21"/>
      <c r="C2995" s="21" t="str">
        <f aca="false">IF(B2995="","",IFERROR(INDEX(代理店一覧!$B$5:$B$204,MATCH(B2995,代理店一覧!$A$5:$A$204,0)),"※未登録のID"))</f>
        <v/>
      </c>
      <c r="D2995" s="20"/>
      <c r="E2995" s="20"/>
      <c r="F2995" s="20"/>
      <c r="G2995" s="20"/>
      <c r="H2995" s="20"/>
      <c r="I2995" s="21"/>
    </row>
    <row r="2996" customFormat="false" ht="15" hidden="false" customHeight="false" outlineLevel="0" collapsed="false">
      <c r="A2996" s="30"/>
      <c r="B2996" s="21"/>
      <c r="C2996" s="21" t="str">
        <f aca="false">IF(B2996="","",IFERROR(INDEX(代理店一覧!$B$5:$B$204,MATCH(B2996,代理店一覧!$A$5:$A$204,0)),"※未登録のID"))</f>
        <v/>
      </c>
      <c r="D2996" s="20"/>
      <c r="E2996" s="20"/>
      <c r="F2996" s="20"/>
      <c r="G2996" s="20"/>
      <c r="H2996" s="20"/>
      <c r="I2996" s="21"/>
    </row>
    <row r="2997" customFormat="false" ht="15" hidden="false" customHeight="false" outlineLevel="0" collapsed="false">
      <c r="A2997" s="30"/>
      <c r="B2997" s="21"/>
      <c r="C2997" s="21" t="str">
        <f aca="false">IF(B2997="","",IFERROR(INDEX(代理店一覧!$B$5:$B$204,MATCH(B2997,代理店一覧!$A$5:$A$204,0)),"※未登録のID"))</f>
        <v/>
      </c>
      <c r="D2997" s="20"/>
      <c r="E2997" s="20"/>
      <c r="F2997" s="20"/>
      <c r="G2997" s="20"/>
      <c r="H2997" s="20"/>
      <c r="I2997" s="21"/>
    </row>
    <row r="2998" customFormat="false" ht="15" hidden="false" customHeight="false" outlineLevel="0" collapsed="false">
      <c r="A2998" s="30"/>
      <c r="B2998" s="21"/>
      <c r="C2998" s="21" t="str">
        <f aca="false">IF(B2998="","",IFERROR(INDEX(代理店一覧!$B$5:$B$204,MATCH(B2998,代理店一覧!$A$5:$A$204,0)),"※未登録のID"))</f>
        <v/>
      </c>
      <c r="D2998" s="20"/>
      <c r="E2998" s="20"/>
      <c r="F2998" s="20"/>
      <c r="G2998" s="20"/>
      <c r="H2998" s="20"/>
      <c r="I2998" s="21"/>
    </row>
    <row r="2999" customFormat="false" ht="15" hidden="false" customHeight="false" outlineLevel="0" collapsed="false">
      <c r="A2999" s="30"/>
      <c r="B2999" s="21"/>
      <c r="C2999" s="21" t="str">
        <f aca="false">IF(B2999="","",IFERROR(INDEX(代理店一覧!$B$5:$B$204,MATCH(B2999,代理店一覧!$A$5:$A$204,0)),"※未登録のID"))</f>
        <v/>
      </c>
      <c r="D2999" s="20"/>
      <c r="E2999" s="20"/>
      <c r="F2999" s="20"/>
      <c r="G2999" s="20"/>
      <c r="H2999" s="20"/>
      <c r="I2999" s="21"/>
    </row>
    <row r="3000" customFormat="false" ht="15" hidden="false" customHeight="false" outlineLevel="0" collapsed="false">
      <c r="A3000" s="30"/>
      <c r="B3000" s="21"/>
      <c r="C3000" s="21" t="str">
        <f aca="false">IF(B3000="","",IFERROR(INDEX(代理店一覧!$B$5:$B$204,MATCH(B3000,代理店一覧!$A$5:$A$204,0)),"※未登録のID"))</f>
        <v/>
      </c>
      <c r="D3000" s="20"/>
      <c r="E3000" s="20"/>
      <c r="F3000" s="20"/>
      <c r="G3000" s="20"/>
      <c r="H3000" s="20"/>
      <c r="I3000" s="21"/>
    </row>
    <row r="3001" customFormat="false" ht="15" hidden="false" customHeight="false" outlineLevel="0" collapsed="false">
      <c r="A3001" s="30"/>
      <c r="B3001" s="21"/>
      <c r="C3001" s="21" t="str">
        <f aca="false">IF(B3001="","",IFERROR(INDEX(代理店一覧!$B$5:$B$204,MATCH(B3001,代理店一覧!$A$5:$A$204,0)),"※未登録のID"))</f>
        <v/>
      </c>
      <c r="D3001" s="20"/>
      <c r="E3001" s="20"/>
      <c r="F3001" s="20"/>
      <c r="G3001" s="20"/>
      <c r="H3001" s="20"/>
      <c r="I3001" s="21"/>
    </row>
    <row r="3002" customFormat="false" ht="15" hidden="false" customHeight="false" outlineLevel="0" collapsed="false">
      <c r="A3002" s="30"/>
      <c r="B3002" s="21"/>
      <c r="C3002" s="21" t="str">
        <f aca="false">IF(B3002="","",IFERROR(INDEX(代理店一覧!$B$5:$B$204,MATCH(B3002,代理店一覧!$A$5:$A$204,0)),"※未登録のID"))</f>
        <v/>
      </c>
      <c r="D3002" s="20"/>
      <c r="E3002" s="20"/>
      <c r="F3002" s="20"/>
      <c r="G3002" s="20"/>
      <c r="H3002" s="20"/>
      <c r="I3002" s="21"/>
    </row>
    <row r="3003" customFormat="false" ht="15" hidden="false" customHeight="false" outlineLevel="0" collapsed="false">
      <c r="A3003" s="30"/>
      <c r="B3003" s="21"/>
      <c r="C3003" s="21" t="str">
        <f aca="false">IF(B3003="","",IFERROR(INDEX(代理店一覧!$B$5:$B$204,MATCH(B3003,代理店一覧!$A$5:$A$204,0)),"※未登録のID"))</f>
        <v/>
      </c>
      <c r="D3003" s="20"/>
      <c r="E3003" s="20"/>
      <c r="F3003" s="20"/>
      <c r="G3003" s="20"/>
      <c r="H3003" s="20"/>
      <c r="I3003" s="21"/>
    </row>
    <row r="3004" customFormat="false" ht="15" hidden="false" customHeight="false" outlineLevel="0" collapsed="false">
      <c r="A3004" s="30"/>
      <c r="B3004" s="21"/>
      <c r="C3004" s="21" t="str">
        <f aca="false">IF(B3004="","",IFERROR(INDEX(代理店一覧!$B$5:$B$204,MATCH(B3004,代理店一覧!$A$5:$A$204,0)),"※未登録のID"))</f>
        <v/>
      </c>
      <c r="D3004" s="20"/>
      <c r="E3004" s="20"/>
      <c r="F3004" s="20"/>
      <c r="G3004" s="20"/>
      <c r="H3004" s="20"/>
      <c r="I3004" s="21"/>
    </row>
  </sheetData>
  <autoFilter ref="A4:I3004"/>
  <dataValidations count="1">
    <dataValidation allowBlank="true" errorStyle="stop" operator="between" showDropDown="false" showErrorMessage="false" showInputMessage="false" sqref="B5:B3004" type="list">
      <formula1>代理店一覧!$A$5:$A$204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1" min="10" style="0" width="14"/>
  </cols>
  <sheetData>
    <row r="1" customFormat="false" ht="25.5" hidden="false" customHeight="true" outlineLevel="0" collapsed="false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131</v>
      </c>
    </row>
    <row r="4" customFormat="false" ht="31.5" hidden="false" customHeight="true" outlineLevel="0" collapsed="false">
      <c r="A4" s="11" t="s">
        <v>132</v>
      </c>
      <c r="B4" s="11" t="s">
        <v>133</v>
      </c>
      <c r="C4" s="11" t="s">
        <v>134</v>
      </c>
      <c r="D4" s="11" t="s">
        <v>135</v>
      </c>
      <c r="E4" s="11" t="s">
        <v>136</v>
      </c>
      <c r="F4" s="11" t="s">
        <v>137</v>
      </c>
      <c r="G4" s="11" t="s">
        <v>124</v>
      </c>
      <c r="H4" s="11" t="s">
        <v>125</v>
      </c>
      <c r="I4" s="11" t="s">
        <v>126</v>
      </c>
      <c r="J4" s="11" t="s">
        <v>127</v>
      </c>
      <c r="K4" s="11" t="s">
        <v>128</v>
      </c>
    </row>
    <row r="5" customFormat="false" ht="15" hidden="false" customHeight="false" outlineLevel="0" collapsed="false">
      <c r="A5" s="30" t="n">
        <f aca="false">EDATE(設定!$C$9,0)</f>
        <v>46113</v>
      </c>
      <c r="B5" s="20" t="n">
        <f aca="false">COUNTIFS(代理店一覧!$G$5:$G$204,"&lt;"&amp;EDATE($A5,1))</f>
        <v>2</v>
      </c>
      <c r="C5" s="20" t="n">
        <f aca="false">COUNTIFS(月次実績!$A$5:$A$3004,$A5,月次実績!$D$5:$D$3004,"&gt;0")</f>
        <v>0</v>
      </c>
      <c r="D5" s="19" t="n">
        <f aca="false">IF(B5=0,"",C5/B5)</f>
        <v>0</v>
      </c>
      <c r="E5" s="20" t="n">
        <f aca="false">COUNTIFS(アクションログ!$A$5:$A$2004,"&gt;="&amp;$A5,アクションログ!$A$5:$A$2004,"&lt;"&amp;EDATE($A5,1))</f>
        <v>0</v>
      </c>
      <c r="F5" s="20" t="n">
        <f aca="false">COUNTIFS(アクションログ!$A$5:$A$2004,"&gt;="&amp;$A5,アクションログ!$A$5:$A$2004,"&lt;"&amp;EDATE($A5,1),アクションログ!$E$5:$E$2004,"訪問")+COUNTIFS(アクションログ!$A$5:$A$2004,"&gt;="&amp;$A5,アクションログ!$A$5:$A$2004,"&lt;"&amp;EDATE($A5,1),アクションログ!$E$5:$E$2004,"オンライン面談")+COUNTIFS(アクションログ!$A$5:$A$2004,"&gt;="&amp;$A5,アクションログ!$A$5:$A$2004,"&lt;"&amp;EDATE($A5,1),アクションログ!$E$5:$E$2004,"勉強会・セミナー")+COUNTIFS(アクションログ!$A$5:$A$2004,"&gt;="&amp;$A5,アクションログ!$A$5:$A$2004,"&lt;"&amp;EDATE($A5,1),アクションログ!$E$5:$E$2004,"会食")</f>
        <v>0</v>
      </c>
      <c r="G5" s="20" t="n">
        <f aca="false">SUMIFS(月次実績!$D$5:$D$3004,月次実績!$A$5:$A$3004,$A5)</f>
        <v>0</v>
      </c>
      <c r="H5" s="20" t="n">
        <f aca="false">SUMIFS(月次実績!$E$5:$E$3004,月次実績!$A$5:$A$3004,$A5)</f>
        <v>0</v>
      </c>
      <c r="I5" s="20" t="n">
        <f aca="false">SUMIFS(月次実績!$F$5:$F$3004,月次実績!$A$5:$A$3004,$A5)</f>
        <v>0</v>
      </c>
      <c r="J5" s="20" t="n">
        <f aca="false">SUMIFS(月次実績!$G$5:$G$3004,月次実績!$A$5:$A$3004,$A5)</f>
        <v>0</v>
      </c>
      <c r="K5" s="20" t="n">
        <f aca="false">SUMIFS(月次実績!$H$5:$H$3004,月次実績!$A$5:$A$3004,$A5)</f>
        <v>0</v>
      </c>
    </row>
    <row r="6" customFormat="false" ht="15" hidden="false" customHeight="false" outlineLevel="0" collapsed="false">
      <c r="A6" s="30" t="n">
        <f aca="false">EDATE(設定!$C$9,1)</f>
        <v>46143</v>
      </c>
      <c r="B6" s="20" t="n">
        <f aca="false">COUNTIFS(代理店一覧!$G$5:$G$204,"&lt;"&amp;EDATE($A6,1))</f>
        <v>2</v>
      </c>
      <c r="C6" s="20" t="n">
        <f aca="false">COUNTIFS(月次実績!$A$5:$A$3004,$A6,月次実績!$D$5:$D$3004,"&gt;0")</f>
        <v>0</v>
      </c>
      <c r="D6" s="19" t="n">
        <f aca="false">IF(B6=0,"",C6/B6)</f>
        <v>0</v>
      </c>
      <c r="E6" s="20" t="n">
        <f aca="false">COUNTIFS(アクションログ!$A$5:$A$2004,"&gt;="&amp;$A6,アクションログ!$A$5:$A$2004,"&lt;"&amp;EDATE($A6,1))</f>
        <v>0</v>
      </c>
      <c r="F6" s="20" t="n">
        <f aca="false">COUNTIFS(アクションログ!$A$5:$A$2004,"&gt;="&amp;$A6,アクションログ!$A$5:$A$2004,"&lt;"&amp;EDATE($A6,1),アクションログ!$E$5:$E$2004,"訪問")+COUNTIFS(アクションログ!$A$5:$A$2004,"&gt;="&amp;$A6,アクションログ!$A$5:$A$2004,"&lt;"&amp;EDATE($A6,1),アクションログ!$E$5:$E$2004,"オンライン面談")+COUNTIFS(アクションログ!$A$5:$A$2004,"&gt;="&amp;$A6,アクションログ!$A$5:$A$2004,"&lt;"&amp;EDATE($A6,1),アクションログ!$E$5:$E$2004,"勉強会・セミナー")+COUNTIFS(アクションログ!$A$5:$A$2004,"&gt;="&amp;$A6,アクションログ!$A$5:$A$2004,"&lt;"&amp;EDATE($A6,1),アクションログ!$E$5:$E$2004,"会食")</f>
        <v>0</v>
      </c>
      <c r="G6" s="20" t="n">
        <f aca="false">SUMIFS(月次実績!$D$5:$D$3004,月次実績!$A$5:$A$3004,$A6)</f>
        <v>0</v>
      </c>
      <c r="H6" s="20" t="n">
        <f aca="false">SUMIFS(月次実績!$E$5:$E$3004,月次実績!$A$5:$A$3004,$A6)</f>
        <v>0</v>
      </c>
      <c r="I6" s="20" t="n">
        <f aca="false">SUMIFS(月次実績!$F$5:$F$3004,月次実績!$A$5:$A$3004,$A6)</f>
        <v>0</v>
      </c>
      <c r="J6" s="20" t="n">
        <f aca="false">SUMIFS(月次実績!$G$5:$G$3004,月次実績!$A$5:$A$3004,$A6)</f>
        <v>0</v>
      </c>
      <c r="K6" s="20" t="n">
        <f aca="false">SUMIFS(月次実績!$H$5:$H$3004,月次実績!$A$5:$A$3004,$A6)</f>
        <v>0</v>
      </c>
    </row>
    <row r="7" customFormat="false" ht="15" hidden="false" customHeight="false" outlineLevel="0" collapsed="false">
      <c r="A7" s="30" t="n">
        <f aca="false">EDATE(設定!$C$9,2)</f>
        <v>46174</v>
      </c>
      <c r="B7" s="20" t="n">
        <f aca="false">COUNTIFS(代理店一覧!$G$5:$G$204,"&lt;"&amp;EDATE($A7,1))</f>
        <v>3</v>
      </c>
      <c r="C7" s="20" t="n">
        <f aca="false">COUNTIFS(月次実績!$A$5:$A$3004,$A7,月次実績!$D$5:$D$3004,"&gt;0")</f>
        <v>0</v>
      </c>
      <c r="D7" s="19" t="n">
        <f aca="false">IF(B7=0,"",C7/B7)</f>
        <v>0</v>
      </c>
      <c r="E7" s="20" t="n">
        <f aca="false">COUNTIFS(アクションログ!$A$5:$A$2004,"&gt;="&amp;$A7,アクションログ!$A$5:$A$2004,"&lt;"&amp;EDATE($A7,1))</f>
        <v>0</v>
      </c>
      <c r="F7" s="20" t="n">
        <f aca="false">COUNTIFS(アクションログ!$A$5:$A$2004,"&gt;="&amp;$A7,アクションログ!$A$5:$A$2004,"&lt;"&amp;EDATE($A7,1),アクションログ!$E$5:$E$2004,"訪問")+COUNTIFS(アクションログ!$A$5:$A$2004,"&gt;="&amp;$A7,アクションログ!$A$5:$A$2004,"&lt;"&amp;EDATE($A7,1),アクションログ!$E$5:$E$2004,"オンライン面談")+COUNTIFS(アクションログ!$A$5:$A$2004,"&gt;="&amp;$A7,アクションログ!$A$5:$A$2004,"&lt;"&amp;EDATE($A7,1),アクションログ!$E$5:$E$2004,"勉強会・セミナー")+COUNTIFS(アクションログ!$A$5:$A$2004,"&gt;="&amp;$A7,アクションログ!$A$5:$A$2004,"&lt;"&amp;EDATE($A7,1),アクションログ!$E$5:$E$2004,"会食")</f>
        <v>0</v>
      </c>
      <c r="G7" s="20" t="n">
        <f aca="false">SUMIFS(月次実績!$D$5:$D$3004,月次実績!$A$5:$A$3004,$A7)</f>
        <v>0</v>
      </c>
      <c r="H7" s="20" t="n">
        <f aca="false">SUMIFS(月次実績!$E$5:$E$3004,月次実績!$A$5:$A$3004,$A7)</f>
        <v>0</v>
      </c>
      <c r="I7" s="20" t="n">
        <f aca="false">SUMIFS(月次実績!$F$5:$F$3004,月次実績!$A$5:$A$3004,$A7)</f>
        <v>0</v>
      </c>
      <c r="J7" s="20" t="n">
        <f aca="false">SUMIFS(月次実績!$G$5:$G$3004,月次実績!$A$5:$A$3004,$A7)</f>
        <v>0</v>
      </c>
      <c r="K7" s="20" t="n">
        <f aca="false">SUMIFS(月次実績!$H$5:$H$3004,月次実績!$A$5:$A$3004,$A7)</f>
        <v>0</v>
      </c>
    </row>
    <row r="8" customFormat="false" ht="15" hidden="false" customHeight="false" outlineLevel="0" collapsed="false">
      <c r="A8" s="30" t="n">
        <f aca="false">EDATE(設定!$C$9,3)</f>
        <v>46204</v>
      </c>
      <c r="B8" s="20" t="n">
        <f aca="false">COUNTIFS(代理店一覧!$G$5:$G$204,"&lt;"&amp;EDATE($A8,1))</f>
        <v>3</v>
      </c>
      <c r="C8" s="20" t="n">
        <f aca="false">COUNTIFS(月次実績!$A$5:$A$3004,$A8,月次実績!$D$5:$D$3004,"&gt;0")</f>
        <v>1</v>
      </c>
      <c r="D8" s="19" t="n">
        <f aca="false">IF(B8=0,"",C8/B8)</f>
        <v>0.333333333333333</v>
      </c>
      <c r="E8" s="20" t="n">
        <f aca="false">COUNTIFS(アクションログ!$A$5:$A$2004,"&gt;="&amp;$A8,アクションログ!$A$5:$A$2004,"&lt;"&amp;EDATE($A8,1))</f>
        <v>1</v>
      </c>
      <c r="F8" s="20" t="n">
        <f aca="false">COUNTIFS(アクションログ!$A$5:$A$2004,"&gt;="&amp;$A8,アクションログ!$A$5:$A$2004,"&lt;"&amp;EDATE($A8,1),アクションログ!$E$5:$E$2004,"訪問")+COUNTIFS(アクションログ!$A$5:$A$2004,"&gt;="&amp;$A8,アクションログ!$A$5:$A$2004,"&lt;"&amp;EDATE($A8,1),アクションログ!$E$5:$E$2004,"オンライン面談")+COUNTIFS(アクションログ!$A$5:$A$2004,"&gt;="&amp;$A8,アクションログ!$A$5:$A$2004,"&lt;"&amp;EDATE($A8,1),アクションログ!$E$5:$E$2004,"勉強会・セミナー")+COUNTIFS(アクションログ!$A$5:$A$2004,"&gt;="&amp;$A8,アクションログ!$A$5:$A$2004,"&lt;"&amp;EDATE($A8,1),アクションログ!$E$5:$E$2004,"会食")</f>
        <v>1</v>
      </c>
      <c r="G8" s="20" t="n">
        <f aca="false">SUMIFS(月次実績!$D$5:$D$3004,月次実績!$A$5:$A$3004,$A8)</f>
        <v>3</v>
      </c>
      <c r="H8" s="20" t="n">
        <f aca="false">SUMIFS(月次実績!$E$5:$E$3004,月次実績!$A$5:$A$3004,$A8)</f>
        <v>2</v>
      </c>
      <c r="I8" s="20" t="n">
        <f aca="false">SUMIFS(月次実績!$F$5:$F$3004,月次実績!$A$5:$A$3004,$A8)</f>
        <v>1</v>
      </c>
      <c r="J8" s="20" t="n">
        <f aca="false">SUMIFS(月次実績!$G$5:$G$3004,月次実績!$A$5:$A$3004,$A8)</f>
        <v>600000</v>
      </c>
      <c r="K8" s="20" t="n">
        <f aca="false">SUMIFS(月次実績!$H$5:$H$3004,月次実績!$A$5:$A$3004,$A8)</f>
        <v>60000</v>
      </c>
    </row>
    <row r="9" customFormat="false" ht="15" hidden="false" customHeight="false" outlineLevel="0" collapsed="false">
      <c r="A9" s="30" t="n">
        <f aca="false">EDATE(設定!$C$9,4)</f>
        <v>46235</v>
      </c>
      <c r="B9" s="20" t="n">
        <f aca="false">COUNTIFS(代理店一覧!$G$5:$G$204,"&lt;"&amp;EDATE($A9,1))</f>
        <v>3</v>
      </c>
      <c r="C9" s="20" t="n">
        <f aca="false">COUNTIFS(月次実績!$A$5:$A$3004,$A9,月次実績!$D$5:$D$3004,"&gt;0")</f>
        <v>2</v>
      </c>
      <c r="D9" s="19" t="n">
        <f aca="false">IF(B9=0,"",C9/B9)</f>
        <v>0.666666666666667</v>
      </c>
      <c r="E9" s="20" t="n">
        <f aca="false">COUNTIFS(アクションログ!$A$5:$A$2004,"&gt;="&amp;$A9,アクションログ!$A$5:$A$2004,"&lt;"&amp;EDATE($A9,1))</f>
        <v>0</v>
      </c>
      <c r="F9" s="20" t="n">
        <f aca="false">COUNTIFS(アクションログ!$A$5:$A$2004,"&gt;="&amp;$A9,アクションログ!$A$5:$A$2004,"&lt;"&amp;EDATE($A9,1),アクションログ!$E$5:$E$2004,"訪問")+COUNTIFS(アクションログ!$A$5:$A$2004,"&gt;="&amp;$A9,アクションログ!$A$5:$A$2004,"&lt;"&amp;EDATE($A9,1),アクションログ!$E$5:$E$2004,"オンライン面談")+COUNTIFS(アクションログ!$A$5:$A$2004,"&gt;="&amp;$A9,アクションログ!$A$5:$A$2004,"&lt;"&amp;EDATE($A9,1),アクションログ!$E$5:$E$2004,"勉強会・セミナー")+COUNTIFS(アクションログ!$A$5:$A$2004,"&gt;="&amp;$A9,アクションログ!$A$5:$A$2004,"&lt;"&amp;EDATE($A9,1),アクションログ!$E$5:$E$2004,"会食")</f>
        <v>0</v>
      </c>
      <c r="G9" s="20" t="n">
        <f aca="false">SUMIFS(月次実績!$D$5:$D$3004,月次実績!$A$5:$A$3004,$A9)</f>
        <v>5</v>
      </c>
      <c r="H9" s="20" t="n">
        <f aca="false">SUMIFS(月次実績!$E$5:$E$3004,月次実績!$A$5:$A$3004,$A9)</f>
        <v>4</v>
      </c>
      <c r="I9" s="20" t="n">
        <f aca="false">SUMIFS(月次実績!$F$5:$F$3004,月次実績!$A$5:$A$3004,$A9)</f>
        <v>2</v>
      </c>
      <c r="J9" s="20" t="n">
        <f aca="false">SUMIFS(月次実績!$G$5:$G$3004,月次実績!$A$5:$A$3004,$A9)</f>
        <v>1100000</v>
      </c>
      <c r="K9" s="20" t="n">
        <f aca="false">SUMIFS(月次実績!$H$5:$H$3004,月次実績!$A$5:$A$3004,$A9)</f>
        <v>110000</v>
      </c>
    </row>
    <row r="10" customFormat="false" ht="15" hidden="false" customHeight="false" outlineLevel="0" collapsed="false">
      <c r="A10" s="30" t="n">
        <f aca="false">EDATE(設定!$C$9,5)</f>
        <v>46266</v>
      </c>
      <c r="B10" s="20" t="n">
        <f aca="false">COUNTIFS(代理店一覧!$G$5:$G$204,"&lt;"&amp;EDATE($A10,1))</f>
        <v>3</v>
      </c>
      <c r="C10" s="20" t="n">
        <f aca="false">COUNTIFS(月次実績!$A$5:$A$3004,$A10,月次実績!$D$5:$D$3004,"&gt;0")</f>
        <v>2</v>
      </c>
      <c r="D10" s="19" t="n">
        <f aca="false">IF(B10=0,"",C10/B10)</f>
        <v>0.666666666666667</v>
      </c>
      <c r="E10" s="20" t="n">
        <f aca="false">COUNTIFS(アクションログ!$A$5:$A$2004,"&gt;="&amp;$A10,アクションログ!$A$5:$A$2004,"&lt;"&amp;EDATE($A10,1))</f>
        <v>4</v>
      </c>
      <c r="F10" s="20" t="n">
        <f aca="false">COUNTIFS(アクションログ!$A$5:$A$2004,"&gt;="&amp;$A10,アクションログ!$A$5:$A$2004,"&lt;"&amp;EDATE($A10,1),アクションログ!$E$5:$E$2004,"訪問")+COUNTIFS(アクションログ!$A$5:$A$2004,"&gt;="&amp;$A10,アクションログ!$A$5:$A$2004,"&lt;"&amp;EDATE($A10,1),アクションログ!$E$5:$E$2004,"オンライン面談")+COUNTIFS(アクションログ!$A$5:$A$2004,"&gt;="&amp;$A10,アクションログ!$A$5:$A$2004,"&lt;"&amp;EDATE($A10,1),アクションログ!$E$5:$E$2004,"勉強会・セミナー")+COUNTIFS(アクションログ!$A$5:$A$2004,"&gt;="&amp;$A10,アクションログ!$A$5:$A$2004,"&lt;"&amp;EDATE($A10,1),アクションログ!$E$5:$E$2004,"会食")</f>
        <v>2</v>
      </c>
      <c r="G10" s="20" t="n">
        <f aca="false">SUMIFS(月次実績!$D$5:$D$3004,月次実績!$A$5:$A$3004,$A10)</f>
        <v>3</v>
      </c>
      <c r="H10" s="20" t="n">
        <f aca="false">SUMIFS(月次実績!$E$5:$E$3004,月次実績!$A$5:$A$3004,$A10)</f>
        <v>1</v>
      </c>
      <c r="I10" s="20" t="n">
        <f aca="false">SUMIFS(月次実績!$F$5:$F$3004,月次実績!$A$5:$A$3004,$A10)</f>
        <v>0</v>
      </c>
      <c r="J10" s="20" t="n">
        <f aca="false">SUMIFS(月次実績!$G$5:$G$3004,月次実績!$A$5:$A$3004,$A10)</f>
        <v>0</v>
      </c>
      <c r="K10" s="20" t="n">
        <f aca="false">SUMIFS(月次実績!$H$5:$H$3004,月次実績!$A$5:$A$3004,$A10)</f>
        <v>0</v>
      </c>
    </row>
    <row r="11" customFormat="false" ht="15" hidden="false" customHeight="false" outlineLevel="0" collapsed="false">
      <c r="A11" s="30" t="n">
        <f aca="false">EDATE(設定!$C$9,6)</f>
        <v>46296</v>
      </c>
      <c r="B11" s="20" t="n">
        <f aca="false">COUNTIFS(代理店一覧!$G$5:$G$204,"&lt;"&amp;EDATE($A11,1))</f>
        <v>3</v>
      </c>
      <c r="C11" s="20" t="n">
        <f aca="false">COUNTIFS(月次実績!$A$5:$A$3004,$A11,月次実績!$D$5:$D$3004,"&gt;0")</f>
        <v>0</v>
      </c>
      <c r="D11" s="19" t="n">
        <f aca="false">IF(B11=0,"",C11/B11)</f>
        <v>0</v>
      </c>
      <c r="E11" s="20" t="n">
        <f aca="false">COUNTIFS(アクションログ!$A$5:$A$2004,"&gt;="&amp;$A11,アクションログ!$A$5:$A$2004,"&lt;"&amp;EDATE($A11,1))</f>
        <v>0</v>
      </c>
      <c r="F11" s="20" t="n">
        <f aca="false">COUNTIFS(アクションログ!$A$5:$A$2004,"&gt;="&amp;$A11,アクションログ!$A$5:$A$2004,"&lt;"&amp;EDATE($A11,1),アクションログ!$E$5:$E$2004,"訪問")+COUNTIFS(アクションログ!$A$5:$A$2004,"&gt;="&amp;$A11,アクションログ!$A$5:$A$2004,"&lt;"&amp;EDATE($A11,1),アクションログ!$E$5:$E$2004,"オンライン面談")+COUNTIFS(アクションログ!$A$5:$A$2004,"&gt;="&amp;$A11,アクションログ!$A$5:$A$2004,"&lt;"&amp;EDATE($A11,1),アクションログ!$E$5:$E$2004,"勉強会・セミナー")+COUNTIFS(アクションログ!$A$5:$A$2004,"&gt;="&amp;$A11,アクションログ!$A$5:$A$2004,"&lt;"&amp;EDATE($A11,1),アクションログ!$E$5:$E$2004,"会食")</f>
        <v>0</v>
      </c>
      <c r="G11" s="20" t="n">
        <f aca="false">SUMIFS(月次実績!$D$5:$D$3004,月次実績!$A$5:$A$3004,$A11)</f>
        <v>0</v>
      </c>
      <c r="H11" s="20" t="n">
        <f aca="false">SUMIFS(月次実績!$E$5:$E$3004,月次実績!$A$5:$A$3004,$A11)</f>
        <v>0</v>
      </c>
      <c r="I11" s="20" t="n">
        <f aca="false">SUMIFS(月次実績!$F$5:$F$3004,月次実績!$A$5:$A$3004,$A11)</f>
        <v>0</v>
      </c>
      <c r="J11" s="20" t="n">
        <f aca="false">SUMIFS(月次実績!$G$5:$G$3004,月次実績!$A$5:$A$3004,$A11)</f>
        <v>0</v>
      </c>
      <c r="K11" s="20" t="n">
        <f aca="false">SUMIFS(月次実績!$H$5:$H$3004,月次実績!$A$5:$A$3004,$A11)</f>
        <v>0</v>
      </c>
    </row>
    <row r="12" customFormat="false" ht="15" hidden="false" customHeight="false" outlineLevel="0" collapsed="false">
      <c r="A12" s="30" t="n">
        <f aca="false">EDATE(設定!$C$9,7)</f>
        <v>46327</v>
      </c>
      <c r="B12" s="20" t="n">
        <f aca="false">COUNTIFS(代理店一覧!$G$5:$G$204,"&lt;"&amp;EDATE($A12,1))</f>
        <v>3</v>
      </c>
      <c r="C12" s="20" t="n">
        <f aca="false">COUNTIFS(月次実績!$A$5:$A$3004,$A12,月次実績!$D$5:$D$3004,"&gt;0")</f>
        <v>0</v>
      </c>
      <c r="D12" s="19" t="n">
        <f aca="false">IF(B12=0,"",C12/B12)</f>
        <v>0</v>
      </c>
      <c r="E12" s="20" t="n">
        <f aca="false">COUNTIFS(アクションログ!$A$5:$A$2004,"&gt;="&amp;$A12,アクションログ!$A$5:$A$2004,"&lt;"&amp;EDATE($A12,1))</f>
        <v>0</v>
      </c>
      <c r="F12" s="20" t="n">
        <f aca="false">COUNTIFS(アクションログ!$A$5:$A$2004,"&gt;="&amp;$A12,アクションログ!$A$5:$A$2004,"&lt;"&amp;EDATE($A12,1),アクションログ!$E$5:$E$2004,"訪問")+COUNTIFS(アクションログ!$A$5:$A$2004,"&gt;="&amp;$A12,アクションログ!$A$5:$A$2004,"&lt;"&amp;EDATE($A12,1),アクションログ!$E$5:$E$2004,"オンライン面談")+COUNTIFS(アクションログ!$A$5:$A$2004,"&gt;="&amp;$A12,アクションログ!$A$5:$A$2004,"&lt;"&amp;EDATE($A12,1),アクションログ!$E$5:$E$2004,"勉強会・セミナー")+COUNTIFS(アクションログ!$A$5:$A$2004,"&gt;="&amp;$A12,アクションログ!$A$5:$A$2004,"&lt;"&amp;EDATE($A12,1),アクションログ!$E$5:$E$2004,"会食")</f>
        <v>0</v>
      </c>
      <c r="G12" s="20" t="n">
        <f aca="false">SUMIFS(月次実績!$D$5:$D$3004,月次実績!$A$5:$A$3004,$A12)</f>
        <v>0</v>
      </c>
      <c r="H12" s="20" t="n">
        <f aca="false">SUMIFS(月次実績!$E$5:$E$3004,月次実績!$A$5:$A$3004,$A12)</f>
        <v>0</v>
      </c>
      <c r="I12" s="20" t="n">
        <f aca="false">SUMIFS(月次実績!$F$5:$F$3004,月次実績!$A$5:$A$3004,$A12)</f>
        <v>0</v>
      </c>
      <c r="J12" s="20" t="n">
        <f aca="false">SUMIFS(月次実績!$G$5:$G$3004,月次実績!$A$5:$A$3004,$A12)</f>
        <v>0</v>
      </c>
      <c r="K12" s="20" t="n">
        <f aca="false">SUMIFS(月次実績!$H$5:$H$3004,月次実績!$A$5:$A$3004,$A12)</f>
        <v>0</v>
      </c>
    </row>
    <row r="13" customFormat="false" ht="15" hidden="false" customHeight="false" outlineLevel="0" collapsed="false">
      <c r="A13" s="30" t="n">
        <f aca="false">EDATE(設定!$C$9,8)</f>
        <v>46357</v>
      </c>
      <c r="B13" s="20" t="n">
        <f aca="false">COUNTIFS(代理店一覧!$G$5:$G$204,"&lt;"&amp;EDATE($A13,1))</f>
        <v>3</v>
      </c>
      <c r="C13" s="20" t="n">
        <f aca="false">COUNTIFS(月次実績!$A$5:$A$3004,$A13,月次実績!$D$5:$D$3004,"&gt;0")</f>
        <v>0</v>
      </c>
      <c r="D13" s="19" t="n">
        <f aca="false">IF(B13=0,"",C13/B13)</f>
        <v>0</v>
      </c>
      <c r="E13" s="20" t="n">
        <f aca="false">COUNTIFS(アクションログ!$A$5:$A$2004,"&gt;="&amp;$A13,アクションログ!$A$5:$A$2004,"&lt;"&amp;EDATE($A13,1))</f>
        <v>0</v>
      </c>
      <c r="F13" s="20" t="n">
        <f aca="false">COUNTIFS(アクションログ!$A$5:$A$2004,"&gt;="&amp;$A13,アクションログ!$A$5:$A$2004,"&lt;"&amp;EDATE($A13,1),アクションログ!$E$5:$E$2004,"訪問")+COUNTIFS(アクションログ!$A$5:$A$2004,"&gt;="&amp;$A13,アクションログ!$A$5:$A$2004,"&lt;"&amp;EDATE($A13,1),アクションログ!$E$5:$E$2004,"オンライン面談")+COUNTIFS(アクションログ!$A$5:$A$2004,"&gt;="&amp;$A13,アクションログ!$A$5:$A$2004,"&lt;"&amp;EDATE($A13,1),アクションログ!$E$5:$E$2004,"勉強会・セミナー")+COUNTIFS(アクションログ!$A$5:$A$2004,"&gt;="&amp;$A13,アクションログ!$A$5:$A$2004,"&lt;"&amp;EDATE($A13,1),アクションログ!$E$5:$E$2004,"会食")</f>
        <v>0</v>
      </c>
      <c r="G13" s="20" t="n">
        <f aca="false">SUMIFS(月次実績!$D$5:$D$3004,月次実績!$A$5:$A$3004,$A13)</f>
        <v>0</v>
      </c>
      <c r="H13" s="20" t="n">
        <f aca="false">SUMIFS(月次実績!$E$5:$E$3004,月次実績!$A$5:$A$3004,$A13)</f>
        <v>0</v>
      </c>
      <c r="I13" s="20" t="n">
        <f aca="false">SUMIFS(月次実績!$F$5:$F$3004,月次実績!$A$5:$A$3004,$A13)</f>
        <v>0</v>
      </c>
      <c r="J13" s="20" t="n">
        <f aca="false">SUMIFS(月次実績!$G$5:$G$3004,月次実績!$A$5:$A$3004,$A13)</f>
        <v>0</v>
      </c>
      <c r="K13" s="20" t="n">
        <f aca="false">SUMIFS(月次実績!$H$5:$H$3004,月次実績!$A$5:$A$3004,$A13)</f>
        <v>0</v>
      </c>
    </row>
    <row r="14" customFormat="false" ht="15" hidden="false" customHeight="false" outlineLevel="0" collapsed="false">
      <c r="A14" s="30" t="n">
        <f aca="false">EDATE(設定!$C$9,9)</f>
        <v>46388</v>
      </c>
      <c r="B14" s="20" t="n">
        <f aca="false">COUNTIFS(代理店一覧!$G$5:$G$204,"&lt;"&amp;EDATE($A14,1))</f>
        <v>3</v>
      </c>
      <c r="C14" s="20" t="n">
        <f aca="false">COUNTIFS(月次実績!$A$5:$A$3004,$A14,月次実績!$D$5:$D$3004,"&gt;0")</f>
        <v>0</v>
      </c>
      <c r="D14" s="19" t="n">
        <f aca="false">IF(B14=0,"",C14/B14)</f>
        <v>0</v>
      </c>
      <c r="E14" s="20" t="n">
        <f aca="false">COUNTIFS(アクションログ!$A$5:$A$2004,"&gt;="&amp;$A14,アクションログ!$A$5:$A$2004,"&lt;"&amp;EDATE($A14,1))</f>
        <v>0</v>
      </c>
      <c r="F14" s="20" t="n">
        <f aca="false">COUNTIFS(アクションログ!$A$5:$A$2004,"&gt;="&amp;$A14,アクションログ!$A$5:$A$2004,"&lt;"&amp;EDATE($A14,1),アクションログ!$E$5:$E$2004,"訪問")+COUNTIFS(アクションログ!$A$5:$A$2004,"&gt;="&amp;$A14,アクションログ!$A$5:$A$2004,"&lt;"&amp;EDATE($A14,1),アクションログ!$E$5:$E$2004,"オンライン面談")+COUNTIFS(アクションログ!$A$5:$A$2004,"&gt;="&amp;$A14,アクションログ!$A$5:$A$2004,"&lt;"&amp;EDATE($A14,1),アクションログ!$E$5:$E$2004,"勉強会・セミナー")+COUNTIFS(アクションログ!$A$5:$A$2004,"&gt;="&amp;$A14,アクションログ!$A$5:$A$2004,"&lt;"&amp;EDATE($A14,1),アクションログ!$E$5:$E$2004,"会食")</f>
        <v>0</v>
      </c>
      <c r="G14" s="20" t="n">
        <f aca="false">SUMIFS(月次実績!$D$5:$D$3004,月次実績!$A$5:$A$3004,$A14)</f>
        <v>0</v>
      </c>
      <c r="H14" s="20" t="n">
        <f aca="false">SUMIFS(月次実績!$E$5:$E$3004,月次実績!$A$5:$A$3004,$A14)</f>
        <v>0</v>
      </c>
      <c r="I14" s="20" t="n">
        <f aca="false">SUMIFS(月次実績!$F$5:$F$3004,月次実績!$A$5:$A$3004,$A14)</f>
        <v>0</v>
      </c>
      <c r="J14" s="20" t="n">
        <f aca="false">SUMIFS(月次実績!$G$5:$G$3004,月次実績!$A$5:$A$3004,$A14)</f>
        <v>0</v>
      </c>
      <c r="K14" s="20" t="n">
        <f aca="false">SUMIFS(月次実績!$H$5:$H$3004,月次実績!$A$5:$A$3004,$A14)</f>
        <v>0</v>
      </c>
    </row>
    <row r="15" customFormat="false" ht="15" hidden="false" customHeight="false" outlineLevel="0" collapsed="false">
      <c r="A15" s="30" t="n">
        <f aca="false">EDATE(設定!$C$9,10)</f>
        <v>46419</v>
      </c>
      <c r="B15" s="20" t="n">
        <f aca="false">COUNTIFS(代理店一覧!$G$5:$G$204,"&lt;"&amp;EDATE($A15,1))</f>
        <v>3</v>
      </c>
      <c r="C15" s="20" t="n">
        <f aca="false">COUNTIFS(月次実績!$A$5:$A$3004,$A15,月次実績!$D$5:$D$3004,"&gt;0")</f>
        <v>0</v>
      </c>
      <c r="D15" s="19" t="n">
        <f aca="false">IF(B15=0,"",C15/B15)</f>
        <v>0</v>
      </c>
      <c r="E15" s="20" t="n">
        <f aca="false">COUNTIFS(アクションログ!$A$5:$A$2004,"&gt;="&amp;$A15,アクションログ!$A$5:$A$2004,"&lt;"&amp;EDATE($A15,1))</f>
        <v>0</v>
      </c>
      <c r="F15" s="20" t="n">
        <f aca="false">COUNTIFS(アクションログ!$A$5:$A$2004,"&gt;="&amp;$A15,アクションログ!$A$5:$A$2004,"&lt;"&amp;EDATE($A15,1),アクションログ!$E$5:$E$2004,"訪問")+COUNTIFS(アクションログ!$A$5:$A$2004,"&gt;="&amp;$A15,アクションログ!$A$5:$A$2004,"&lt;"&amp;EDATE($A15,1),アクションログ!$E$5:$E$2004,"オンライン面談")+COUNTIFS(アクションログ!$A$5:$A$2004,"&gt;="&amp;$A15,アクションログ!$A$5:$A$2004,"&lt;"&amp;EDATE($A15,1),アクションログ!$E$5:$E$2004,"勉強会・セミナー")+COUNTIFS(アクションログ!$A$5:$A$2004,"&gt;="&amp;$A15,アクションログ!$A$5:$A$2004,"&lt;"&amp;EDATE($A15,1),アクションログ!$E$5:$E$2004,"会食")</f>
        <v>0</v>
      </c>
      <c r="G15" s="20" t="n">
        <f aca="false">SUMIFS(月次実績!$D$5:$D$3004,月次実績!$A$5:$A$3004,$A15)</f>
        <v>0</v>
      </c>
      <c r="H15" s="20" t="n">
        <f aca="false">SUMIFS(月次実績!$E$5:$E$3004,月次実績!$A$5:$A$3004,$A15)</f>
        <v>0</v>
      </c>
      <c r="I15" s="20" t="n">
        <f aca="false">SUMIFS(月次実績!$F$5:$F$3004,月次実績!$A$5:$A$3004,$A15)</f>
        <v>0</v>
      </c>
      <c r="J15" s="20" t="n">
        <f aca="false">SUMIFS(月次実績!$G$5:$G$3004,月次実績!$A$5:$A$3004,$A15)</f>
        <v>0</v>
      </c>
      <c r="K15" s="20" t="n">
        <f aca="false">SUMIFS(月次実績!$H$5:$H$3004,月次実績!$A$5:$A$3004,$A15)</f>
        <v>0</v>
      </c>
    </row>
    <row r="16" customFormat="false" ht="15" hidden="false" customHeight="false" outlineLevel="0" collapsed="false">
      <c r="A16" s="30" t="n">
        <f aca="false">EDATE(設定!$C$9,11)</f>
        <v>46447</v>
      </c>
      <c r="B16" s="20" t="n">
        <f aca="false">COUNTIFS(代理店一覧!$G$5:$G$204,"&lt;"&amp;EDATE($A16,1))</f>
        <v>3</v>
      </c>
      <c r="C16" s="20" t="n">
        <f aca="false">COUNTIFS(月次実績!$A$5:$A$3004,$A16,月次実績!$D$5:$D$3004,"&gt;0")</f>
        <v>0</v>
      </c>
      <c r="D16" s="19" t="n">
        <f aca="false">IF(B16=0,"",C16/B16)</f>
        <v>0</v>
      </c>
      <c r="E16" s="20" t="n">
        <f aca="false">COUNTIFS(アクションログ!$A$5:$A$2004,"&gt;="&amp;$A16,アクションログ!$A$5:$A$2004,"&lt;"&amp;EDATE($A16,1))</f>
        <v>0</v>
      </c>
      <c r="F16" s="20" t="n">
        <f aca="false">COUNTIFS(アクションログ!$A$5:$A$2004,"&gt;="&amp;$A16,アクションログ!$A$5:$A$2004,"&lt;"&amp;EDATE($A16,1),アクションログ!$E$5:$E$2004,"訪問")+COUNTIFS(アクションログ!$A$5:$A$2004,"&gt;="&amp;$A16,アクションログ!$A$5:$A$2004,"&lt;"&amp;EDATE($A16,1),アクションログ!$E$5:$E$2004,"オンライン面談")+COUNTIFS(アクションログ!$A$5:$A$2004,"&gt;="&amp;$A16,アクションログ!$A$5:$A$2004,"&lt;"&amp;EDATE($A16,1),アクションログ!$E$5:$E$2004,"勉強会・セミナー")+COUNTIFS(アクションログ!$A$5:$A$2004,"&gt;="&amp;$A16,アクションログ!$A$5:$A$2004,"&lt;"&amp;EDATE($A16,1),アクションログ!$E$5:$E$2004,"会食")</f>
        <v>0</v>
      </c>
      <c r="G16" s="20" t="n">
        <f aca="false">SUMIFS(月次実績!$D$5:$D$3004,月次実績!$A$5:$A$3004,$A16)</f>
        <v>0</v>
      </c>
      <c r="H16" s="20" t="n">
        <f aca="false">SUMIFS(月次実績!$E$5:$E$3004,月次実績!$A$5:$A$3004,$A16)</f>
        <v>0</v>
      </c>
      <c r="I16" s="20" t="n">
        <f aca="false">SUMIFS(月次実績!$F$5:$F$3004,月次実績!$A$5:$A$3004,$A16)</f>
        <v>0</v>
      </c>
      <c r="J16" s="20" t="n">
        <f aca="false">SUMIFS(月次実績!$G$5:$G$3004,月次実績!$A$5:$A$3004,$A16)</f>
        <v>0</v>
      </c>
      <c r="K16" s="20" t="n">
        <f aca="false">SUMIFS(月次実績!$H$5:$H$3004,月次実績!$A$5:$A$3004,$A16)</f>
        <v>0</v>
      </c>
    </row>
    <row r="17" customFormat="false" ht="15" hidden="false" customHeight="false" outlineLevel="0" collapsed="false">
      <c r="A17" s="31" t="s">
        <v>138</v>
      </c>
      <c r="B17" s="32" t="n">
        <f aca="false">B16</f>
        <v>3</v>
      </c>
      <c r="C17" s="32" t="n">
        <f aca="false">MAX(C5:C16)</f>
        <v>2</v>
      </c>
      <c r="D17" s="33" t="n">
        <f aca="false">IF(B17=0,"",C17/B17)</f>
        <v>0.666666666666667</v>
      </c>
      <c r="E17" s="32" t="n">
        <f aca="false">SUM(E5:E16)</f>
        <v>5</v>
      </c>
      <c r="F17" s="32" t="n">
        <f aca="false">SUM(F5:F16)</f>
        <v>3</v>
      </c>
      <c r="G17" s="32" t="n">
        <f aca="false">SUM(G5:G16)</f>
        <v>11</v>
      </c>
      <c r="H17" s="32" t="n">
        <f aca="false">SUM(H5:H16)</f>
        <v>7</v>
      </c>
      <c r="I17" s="32" t="n">
        <f aca="false">SUM(I5:I16)</f>
        <v>3</v>
      </c>
      <c r="J17" s="32" t="n">
        <f aca="false">SUM(J5:J16)</f>
        <v>1700000</v>
      </c>
      <c r="K17" s="32" t="n">
        <f aca="false">SUM(K5:K16)</f>
        <v>170000</v>
      </c>
    </row>
    <row r="18" customFormat="false" ht="15" hidden="false" customHeight="false" outlineLevel="0" collapsed="false">
      <c r="A18" s="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140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141</v>
      </c>
    </row>
    <row r="4" customFormat="false" ht="31.5" hidden="false" customHeight="true" outlineLevel="0" collapsed="false">
      <c r="A4" s="10" t="s">
        <v>142</v>
      </c>
      <c r="B4" s="10" t="s">
        <v>143</v>
      </c>
      <c r="C4" s="10" t="s">
        <v>144</v>
      </c>
      <c r="D4" s="10" t="s">
        <v>145</v>
      </c>
      <c r="E4" s="10" t="s">
        <v>146</v>
      </c>
      <c r="F4" s="10" t="s">
        <v>147</v>
      </c>
    </row>
    <row r="5" customFormat="false" ht="33.75" hidden="false" customHeight="true" outlineLevel="0" collapsed="false">
      <c r="A5" s="18" t="s">
        <v>148</v>
      </c>
      <c r="B5" s="18" t="s">
        <v>149</v>
      </c>
      <c r="C5" s="18" t="s">
        <v>150</v>
      </c>
      <c r="D5" s="18" t="s">
        <v>151</v>
      </c>
      <c r="E5" s="18" t="s">
        <v>152</v>
      </c>
      <c r="F5" s="18" t="s">
        <v>153</v>
      </c>
    </row>
    <row r="6" customFormat="false" ht="33.75" hidden="false" customHeight="true" outlineLevel="0" collapsed="false">
      <c r="A6" s="18" t="s">
        <v>154</v>
      </c>
      <c r="B6" s="26" t="s">
        <v>155</v>
      </c>
      <c r="C6" s="18" t="s">
        <v>156</v>
      </c>
      <c r="D6" s="18" t="s">
        <v>157</v>
      </c>
      <c r="E6" s="18" t="s">
        <v>152</v>
      </c>
      <c r="F6" s="18" t="s">
        <v>158</v>
      </c>
    </row>
    <row r="7" customFormat="false" ht="33.75" hidden="false" customHeight="true" outlineLevel="0" collapsed="false">
      <c r="A7" s="18" t="s">
        <v>159</v>
      </c>
      <c r="B7" s="18" t="s">
        <v>160</v>
      </c>
      <c r="C7" s="18" t="s">
        <v>161</v>
      </c>
      <c r="D7" s="18" t="s">
        <v>162</v>
      </c>
      <c r="E7" s="18" t="s">
        <v>152</v>
      </c>
      <c r="F7" s="18" t="s">
        <v>163</v>
      </c>
    </row>
    <row r="8" customFormat="false" ht="33.75" hidden="false" customHeight="true" outlineLevel="0" collapsed="false">
      <c r="A8" s="18" t="s">
        <v>164</v>
      </c>
      <c r="B8" s="18" t="s">
        <v>160</v>
      </c>
      <c r="C8" s="18" t="s">
        <v>165</v>
      </c>
      <c r="D8" s="18" t="s">
        <v>166</v>
      </c>
      <c r="E8" s="18" t="s">
        <v>152</v>
      </c>
      <c r="F8" s="18" t="s">
        <v>167</v>
      </c>
    </row>
    <row r="9" customFormat="false" ht="33.75" hidden="false" customHeight="true" outlineLevel="0" collapsed="false">
      <c r="A9" s="18" t="s">
        <v>168</v>
      </c>
      <c r="B9" s="18" t="s">
        <v>160</v>
      </c>
      <c r="C9" s="18" t="s">
        <v>169</v>
      </c>
      <c r="D9" s="18" t="s">
        <v>170</v>
      </c>
      <c r="E9" s="18" t="s">
        <v>152</v>
      </c>
      <c r="F9" s="18" t="s">
        <v>103</v>
      </c>
    </row>
    <row r="10" customFormat="false" ht="33.75" hidden="false" customHeight="true" outlineLevel="0" collapsed="false">
      <c r="A10" s="18" t="s">
        <v>171</v>
      </c>
      <c r="B10" s="18" t="s">
        <v>149</v>
      </c>
      <c r="C10" s="18" t="s">
        <v>172</v>
      </c>
      <c r="D10" s="18" t="s">
        <v>173</v>
      </c>
      <c r="E10" s="18" t="s">
        <v>174</v>
      </c>
      <c r="F10" s="18" t="s">
        <v>167</v>
      </c>
    </row>
    <row r="11" customFormat="false" ht="33.75" hidden="false" customHeight="true" outlineLevel="0" collapsed="false">
      <c r="A11" s="18" t="s">
        <v>175</v>
      </c>
      <c r="B11" s="18" t="s">
        <v>149</v>
      </c>
      <c r="C11" s="18" t="s">
        <v>176</v>
      </c>
      <c r="D11" s="18" t="s">
        <v>177</v>
      </c>
      <c r="E11" s="18" t="s">
        <v>152</v>
      </c>
      <c r="F11" s="18" t="s">
        <v>113</v>
      </c>
    </row>
    <row r="12" customFormat="false" ht="33.75" hidden="false" customHeight="true" outlineLevel="0" collapsed="false">
      <c r="A12" s="18" t="s">
        <v>175</v>
      </c>
      <c r="B12" s="26" t="s">
        <v>178</v>
      </c>
      <c r="C12" s="18" t="s">
        <v>179</v>
      </c>
      <c r="D12" s="18" t="s">
        <v>180</v>
      </c>
      <c r="E12" s="18" t="s">
        <v>152</v>
      </c>
      <c r="F12" s="18" t="s">
        <v>181</v>
      </c>
    </row>
    <row r="13" customFormat="false" ht="33.75" hidden="false" customHeight="true" outlineLevel="0" collapsed="false">
      <c r="A13" s="18" t="s">
        <v>182</v>
      </c>
      <c r="B13" s="18" t="s">
        <v>149</v>
      </c>
      <c r="C13" s="18" t="s">
        <v>183</v>
      </c>
      <c r="D13" s="18" t="s">
        <v>184</v>
      </c>
      <c r="E13" s="18" t="s">
        <v>185</v>
      </c>
      <c r="F13" s="18" t="s">
        <v>186</v>
      </c>
    </row>
    <row r="14" customFormat="false" ht="33.75" hidden="false" customHeight="true" outlineLevel="0" collapsed="false">
      <c r="A14" s="18" t="s">
        <v>187</v>
      </c>
      <c r="B14" s="26" t="s">
        <v>188</v>
      </c>
      <c r="C14" s="18" t="s">
        <v>189</v>
      </c>
      <c r="D14" s="18" t="s">
        <v>190</v>
      </c>
      <c r="E14" s="18" t="s">
        <v>185</v>
      </c>
      <c r="F14" s="18" t="s">
        <v>191</v>
      </c>
    </row>
    <row r="15" customFormat="false" ht="33.75" hidden="false" customHeight="true" outlineLevel="0" collapsed="false">
      <c r="A15" s="18" t="s">
        <v>192</v>
      </c>
      <c r="B15" s="18" t="s">
        <v>149</v>
      </c>
      <c r="C15" s="18" t="s">
        <v>193</v>
      </c>
      <c r="D15" s="18" t="s">
        <v>194</v>
      </c>
      <c r="E15" s="18" t="s">
        <v>174</v>
      </c>
      <c r="F15" s="18" t="s">
        <v>195</v>
      </c>
    </row>
    <row r="16" customFormat="false" ht="33.75" hidden="false" customHeight="true" outlineLevel="0" collapsed="false">
      <c r="A16" s="18" t="s">
        <v>196</v>
      </c>
      <c r="B16" s="18" t="s">
        <v>197</v>
      </c>
      <c r="C16" s="18" t="s">
        <v>198</v>
      </c>
      <c r="D16" s="18" t="s">
        <v>199</v>
      </c>
      <c r="E16" s="18" t="s">
        <v>152</v>
      </c>
      <c r="F16" s="1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46"/>
    <col collapsed="false" customWidth="true" hidden="false" outlineLevel="0" max="11" min="7" style="0" width="22"/>
  </cols>
  <sheetData>
    <row r="1" customFormat="false" ht="25.5" hidden="false" customHeight="true" outlineLevel="0" collapsed="false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201</v>
      </c>
    </row>
    <row r="4" customFormat="false" ht="15" hidden="false" customHeight="false" outlineLevel="0" collapsed="false">
      <c r="B4" s="5" t="s">
        <v>202</v>
      </c>
      <c r="C4" s="34" t="n">
        <f aca="true">TODAY()</f>
        <v>46291</v>
      </c>
      <c r="D4" s="3" t="s">
        <v>203</v>
      </c>
    </row>
    <row r="5" customFormat="false" ht="15" hidden="false" customHeight="false" outlineLevel="0" collapsed="false">
      <c r="B5" s="5" t="s">
        <v>204</v>
      </c>
      <c r="C5" s="34" t="n">
        <f aca="false">DATE(YEAR(C4),MONTH(C4),1)</f>
        <v>46266</v>
      </c>
      <c r="D5" s="3" t="s">
        <v>205</v>
      </c>
    </row>
    <row r="6" customFormat="false" ht="15" hidden="false" customHeight="false" outlineLevel="0" collapsed="false">
      <c r="B6" s="5" t="s">
        <v>206</v>
      </c>
      <c r="C6" s="35" t="n">
        <v>3</v>
      </c>
      <c r="D6" s="3" t="s">
        <v>207</v>
      </c>
    </row>
    <row r="7" customFormat="false" ht="15" hidden="false" customHeight="false" outlineLevel="0" collapsed="false">
      <c r="B7" s="5" t="s">
        <v>208</v>
      </c>
      <c r="C7" s="35" t="n">
        <v>3</v>
      </c>
      <c r="D7" s="3" t="s">
        <v>209</v>
      </c>
    </row>
    <row r="8" customFormat="false" ht="15" hidden="false" customHeight="false" outlineLevel="0" collapsed="false">
      <c r="B8" s="5" t="s">
        <v>210</v>
      </c>
      <c r="C8" s="35" t="n">
        <v>3</v>
      </c>
      <c r="D8" s="3" t="s">
        <v>211</v>
      </c>
    </row>
    <row r="9" customFormat="false" ht="15" hidden="false" customHeight="false" outlineLevel="0" collapsed="false">
      <c r="B9" s="5" t="s">
        <v>212</v>
      </c>
      <c r="C9" s="36" t="n">
        <v>46113</v>
      </c>
      <c r="D9" s="3" t="s">
        <v>213</v>
      </c>
    </row>
    <row r="12" customFormat="false" ht="15" hidden="false" customHeight="false" outlineLevel="0" collapsed="false">
      <c r="B12" s="4" t="s">
        <v>214</v>
      </c>
      <c r="G12" s="4" t="s">
        <v>215</v>
      </c>
    </row>
    <row r="13" customFormat="false" ht="15" hidden="false" customHeight="false" outlineLevel="0" collapsed="false">
      <c r="B13" s="37" t="s">
        <v>49</v>
      </c>
      <c r="C13" s="37" t="s">
        <v>216</v>
      </c>
      <c r="D13" s="37" t="s">
        <v>54</v>
      </c>
      <c r="E13" s="37" t="s">
        <v>217</v>
      </c>
      <c r="G13" s="37" t="s">
        <v>48</v>
      </c>
      <c r="H13" s="37" t="s">
        <v>90</v>
      </c>
      <c r="I13" s="37" t="s">
        <v>91</v>
      </c>
      <c r="J13" s="37" t="s">
        <v>218</v>
      </c>
      <c r="K13" s="37" t="s">
        <v>95</v>
      </c>
    </row>
    <row r="14" customFormat="false" ht="15" hidden="false" customHeight="false" outlineLevel="0" collapsed="false">
      <c r="B14" s="22" t="s">
        <v>70</v>
      </c>
      <c r="C14" s="23" t="s">
        <v>219</v>
      </c>
      <c r="D14" s="22" t="n">
        <v>7</v>
      </c>
      <c r="E14" s="23" t="s">
        <v>220</v>
      </c>
      <c r="G14" s="38" t="s">
        <v>69</v>
      </c>
      <c r="H14" s="38" t="s">
        <v>103</v>
      </c>
      <c r="I14" s="38" t="s">
        <v>98</v>
      </c>
      <c r="J14" s="38" t="s">
        <v>100</v>
      </c>
      <c r="K14" s="38" t="s">
        <v>108</v>
      </c>
    </row>
    <row r="15" customFormat="false" ht="15" hidden="false" customHeight="false" outlineLevel="0" collapsed="false">
      <c r="B15" s="22" t="s">
        <v>78</v>
      </c>
      <c r="C15" s="23" t="s">
        <v>221</v>
      </c>
      <c r="D15" s="22" t="n">
        <v>14</v>
      </c>
      <c r="E15" s="23" t="s">
        <v>222</v>
      </c>
      <c r="G15" s="38" t="s">
        <v>77</v>
      </c>
      <c r="H15" s="38" t="s">
        <v>97</v>
      </c>
      <c r="I15" s="38" t="s">
        <v>110</v>
      </c>
      <c r="J15" s="38" t="s">
        <v>106</v>
      </c>
      <c r="K15" s="38" t="s">
        <v>102</v>
      </c>
    </row>
    <row r="16" customFormat="false" ht="15" hidden="false" customHeight="false" outlineLevel="0" collapsed="false">
      <c r="B16" s="22" t="s">
        <v>223</v>
      </c>
      <c r="C16" s="23" t="s">
        <v>224</v>
      </c>
      <c r="D16" s="22" t="n">
        <v>30</v>
      </c>
      <c r="E16" s="23" t="s">
        <v>225</v>
      </c>
      <c r="G16" s="38" t="s">
        <v>226</v>
      </c>
      <c r="H16" s="38" t="s">
        <v>109</v>
      </c>
      <c r="I16" s="38" t="s">
        <v>104</v>
      </c>
      <c r="J16" s="38" t="s">
        <v>115</v>
      </c>
      <c r="K16" s="38"/>
    </row>
    <row r="17" customFormat="false" ht="15" hidden="false" customHeight="false" outlineLevel="0" collapsed="false">
      <c r="B17" s="22" t="s">
        <v>84</v>
      </c>
      <c r="C17" s="23" t="s">
        <v>227</v>
      </c>
      <c r="D17" s="22" t="n">
        <v>30</v>
      </c>
      <c r="E17" s="23" t="s">
        <v>228</v>
      </c>
      <c r="G17" s="38"/>
      <c r="H17" s="38" t="s">
        <v>113</v>
      </c>
      <c r="I17" s="38" t="s">
        <v>229</v>
      </c>
      <c r="J17" s="39" t="s">
        <v>230</v>
      </c>
      <c r="K17" s="39"/>
    </row>
    <row r="18" customFormat="false" ht="15" hidden="false" customHeight="false" outlineLevel="0" collapsed="false">
      <c r="G18" s="39"/>
      <c r="H18" s="39" t="s">
        <v>231</v>
      </c>
      <c r="I18" s="38" t="s">
        <v>232</v>
      </c>
      <c r="J18" s="39"/>
      <c r="K18" s="39"/>
    </row>
    <row r="19" customFormat="false" ht="15" hidden="false" customHeight="false" outlineLevel="0" collapsed="false">
      <c r="B19" s="3" t="s">
        <v>233</v>
      </c>
      <c r="G19" s="39"/>
      <c r="H19" s="38" t="s">
        <v>117</v>
      </c>
      <c r="I19" s="38" t="s">
        <v>118</v>
      </c>
      <c r="J19" s="39"/>
      <c r="K19" s="39"/>
    </row>
    <row r="20" customFormat="false" ht="15" hidden="false" customHeight="false" outlineLevel="0" collapsed="false">
      <c r="G20" s="39"/>
      <c r="H20" s="38" t="s">
        <v>234</v>
      </c>
      <c r="I20" s="38" t="s">
        <v>235</v>
      </c>
      <c r="J20" s="39"/>
      <c r="K20" s="39"/>
    </row>
    <row r="21" customFormat="false" ht="15" hidden="false" customHeight="false" outlineLevel="0" collapsed="false">
      <c r="G21" s="39"/>
      <c r="H21" s="39"/>
      <c r="I21" s="38" t="s">
        <v>236</v>
      </c>
      <c r="J21" s="39"/>
      <c r="K21" s="39"/>
    </row>
    <row r="22" customFormat="false" ht="15" hidden="false" customHeight="false" outlineLevel="0" collapsed="false">
      <c r="G22" s="39"/>
      <c r="H22" s="39"/>
      <c r="I22" s="39"/>
      <c r="J22" s="39"/>
      <c r="K22" s="39"/>
    </row>
    <row r="23" customFormat="false" ht="15" hidden="false" customHeight="false" outlineLevel="0" collapsed="false">
      <c r="G23" s="39"/>
      <c r="H23" s="39"/>
      <c r="I23" s="39"/>
      <c r="J23" s="39"/>
      <c r="K23" s="39"/>
    </row>
    <row r="25" customFormat="false" ht="15" hidden="false" customHeight="false" outlineLevel="0" collapsed="false">
      <c r="G25" s="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2026-09-26T02:25:16Z</dcterms:created>
  <dc:creator>openpyxl</dc:creator>
  <dc:description/>
  <dc:language>en-US</dc:language>
  <cp:lastModifiedBy/>
  <dcterms:modified xsi:type="dcterms:W3CDTF">2026-09-26T02:25:21Z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